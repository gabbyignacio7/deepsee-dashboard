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1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1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1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16.xml" ContentType="application/vnd.openxmlformats-officedocument.spreadsheetml.workshee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3" activeTab="1"/>
  </bookViews>
  <sheets>
    <sheet r:id="rId1" name="Master_Data_Features" sheetId="1"/>
    <sheet r:id="rId2" name="Master_Data_JIRA_Tickets" sheetId="2"/>
    <sheet r:id="rId3" name="Master_Data_Sales_Pipeline" sheetId="3"/>
    <sheet r:id="rId4" name="Lookup_Tables" sheetId="4"/>
    <sheet r:id="rId5" name="Master_Data_Client_Projects" sheetId="5"/>
    <sheet r:id="rId6" name="Master_Data_Won_Deals" sheetId="6"/>
    <sheet r:id="rId7" name="Scoring_Rubric" sheetId="7"/>
    <sheet r:id="rId8" name="README_Instructions" sheetId="8"/>
    <sheet r:id="rId9" name="Change_Log" sheetId="9"/>
    <sheet r:id="rId10" name="Executive_Dashboard" sheetId="10"/>
    <sheet r:id="rId11" name="PIVOT_Sales_View" sheetId="11"/>
    <sheet r:id="rId12" name="PIVOT_Management_View" sheetId="12"/>
    <sheet r:id="rId13" name="PIVOT_Engineering_View" sheetId="13"/>
    <sheet r:id="rId14" name="PIVOT_Product_Roadmap" sheetId="14"/>
    <sheet r:id="rId15" name="PIVOT_Strategic_vs_Operational" sheetId="15"/>
    <sheet r:id="rId16" name="JIRA_Summary" sheetId="16"/>
  </sheets>
  <calcPr calcId="0" iterateCount="100" iterateDelta="0.001"/>
  <pivotCaches>
    <pivotCache cacheId="1" r:id="rId19"/>
    <pivotCache cacheId="2" r:id="rId20"/>
    <pivotCache cacheId="3" r:id="rId21"/>
  </pivotCach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<sst xmlns="http://schemas.openxmlformats.org/spreadsheetml/2006/main" count="6051" uniqueCount="6051">
  <si>
    <t>Feature_ID</t>
  </si>
  <si>
    <t>Feature_Name</t>
  </si>
  <si>
    <t>Agent_Type</t>
  </si>
  <si>
    <t>Category</t>
  </si>
  <si>
    <t>Quarter_Planned</t>
  </si>
  <si>
    <t>Replicability_Score</t>
  </si>
  <si>
    <t>Primary_Client</t>
  </si>
  <si>
    <t>Additional_Clients</t>
  </si>
  <si>
    <t>Platform_vs_Custom</t>
  </si>
  <si>
    <t>ARR_Amount</t>
  </si>
  <si>
    <t>Revenue_Type</t>
  </si>
  <si>
    <t>Contract_Status</t>
  </si>
  <si>
    <t>Pipeline_Stage</t>
  </si>
  <si>
    <t>Conversion_Probability_%</t>
  </si>
  <si>
    <t>Current_Status</t>
  </si>
  <si>
    <t>Completion_%</t>
  </si>
  <si>
    <t>Target_Completion_Date</t>
  </si>
  <si>
    <t>Effort_Estimate_Weeks</t>
  </si>
  <si>
    <t>Revenue_at_Risk</t>
  </si>
  <si>
    <t>Priority_Score</t>
  </si>
  <si>
    <t>Engineering_Notes</t>
  </si>
  <si>
    <t>Management_Notes</t>
  </si>
  <si>
    <t>Client_Count</t>
  </si>
  <si>
    <t>Deal_Close_Date</t>
  </si>
  <si>
    <t>Days_to_Close</t>
  </si>
  <si>
    <t>Multi_Client_Benefit</t>
  </si>
  <si>
    <t>Effort_T-Shirt_Size</t>
  </si>
  <si>
    <t>Engineering_Complexity</t>
  </si>
  <si>
    <t>Dependencies</t>
  </si>
  <si>
    <t>Team_Required</t>
  </si>
  <si>
    <t>Priority_Tier</t>
  </si>
  <si>
    <t>Revenue_Impact_Type</t>
  </si>
  <si>
    <t>Weighted_ARR</t>
  </si>
  <si>
    <t>Assigned_To</t>
  </si>
  <si>
    <t>Sprint_Assignment</t>
  </si>
  <si>
    <t>JIRA_Ticket_Count</t>
  </si>
  <si>
    <t>Created_Date</t>
  </si>
  <si>
    <t>Target_Start_Date</t>
  </si>
  <si>
    <t>Sales_Notes</t>
  </si>
  <si>
    <t>Manual_Override</t>
  </si>
  <si>
    <t>Manual_Override_Score</t>
  </si>
  <si>
    <t>Artemis_Focus</t>
  </si>
  <si>
    <t>PRD_Status</t>
  </si>
  <si>
    <t>Epic_in_JIRA</t>
  </si>
  <si>
    <t>F-001</t>
  </si>
  <si>
    <t>LLM-Enhanced Extraction</t>
  </si>
  <si>
    <t>Platform (All Agents)</t>
  </si>
  <si>
    <t>Platform Improvements</t>
  </si>
  <si>
    <t>Q4 2025</t>
  </si>
  <si>
    <t>Multiple</t>
  </si>
  <si>
    <t>Platform Enhancement</t>
  </si>
  <si>
    <t/>
  </si>
  <si>
    <t>Tier 4: Backlog</t>
  </si>
  <si>
    <t>Neutral (Internal/Platform)</t>
  </si>
  <si>
    <t>Yes</t>
  </si>
  <si>
    <t>In Progress</t>
  </si>
  <si>
    <t>F-002</t>
  </si>
  <si>
    <t>Client Agent Interaction Enhancements</t>
  </si>
  <si>
    <t>No</t>
  </si>
  <si>
    <t>Not Started</t>
  </si>
  <si>
    <t>F-003</t>
  </si>
  <si>
    <t>DeepSee Service Fabric Internal Enhancements</t>
  </si>
  <si>
    <t>Core Infrastructure</t>
  </si>
  <si>
    <t>Internal</t>
  </si>
  <si>
    <t>F-004</t>
  </si>
  <si>
    <t>Retention Prediction UI</t>
  </si>
  <si>
    <t>Platform (Analytics)</t>
  </si>
  <si>
    <t>F-005</t>
  </si>
  <si>
    <t>Double-click to view dashboard messages</t>
  </si>
  <si>
    <t>F-006</t>
  </si>
  <si>
    <t>Simplified Agentic UI Design</t>
  </si>
  <si>
    <t>F-007</t>
  </si>
  <si>
    <t>Matching Engine UI</t>
  </si>
  <si>
    <t>Matching Engine</t>
  </si>
  <si>
    <t>F-008</t>
  </si>
  <si>
    <t>Information Graph Enhanced Infrastructure</t>
  </si>
  <si>
    <t>Q1 2026</t>
  </si>
  <si>
    <t>F-009</t>
  </si>
  <si>
    <t>Enhanced Agent Outcome Reasoning and Planning</t>
  </si>
  <si>
    <t>F-010</t>
  </si>
  <si>
    <t>Inference / Training speed improvements</t>
  </si>
  <si>
    <t>F-011</t>
  </si>
  <si>
    <t>Activity Tracing Across Agents</t>
  </si>
  <si>
    <t>F-012</t>
  </si>
  <si>
    <t>Exception Prediction</t>
  </si>
  <si>
    <t>F-013</t>
  </si>
  <si>
    <t>Simplified Agentic UI Implementation</t>
  </si>
  <si>
    <t>F-014</t>
  </si>
  <si>
    <t>Information Graph UI Design</t>
  </si>
  <si>
    <t>F-015</t>
  </si>
  <si>
    <t>MCP Integration with 3rd Party Agents</t>
  </si>
  <si>
    <t>API Development</t>
  </si>
  <si>
    <t>Q2 2026</t>
  </si>
  <si>
    <t>F-016</t>
  </si>
  <si>
    <t>Enhanced Integration with 3rd Party Applications - Outlook &amp; Ops Console</t>
  </si>
  <si>
    <t>Email Automation</t>
  </si>
  <si>
    <t>F-017</t>
  </si>
  <si>
    <t>User configurable dashboards</t>
  </si>
  <si>
    <t>F-018</t>
  </si>
  <si>
    <t>Process Mapping and Optimization Opportunities</t>
  </si>
  <si>
    <t>F-019</t>
  </si>
  <si>
    <t>Information Graph UI Implementation</t>
  </si>
  <si>
    <t>F-020</t>
  </si>
  <si>
    <t>Technologist and Model Review UI implementation</t>
  </si>
  <si>
    <t>F-021</t>
  </si>
  <si>
    <t>DeepSee Service Fabric External Enhancements</t>
  </si>
  <si>
    <t>Q3 2026</t>
  </si>
  <si>
    <t>F-022</t>
  </si>
  <si>
    <t>Integrated foreign language support</t>
  </si>
  <si>
    <t>F-023</t>
  </si>
  <si>
    <t>Process variation highlights</t>
  </si>
  <si>
    <t>F-024</t>
  </si>
  <si>
    <t>Agentic Card UI Implementation for 3rd Party Applications</t>
  </si>
  <si>
    <t>F-025</t>
  </si>
  <si>
    <t>Enhanced Testing Suite UI Implementation</t>
  </si>
  <si>
    <t>F-026</t>
  </si>
  <si>
    <t>DTCC Agent Onboarding - Trade Processing Phase 1</t>
  </si>
  <si>
    <t>Trade Processing</t>
  </si>
  <si>
    <t>Client-Specific Work</t>
  </si>
  <si>
    <t>DTCC</t>
  </si>
  <si>
    <t>Client-Specific</t>
  </si>
  <si>
    <t>New Contract</t>
  </si>
  <si>
    <t>Signed</t>
  </si>
  <si>
    <t>Closed Won</t>
  </si>
  <si>
    <t>2025-12-31</t>
  </si>
  <si>
    <t>Daily client meetings, high touch</t>
  </si>
  <si>
    <t>L-Large 8wks</t>
  </si>
  <si>
    <t>High</t>
  </si>
  <si>
    <t>Service fabric deployment, security audit</t>
  </si>
  <si>
    <t>Multiple Teams</t>
  </si>
  <si>
    <t>Tier 1: Fast Track</t>
  </si>
  <si>
    <t>Positive (New Revenue)</t>
  </si>
  <si>
    <t>Complete</t>
  </si>
  <si>
    <t>F-027</t>
  </si>
  <si>
    <t>DTCC Agent Onboarding - Trade Processing Phase 2</t>
  </si>
  <si>
    <t>F-028</t>
  </si>
  <si>
    <t>DTCC Agent Onboarding - Core Reconciliation</t>
  </si>
  <si>
    <t>Core Reconciliation</t>
  </si>
  <si>
    <t>F-029</t>
  </si>
  <si>
    <t>Broadridge Trade Matching Engine Enhancement</t>
  </si>
  <si>
    <t>Broadridge</t>
  </si>
  <si>
    <t>F-030</t>
  </si>
  <si>
    <t>Broadridge Email Automation Workflow</t>
  </si>
  <si>
    <t>Expansion</t>
  </si>
  <si>
    <t>Medium</t>
  </si>
  <si>
    <t>Backend</t>
  </si>
  <si>
    <t>F-031</t>
  </si>
  <si>
    <t>Broadridge Critical Bug Fix - Trade Processing</t>
  </si>
  <si>
    <t>Bug Fixes</t>
  </si>
  <si>
    <t>Retention/Risk of Loss</t>
  </si>
  <si>
    <t>Tier 0: Emergency</t>
  </si>
  <si>
    <t>S-Small 2wks</t>
  </si>
  <si>
    <t>Low</t>
  </si>
  <si>
    <t>Negative (Risk of Loss)</t>
  </si>
  <si>
    <t>F-032</t>
  </si>
  <si>
    <t>JP Morgan Monthly Reconciliation Enhancement</t>
  </si>
  <si>
    <t>JP Morgan</t>
  </si>
  <si>
    <t>F-033</t>
  </si>
  <si>
    <t>JP Morgan Security Settlements Optimization</t>
  </si>
  <si>
    <t>Security Settlements</t>
  </si>
  <si>
    <t>F-034</t>
  </si>
  <si>
    <t>Accenture Email Automation Deployment</t>
  </si>
  <si>
    <t>Accenture</t>
  </si>
  <si>
    <t>F-035</t>
  </si>
  <si>
    <t>Accenture Multi-Agent Orchestration</t>
  </si>
  <si>
    <t>Both</t>
  </si>
  <si>
    <t>F-036</t>
  </si>
  <si>
    <t>SSI Agent Deployment - Colony Bank</t>
  </si>
  <si>
    <t>Standing Settlement Instructions</t>
  </si>
  <si>
    <t>Regional Banks</t>
  </si>
  <si>
    <t>Colony Bank</t>
  </si>
  <si>
    <t>2025-12-15</t>
  </si>
  <si>
    <t>M-Medium 4wks</t>
  </si>
  <si>
    <t>F-037</t>
  </si>
  <si>
    <t>SSI Agent Deployment - Sunwest Bank</t>
  </si>
  <si>
    <t>Sunwest Bank</t>
  </si>
  <si>
    <t>Contract Negotiation</t>
  </si>
  <si>
    <t>F-038</t>
  </si>
  <si>
    <t>Vantage Bank Custom Reconciliation (POC)</t>
  </si>
  <si>
    <t>Vantage Bank</t>
  </si>
  <si>
    <t>POC</t>
  </si>
  <si>
    <t>Only proceed if Vantage prepays 50% or signs binding contract</t>
  </si>
  <si>
    <t>XL-Extra Large 12wks+</t>
  </si>
  <si>
    <t>Client requires prepayment</t>
  </si>
  <si>
    <t>F-039</t>
  </si>
  <si>
    <t>Email Automation - Response Generation Enhancement</t>
  </si>
  <si>
    <t>F-040</t>
  </si>
  <si>
    <t>Trade Processing - 100% Accuracy Validation</t>
  </si>
  <si>
    <t>F-041</t>
  </si>
  <si>
    <t>Security Settlements - Break Resolution Automation</t>
  </si>
  <si>
    <t>F-042</t>
  </si>
  <si>
    <t>SSI - Real-time Data Validation</t>
  </si>
  <si>
    <t>F-043</t>
  </si>
  <si>
    <t>Matching Engine - External Break Detection</t>
  </si>
  <si>
    <t>F-044</t>
  </si>
  <si>
    <t>One View - Cross-System Integration</t>
  </si>
  <si>
    <t>One View</t>
  </si>
  <si>
    <t>F-045</t>
  </si>
  <si>
    <t>Loan Operations - Application Automation</t>
  </si>
  <si>
    <t>Loan Operations</t>
  </si>
  <si>
    <t>F-046</t>
  </si>
  <si>
    <t>Core Reconciliation - Multi-System Support</t>
  </si>
  <si>
    <t>F-047</t>
  </si>
  <si>
    <t>DeepPilot - Financial Services Context Mining</t>
  </si>
  <si>
    <t>DeepPilot</t>
  </si>
  <si>
    <t>jira_ticket_id</t>
  </si>
  <si>
    <t>jira_ticket_title</t>
  </si>
  <si>
    <t>jira_status</t>
  </si>
  <si>
    <t>jira_category</t>
  </si>
  <si>
    <t>project_key</t>
  </si>
  <si>
    <t>client_name</t>
  </si>
  <si>
    <t>effort_tshirt_size</t>
  </si>
  <si>
    <t>story_points</t>
  </si>
  <si>
    <t>mapped_feature_id</t>
  </si>
  <si>
    <t>mapped_feature_name</t>
  </si>
  <si>
    <t>assigned_engineer</t>
  </si>
  <si>
    <t>sprint</t>
  </si>
  <si>
    <t>created_date</t>
  </si>
  <si>
    <t>target_date</t>
  </si>
  <si>
    <t>completed_date</t>
  </si>
  <si>
    <t>PR-1555</t>
  </si>
  <si>
    <t xml:space="preserve">Enable Conditional Reconciliation </t>
  </si>
  <si>
    <t>New</t>
  </si>
  <si>
    <t>Product Roadmap</t>
  </si>
  <si>
    <t>PR</t>
  </si>
  <si>
    <t>UI-694</t>
  </si>
  <si>
    <t>UI and Dashboard Improvements to DeepRecon to Support Boradridge</t>
  </si>
  <si>
    <t>To Do</t>
  </si>
  <si>
    <t>Front End Development</t>
  </si>
  <si>
    <t>UI</t>
  </si>
  <si>
    <t>BACK-1481</t>
  </si>
  <si>
    <t>PDF Conversion fails for PNG files</t>
  </si>
  <si>
    <t>Back End Development</t>
  </si>
  <si>
    <t>BACK</t>
  </si>
  <si>
    <t>UI-693</t>
  </si>
  <si>
    <t>Add a new blockly block to use equivalency lists on full strings</t>
  </si>
  <si>
    <t>UI-692</t>
  </si>
  <si>
    <t>Allow filtering and sorting by custom fields in Actionable data</t>
  </si>
  <si>
    <t>UI-691</t>
  </si>
  <si>
    <t>Display Custom fields in Actionable Data</t>
  </si>
  <si>
    <t>UI-690</t>
  </si>
  <si>
    <t>Allow the user to create custom fields when configuring Automations</t>
  </si>
  <si>
    <t>UI-689</t>
  </si>
  <si>
    <t>Implement Custom fields (key-value pairs) for Deep Recon</t>
  </si>
  <si>
    <t>UI-688</t>
  </si>
  <si>
    <t>Deploy the latest UI image to FIS Tenant</t>
  </si>
  <si>
    <t>UI-687</t>
  </si>
  <si>
    <t>UI - Configure FIS Tenant</t>
  </si>
  <si>
    <t>CI-894</t>
  </si>
  <si>
    <t>Create Tenant for FIS - US region</t>
  </si>
  <si>
    <t>Core-Infrastructure</t>
  </si>
  <si>
    <t>CI</t>
  </si>
  <si>
    <t>CI-893</t>
  </si>
  <si>
    <t>Infra - Configure Tenant for FIS</t>
  </si>
  <si>
    <t>BACK-1480</t>
  </si>
  <si>
    <t>Integrate CrowdStrike security scanning into CI/CD pipeline for Extraction service</t>
  </si>
  <si>
    <t>Kalvin Willison</t>
  </si>
  <si>
    <t>PR-1553</t>
  </si>
  <si>
    <t>Set Up/Configure FIS Tenant</t>
  </si>
  <si>
    <t>Planning</t>
  </si>
  <si>
    <t>CI-892</t>
  </si>
  <si>
    <t>Create Tenant for BBVA - EU region</t>
  </si>
  <si>
    <t>CI-891</t>
  </si>
  <si>
    <t>Infra - Configure Tenant for BBVA</t>
  </si>
  <si>
    <t>UI-686</t>
  </si>
  <si>
    <t>Deploy the latest UI image to BBVA Tenant</t>
  </si>
  <si>
    <t>UI-685</t>
  </si>
  <si>
    <t>Configure BBVA Tenant</t>
  </si>
  <si>
    <t>CI-890</t>
  </si>
  <si>
    <t>Create Tenant for CTC for EU region</t>
  </si>
  <si>
    <t>CI-889</t>
  </si>
  <si>
    <t>Infra - Configure Tenant for CTC</t>
  </si>
  <si>
    <t>UI-684</t>
  </si>
  <si>
    <t>Deploy the latest UI image to CTC Tenant</t>
  </si>
  <si>
    <t>UI-683</t>
  </si>
  <si>
    <t>UI - Configure CTC Tenant</t>
  </si>
  <si>
    <t>PR-1552</t>
  </si>
  <si>
    <t>Set Up/Configure BBVA Tenant</t>
  </si>
  <si>
    <t>PR-1551</t>
  </si>
  <si>
    <t>Set Up/Configure CTC Tenant</t>
  </si>
  <si>
    <t>SC-299</t>
  </si>
  <si>
    <t>Priority: Address Wiz-Identified Assets (13 Assets, 390 C+H)</t>
  </si>
  <si>
    <t>Security &amp; Compliance</t>
  </si>
  <si>
    <t>SC</t>
  </si>
  <si>
    <t>UI-682</t>
  </si>
  <si>
    <t>Enhance "Golden Source" Picker for Colony Bank</t>
  </si>
  <si>
    <t>Owen Riley</t>
  </si>
  <si>
    <t>UI-681</t>
  </si>
  <si>
    <t>Allow for Document Orientation Adjustment</t>
  </si>
  <si>
    <t>BACK-1477</t>
  </si>
  <si>
    <t>Configure the API key for the news sources</t>
  </si>
  <si>
    <t>CI-887</t>
  </si>
  <si>
    <t>Helm chart changes for new k8s job</t>
  </si>
  <si>
    <t>CI-886</t>
  </si>
  <si>
    <t>Update Terraform for the new k8s job</t>
  </si>
  <si>
    <t>BACK-1474</t>
  </si>
  <si>
    <t>Create a scheduled data fetch k8s job</t>
  </si>
  <si>
    <t>BACK-1472</t>
  </si>
  <si>
    <t>Add user defined key-value pairs that can be associated with a message</t>
  </si>
  <si>
    <t>BACK-1471</t>
  </si>
  <si>
    <t>Add Custom Fields in Deep Recon</t>
  </si>
  <si>
    <t>BACK-1470</t>
  </si>
  <si>
    <t>Update the prediction API to include custom fields</t>
  </si>
  <si>
    <t>BACK-1469</t>
  </si>
  <si>
    <t>Allow Automation to use custom fields</t>
  </si>
  <si>
    <t>BACK-1468</t>
  </si>
  <si>
    <t>Use equivalency lists on full strings</t>
  </si>
  <si>
    <t>BACK-1467</t>
  </si>
  <si>
    <t>Create a custom FEEL function that would use equivalency lists and a string</t>
  </si>
  <si>
    <t>Canceled</t>
  </si>
  <si>
    <t>BACK-1466</t>
  </si>
  <si>
    <t>FEEL / Equivalency matching improvements to build Automations for Accenture</t>
  </si>
  <si>
    <t>UI-678</t>
  </si>
  <si>
    <t>Create Absolute Value Puzzle Piece</t>
  </si>
  <si>
    <t>Code Review</t>
  </si>
  <si>
    <t>BACK-1465</t>
  </si>
  <si>
    <t>Deep Pilot - Light Extraction - Some Excel Files with multiple tables merge the tables and do not extract any aliases</t>
  </si>
  <si>
    <t>BACK-1464</t>
  </si>
  <si>
    <t>Deep Pilot - Hardcode some checklist items to be sent to Allegro without review (Colonybank)</t>
  </si>
  <si>
    <t>Kannal Mutharasu</t>
  </si>
  <si>
    <t>BACK-1463</t>
  </si>
  <si>
    <t>Additional Allegro Field Mapping</t>
  </si>
  <si>
    <t>Blocked</t>
  </si>
  <si>
    <t>CI-885</t>
  </si>
  <si>
    <t>Update kserve inference service resources</t>
  </si>
  <si>
    <t>In Testing</t>
  </si>
  <si>
    <t>Chad Hegerhorst</t>
  </si>
  <si>
    <t>BACK-1462</t>
  </si>
  <si>
    <t>Deep Recon - Detach Automations from Outlook (for Accenture)</t>
  </si>
  <si>
    <t>BACK-1436</t>
  </si>
  <si>
    <t>Deep Recon - Always run on import Automations (Broadridge)</t>
  </si>
  <si>
    <t>SC-298</t>
  </si>
  <si>
    <t>Fix Remaining Application-Level Dependencies</t>
  </si>
  <si>
    <t>SC-297</t>
  </si>
  <si>
    <t>Standardize Alpine-based Images to 3.22</t>
  </si>
  <si>
    <t>SC-296</t>
  </si>
  <si>
    <t>Standardize Ubuntu-based Images to 24.04 LTS</t>
  </si>
  <si>
    <t>SC-295</t>
  </si>
  <si>
    <t>[HIGH] GHSA-9763-4f94-gfch: github.com/cloudflare/circl vulnerability in 1 images</t>
  </si>
  <si>
    <t>SC-294</t>
  </si>
  <si>
    <t>[HIGH] GHSA-7jwh-3vrq-q3m8: github.com/jackc/pgproto3/v2 vulnerability in 1 images</t>
  </si>
  <si>
    <t>SC-293</t>
  </si>
  <si>
    <t>[HIGH] CVE-2025-8194: python vulnerability in 1 images (Cross-Category)</t>
  </si>
  <si>
    <t>SC-292</t>
  </si>
  <si>
    <t>[HIGH] CVE-2025-7425: libxml2 vulnerability in 1 images (Cross-Category)</t>
  </si>
  <si>
    <t>SC-291</t>
  </si>
  <si>
    <t>[HIGH] CVE-2025-7424: libxslt1.1 vulnerability in 1 images</t>
  </si>
  <si>
    <t>SC-290</t>
  </si>
  <si>
    <t>[HIGH] CVE-2025-62727: starlette vulnerability in 1 images</t>
  </si>
  <si>
    <t>SC-289</t>
  </si>
  <si>
    <t>[HIGH] CVE-2025-62157: github.com/argoproj/argo-workflows/v3 vulnerability in 1 images</t>
  </si>
  <si>
    <t>SC-288</t>
  </si>
  <si>
    <t>[HIGH] CVE-2025-62156: github.com/argoproj/argo-workflows/v3 vulnerability in 1 images</t>
  </si>
  <si>
    <t>SC-287</t>
  </si>
  <si>
    <t>[HIGH] CVE-2025-6021: libxml2 vulnerability in 1 images (Cross-Category)</t>
  </si>
  <si>
    <t>SC-286</t>
  </si>
  <si>
    <t>[HIGH] CVE-2025-6020: libpam-modules vulnerability in 1 images</t>
  </si>
  <si>
    <t>SC-285</t>
  </si>
  <si>
    <t>[HIGH] CVE-2025-59419: io.netty:netty-codec-smtp vulnerability in 1 images</t>
  </si>
  <si>
    <t>SC-284</t>
  </si>
  <si>
    <t>[HIGH] CVE-2025-58754: axios vulnerability in 1 images</t>
  </si>
  <si>
    <t>SC-283</t>
  </si>
  <si>
    <t>[HIGH] CVE-2025-55752: org.apache.tomcat.embed:tomcat-embed-core vulnerability in 1 images</t>
  </si>
  <si>
    <t>SC-282</t>
  </si>
  <si>
    <t>[HIGH] CVE-2025-55163: io.netty:netty-codec-http2 vulnerability in 1 images</t>
  </si>
  <si>
    <t>SC-281</t>
  </si>
  <si>
    <t>[HIGH] CVE-2025-5222: libicu vulnerability in 1 images (Cross-Category)</t>
  </si>
  <si>
    <t>SC-280</t>
  </si>
  <si>
    <t>[HIGH] CVE-2025-50106: openjdk17-jre vulnerability in 1 images</t>
  </si>
  <si>
    <t>SC-279</t>
  </si>
  <si>
    <t>[HIGH] CVE-2025-50059: openjdk17-jre vulnerability in 1 images</t>
  </si>
  <si>
    <t>SC-278</t>
  </si>
  <si>
    <t>[HIGH] CVE-2025-48989: org.apache.tomcat.embed:tomcat-embed-core vulnerability in 1 images</t>
  </si>
  <si>
    <t>SC-277</t>
  </si>
  <si>
    <t>[HIGH] CVE-2025-48988: org.apache.tomcat.embed:tomcat-embed-core vulnerability in 1 images</t>
  </si>
  <si>
    <t>SC-276</t>
  </si>
  <si>
    <t>[HIGH] CVE-2025-48734: commons-beanutils:commons-beanutils vulnerability in 1 images (Cross-Category)</t>
  </si>
  <si>
    <t>SC-275</t>
  </si>
  <si>
    <t>[HIGH] CVE-2025-4802: libc-bin vulnerability in 1 images</t>
  </si>
  <si>
    <t>SC-274</t>
  </si>
  <si>
    <t>[HIGH] CVE-2025-47907: stdlib vulnerability in 1 images (Cross-Category)</t>
  </si>
  <si>
    <t>SC-273</t>
  </si>
  <si>
    <t>[HIGH] CVE-2025-47273: setuptools vulnerability in 1 images (Cross-Category)</t>
  </si>
  <si>
    <t>SC-272</t>
  </si>
  <si>
    <t>[HIGH] CVE-2025-4565: protobuf vulnerability in 1 images (Cross-Category)</t>
  </si>
  <si>
    <t>SC-271</t>
  </si>
  <si>
    <t>[HIGH] CVE-2025-41249: org.springframework:spring-core vulnerability in 1 images</t>
  </si>
  <si>
    <t>SC-270</t>
  </si>
  <si>
    <t>[HIGH] CVE-2025-38118: linux-libc-dev vulnerability in 1 images</t>
  </si>
  <si>
    <t>SC-269</t>
  </si>
  <si>
    <t>[HIGH] CVE-2025-32990: libgnutls30 vulnerability in 1 images</t>
  </si>
  <si>
    <t>SC-268</t>
  </si>
  <si>
    <t>[HIGH] CVE-2025-32988: libgnutls30 vulnerability in 1 images</t>
  </si>
  <si>
    <t>SC-267</t>
  </si>
  <si>
    <t>[HIGH] CVE-2025-32463: sudo vulnerability in 1 images</t>
  </si>
  <si>
    <t>SC-266</t>
  </si>
  <si>
    <t>[HIGH] CVE-2025-32462: sudo vulnerability in 1 images</t>
  </si>
  <si>
    <t>SC-265</t>
  </si>
  <si>
    <t>[HIGH] CVE-2025-32415: libxml2 vulnerability in 1 images</t>
  </si>
  <si>
    <t>SC-264</t>
  </si>
  <si>
    <t>[HIGH] CVE-2025-32414: libxml2 vulnerability in 1 images</t>
  </si>
  <si>
    <t>SC-263</t>
  </si>
  <si>
    <t>[HIGH] CVE-2025-31115: liblzma5 vulnerability in 1 images</t>
  </si>
  <si>
    <t>SC-262</t>
  </si>
  <si>
    <t>[HIGH] CVE-2025-30749: openjdk17-jre vulnerability in 1 images</t>
  </si>
  <si>
    <t>SC-261</t>
  </si>
  <si>
    <t>[HIGH] CVE-2025-30204: github.com/golang-jwt/jwt/v4 vulnerability in 1 images</t>
  </si>
  <si>
    <t>SC-260</t>
  </si>
  <si>
    <t>[HIGH] CVE-2025-29786: github.com/expr-lang/expr vulnerability in 1 images</t>
  </si>
  <si>
    <t>SC-259</t>
  </si>
  <si>
    <t>[HIGH] CVE-2025-27818: kafka vulnerability in 1 images</t>
  </si>
  <si>
    <t>SC-258</t>
  </si>
  <si>
    <t>[HIGH] CVE-2025-27817: kafka vulnerability in 1 images</t>
  </si>
  <si>
    <t>SC-257</t>
  </si>
  <si>
    <t>[HIGH] CVE-2025-27113: libxml2 vulnerability in 1 images</t>
  </si>
  <si>
    <t>SC-256</t>
  </si>
  <si>
    <t>[HIGH] CVE-2025-24970: io.netty:netty-handler vulnerability in 1 images</t>
  </si>
  <si>
    <t>SC-255</t>
  </si>
  <si>
    <t>[HIGH] CVE-2025-24928: libxml2 vulnerability in 1 images</t>
  </si>
  <si>
    <t>SC-254</t>
  </si>
  <si>
    <t>[HIGH] CVE-2025-24855: libxslt1.1 vulnerability in 1 images</t>
  </si>
  <si>
    <t>SC-253</t>
  </si>
  <si>
    <t>[HIGH] CVE-2025-22869: golang.org/x/crypto vulnerability in 1 images</t>
  </si>
  <si>
    <t>SC-252</t>
  </si>
  <si>
    <t>[HIGH] CVE-2025-22868: golang.org/x/oauth2 vulnerability in 1 images</t>
  </si>
  <si>
    <t>SC-251</t>
  </si>
  <si>
    <t>[HIGH] CVE-2025-22235: org.springframework.boot:spring-boot vulnerability in 1 images</t>
  </si>
  <si>
    <t>SC-250</t>
  </si>
  <si>
    <t>[HIGH] CVE-2025-21791: linux-libc-dev vulnerability in 1 images</t>
  </si>
  <si>
    <t>SC-249</t>
  </si>
  <si>
    <t>[HIGH] CVE-2025-21761: linux-libc-dev vulnerability in 1 images</t>
  </si>
  <si>
    <t>SC-248</t>
  </si>
  <si>
    <t>[HIGH] CVE-2025-21715: linux-libc-dev vulnerability in 1 images</t>
  </si>
  <si>
    <t>SC-247</t>
  </si>
  <si>
    <t>[HIGH] CVE-2025-21704: linux-libc-dev vulnerability in 1 images</t>
  </si>
  <si>
    <t>SC-246</t>
  </si>
  <si>
    <t>[HIGH] CVE-2025-21703: linux-libc-dev vulnerability in 1 images</t>
  </si>
  <si>
    <t>SC-245</t>
  </si>
  <si>
    <t>[HIGH] CVE-2025-21647: linux-libc-dev vulnerability in 1 images</t>
  </si>
  <si>
    <t>SC-244</t>
  </si>
  <si>
    <t>[HIGH] CVE-2025-21614: github.com/go-git/go-git/v5 vulnerability in 1 images</t>
  </si>
  <si>
    <t>SC-243</t>
  </si>
  <si>
    <t>[HIGH] CVE-2024-9287: libpython3.9-minimal vulnerability in 1 images</t>
  </si>
  <si>
    <t>SC-242</t>
  </si>
  <si>
    <t>[HIGH] CVE-2024-8176: libexpat1 vulnerability in 1 images</t>
  </si>
  <si>
    <t>SC-241</t>
  </si>
  <si>
    <t>[HIGH] CVE-2024-7592: libpython3.9-minimal vulnerability in 1 images</t>
  </si>
  <si>
    <t>SC-240</t>
  </si>
  <si>
    <t>[HIGH] CVE-2024-7254: com.google.protobuf:protobuf-java vulnerability in 1 images (Cross-Category)</t>
  </si>
  <si>
    <t>SC-239</t>
  </si>
  <si>
    <t>[HIGH] CVE-2024-6345: python3-pkg-resources vulnerability in 1 images</t>
  </si>
  <si>
    <t>SC-238</t>
  </si>
  <si>
    <t>[HIGH] CVE-2024-6232: libpython3.9-minimal vulnerability in 1 images</t>
  </si>
  <si>
    <t>SC-237</t>
  </si>
  <si>
    <t>[HIGH] CVE-2024-6119: libcrypto3 vulnerability in 1 images (Cross-Category)</t>
  </si>
  <si>
    <t>SC-236</t>
  </si>
  <si>
    <t>[HIGH] CVE-2024-58083: linux-libc-dev vulnerability in 1 images</t>
  </si>
  <si>
    <t>SC-235</t>
  </si>
  <si>
    <t>[HIGH] CVE-2024-57850: linux-libc-dev vulnerability in 1 images</t>
  </si>
  <si>
    <t>SC-234</t>
  </si>
  <si>
    <t>[HIGH] CVE-2024-56658: linux-libc-dev vulnerability in 1 images</t>
  </si>
  <si>
    <t>SC-233</t>
  </si>
  <si>
    <t>[HIGH] CVE-2024-56598: linux-libc-dev vulnerability in 1 images</t>
  </si>
  <si>
    <t>SC-232</t>
  </si>
  <si>
    <t>[HIGH] CVE-2024-56596: linux-libc-dev vulnerability in 1 images</t>
  </si>
  <si>
    <t>SC-231</t>
  </si>
  <si>
    <t>[HIGH] CVE-2024-56595: linux-libc-dev vulnerability in 1 images</t>
  </si>
  <si>
    <t>SC-230</t>
  </si>
  <si>
    <t>[HIGH] CVE-2024-56593: linux-libc-dev vulnerability in 1 images</t>
  </si>
  <si>
    <t>SC-229</t>
  </si>
  <si>
    <t>[HIGH] CVE-2024-56406: libperl5.36 vulnerability in 1 images</t>
  </si>
  <si>
    <t>SC-228</t>
  </si>
  <si>
    <t>[HIGH] CVE-2024-55549: libxslt1.1 vulnerability in 1 images</t>
  </si>
  <si>
    <t>SC-227</t>
  </si>
  <si>
    <t>[HIGH] CVE-2024-53217: linux-libc-dev vulnerability in 1 images</t>
  </si>
  <si>
    <t>SC-226</t>
  </si>
  <si>
    <t>[HIGH] CVE-2024-53197: linux-libc-dev vulnerability in 1 images</t>
  </si>
  <si>
    <t>SC-225</t>
  </si>
  <si>
    <t>[HIGH] CVE-2024-53179: linux-libc-dev vulnerability in 1 images</t>
  </si>
  <si>
    <t>SC-224</t>
  </si>
  <si>
    <t>[HIGH] CVE-2024-53171: linux-libc-dev vulnerability in 1 images</t>
  </si>
  <si>
    <t>SC-223</t>
  </si>
  <si>
    <t>[HIGH] CVE-2024-53150: linux-libc-dev vulnerability in 1 images</t>
  </si>
  <si>
    <t>SC-222</t>
  </si>
  <si>
    <t>[HIGH] CVE-2024-53140: linux-libc-dev vulnerability in 1 images</t>
  </si>
  <si>
    <t>SC-221</t>
  </si>
  <si>
    <t>[HIGH] CVE-2024-53104: linux-libc-dev vulnerability in 1 images</t>
  </si>
  <si>
    <t>SC-220</t>
  </si>
  <si>
    <t>[HIGH] CVE-2024-53103: linux-libc-dev vulnerability in 1 images</t>
  </si>
  <si>
    <t>SC-219</t>
  </si>
  <si>
    <t>[HIGH] CVE-2024-53063: linux-libc-dev vulnerability in 1 images</t>
  </si>
  <si>
    <t>SC-218</t>
  </si>
  <si>
    <t>[HIGH] CVE-2024-50302: linux-libc-dev vulnerability in 1 images</t>
  </si>
  <si>
    <t>SC-217</t>
  </si>
  <si>
    <t>[HIGH] CVE-2024-50299: linux-libc-dev vulnerability in 1 images</t>
  </si>
  <si>
    <t>SC-216</t>
  </si>
  <si>
    <t>[HIGH] CVE-2024-50264: linux-libc-dev vulnerability in 1 images</t>
  </si>
  <si>
    <t>SC-215</t>
  </si>
  <si>
    <t>[HIGH] CVE-2024-49958: linux-libc-dev vulnerability in 1 images</t>
  </si>
  <si>
    <t>SC-214</t>
  </si>
  <si>
    <t>[HIGH] CVE-2024-49883: linux-libc-dev vulnerability in 1 images</t>
  </si>
  <si>
    <t>SC-213</t>
  </si>
  <si>
    <t>[HIGH] CVE-2024-47685: linux-libc-dev vulnerability in 1 images</t>
  </si>
  <si>
    <t>SC-212</t>
  </si>
  <si>
    <t>[HIGH] CVE-2024-47554: commons-io:commons-io vulnerability in 1 images</t>
  </si>
  <si>
    <t>SC-211</t>
  </si>
  <si>
    <t>[HIGH] CVE-2024-45490: libexpat1 vulnerability in 1 images</t>
  </si>
  <si>
    <t>SC-210</t>
  </si>
  <si>
    <t>[HIGH] CVE-2024-43882: linux-libc-dev vulnerability in 1 images</t>
  </si>
  <si>
    <t>SC-209</t>
  </si>
  <si>
    <t>[HIGH] CVE-2024-38630: linux-libc-dev vulnerability in 1 images</t>
  </si>
  <si>
    <t>SC-208</t>
  </si>
  <si>
    <t>[HIGH] CVE-2024-38558: linux-libc-dev vulnerability in 1 images</t>
  </si>
  <si>
    <t>SC-207</t>
  </si>
  <si>
    <t>[HIGH] CVE-2024-37370: libgssapi-krb5-2 vulnerability in 1 images</t>
  </si>
  <si>
    <t>SC-206</t>
  </si>
  <si>
    <t>[HIGH] CVE-2024-37059: mlflow vulnerability in 1 images</t>
  </si>
  <si>
    <t>SC-205</t>
  </si>
  <si>
    <t>[HIGH] CVE-2024-36971: linux-libc-dev vulnerability in 1 images</t>
  </si>
  <si>
    <t>SC-204</t>
  </si>
  <si>
    <t>[HIGH] CVE-2024-36016: linux-libc-dev vulnerability in 1 images</t>
  </si>
  <si>
    <t>SC-203</t>
  </si>
  <si>
    <t>[HIGH] CVE-2024-35870: linux-libc-dev vulnerability in 1 images</t>
  </si>
  <si>
    <t>SC-202</t>
  </si>
  <si>
    <t>[HIGH] CVE-2024-35864: linux-libc-dev vulnerability in 1 images</t>
  </si>
  <si>
    <t>SC-201</t>
  </si>
  <si>
    <t>[HIGH] CVE-2024-34156: stdlib vulnerability in 1 images</t>
  </si>
  <si>
    <t>SC-200</t>
  </si>
  <si>
    <t>[HIGH] CVE-2024-33599: libc-bin vulnerability in 1 images</t>
  </si>
  <si>
    <t>SC-199</t>
  </si>
  <si>
    <t>[HIGH] CVE-2024-32487: less vulnerability in 1 images</t>
  </si>
  <si>
    <t>SC-198</t>
  </si>
  <si>
    <t>[HIGH] CVE-2024-31583: torch vulnerability in 1 images</t>
  </si>
  <si>
    <t>SC-197</t>
  </si>
  <si>
    <t>[HIGH] CVE-2024-31580: torch vulnerability in 1 images</t>
  </si>
  <si>
    <t>SC-196</t>
  </si>
  <si>
    <t>[HIGH] CVE-2024-27398: linux-libc-dev vulnerability in 1 images</t>
  </si>
  <si>
    <t>SC-195</t>
  </si>
  <si>
    <t>[HIGH] CVE-2024-27397: linux-libc-dev vulnerability in 1 images</t>
  </si>
  <si>
    <t>SC-194</t>
  </si>
  <si>
    <t>[HIGH] CVE-2024-27304: github.com/jackc/pgx/v4 vulnerability in 1 images</t>
  </si>
  <si>
    <t>SC-193</t>
  </si>
  <si>
    <t>[HIGH] CVE-2024-27289: github.com/jackc/pgx/v4 vulnerability in 1 images</t>
  </si>
  <si>
    <t>SC-192</t>
  </si>
  <si>
    <t>[HIGH] CVE-2024-26960: linux-libc-dev vulnerability in 1 images</t>
  </si>
  <si>
    <t>SC-191</t>
  </si>
  <si>
    <t>[HIGH] CVE-2024-26928: linux-libc-dev vulnerability in 1 images</t>
  </si>
  <si>
    <t>SC-190</t>
  </si>
  <si>
    <t>[HIGH] CVE-2024-26925: linux-libc-dev vulnerability in 1 images</t>
  </si>
  <si>
    <t>SC-189</t>
  </si>
  <si>
    <t>[HIGH] CVE-2024-26923: linux-libc-dev vulnerability in 1 images</t>
  </si>
  <si>
    <t>SC-188</t>
  </si>
  <si>
    <t>[HIGH] CVE-2024-26921: linux-libc-dev vulnerability in 1 images</t>
  </si>
  <si>
    <t>SC-187</t>
  </si>
  <si>
    <t>[HIGH] CVE-2024-26828: linux-libc-dev vulnerability in 1 images</t>
  </si>
  <si>
    <t>SC-186</t>
  </si>
  <si>
    <t>[HIGH] CVE-2024-26800: linux-libc-dev vulnerability in 1 images</t>
  </si>
  <si>
    <t>SC-185</t>
  </si>
  <si>
    <t>[HIGH] CVE-2024-26689: linux-libc-dev vulnerability in 1 images</t>
  </si>
  <si>
    <t>SC-184</t>
  </si>
  <si>
    <t>[HIGH] CVE-2024-26643: linux-libc-dev vulnerability in 1 images</t>
  </si>
  <si>
    <t>SC-183</t>
  </si>
  <si>
    <t>[HIGH] CVE-2024-26642: linux-libc-dev vulnerability in 1 images</t>
  </si>
  <si>
    <t>SC-182</t>
  </si>
  <si>
    <t>[HIGH] CVE-2024-26597: linux-libc-dev vulnerability in 1 images</t>
  </si>
  <si>
    <t>SC-181</t>
  </si>
  <si>
    <t>[HIGH] CVE-2024-26585: linux-libc-dev vulnerability in 1 images</t>
  </si>
  <si>
    <t>SC-180</t>
  </si>
  <si>
    <t>[HIGH] CVE-2024-26584: linux-libc-dev vulnerability in 1 images</t>
  </si>
  <si>
    <t>SC-179</t>
  </si>
  <si>
    <t>[HIGH] CVE-2024-26583: linux-libc-dev vulnerability in 1 images</t>
  </si>
  <si>
    <t>SC-178</t>
  </si>
  <si>
    <t>[HIGH] CVE-2024-26581: linux-libc-dev vulnerability in 1 images</t>
  </si>
  <si>
    <t>SC-177</t>
  </si>
  <si>
    <t>[HIGH] CVE-2024-26130: cryptography vulnerability in 1 images</t>
  </si>
  <si>
    <t>SC-176</t>
  </si>
  <si>
    <t>[HIGH] CVE-2024-25062: libxml2 vulnerability in 1 images</t>
  </si>
  <si>
    <t>SC-175</t>
  </si>
  <si>
    <t>[HIGH] CVE-2024-13009: org.eclipse.jetty:jetty-server vulnerability in 1 images</t>
  </si>
  <si>
    <t>SC-174</t>
  </si>
  <si>
    <t>[HIGH] CVE-2024-12797: libssl3t64 vulnerability in 1 images</t>
  </si>
  <si>
    <t>SC-173</t>
  </si>
  <si>
    <t>[HIGH] CVE-2024-1086: linux-libc-dev vulnerability in 1 images</t>
  </si>
  <si>
    <t>SC-172</t>
  </si>
  <si>
    <t>[HIGH] CVE-2024-0646: linux-libc-dev vulnerability in 1 images</t>
  </si>
  <si>
    <t>SC-171</t>
  </si>
  <si>
    <t>[HIGH] CVE-2024-0567: libgnutls30 vulnerability in 1 images</t>
  </si>
  <si>
    <t>SC-170</t>
  </si>
  <si>
    <t>[HIGH] CVE-2024-0553: libgnutls30 vulnerability in 1 images</t>
  </si>
  <si>
    <t>SC-169</t>
  </si>
  <si>
    <t>[HIGH] CVE-2023-7104: libsqlite3-0 vulnerability in 1 images</t>
  </si>
  <si>
    <t>SC-168</t>
  </si>
  <si>
    <t>[HIGH] CVE-2023-6932: linux-libc-dev vulnerability in 1 images</t>
  </si>
  <si>
    <t>SC-167</t>
  </si>
  <si>
    <t>[HIGH] CVE-2023-6931: linux-libc-dev vulnerability in 1 images</t>
  </si>
  <si>
    <t>SC-166</t>
  </si>
  <si>
    <t>[HIGH] CVE-2023-6597: libpython3.9-minimal vulnerability in 1 images</t>
  </si>
  <si>
    <t>SC-165</t>
  </si>
  <si>
    <t>[HIGH] CVE-2023-6270: linux-libc-dev vulnerability in 1 images</t>
  </si>
  <si>
    <t>SC-164</t>
  </si>
  <si>
    <t>[HIGH] CVE-2023-6176: linux-libc-dev vulnerability in 1 images</t>
  </si>
  <si>
    <t>SC-163</t>
  </si>
  <si>
    <t>[HIGH] CVE-2023-5363: libcrypto3 vulnerability in 1 images</t>
  </si>
  <si>
    <t>SC-162</t>
  </si>
  <si>
    <t>[HIGH] CVE-2023-52927: linux-libc-dev vulnerability in 1 images</t>
  </si>
  <si>
    <t>SC-161</t>
  </si>
  <si>
    <t>[HIGH] CVE-2023-52885: linux-libc-dev vulnerability in 1 images</t>
  </si>
  <si>
    <t>SC-160</t>
  </si>
  <si>
    <t>[HIGH] CVE-2023-52880: linux-libc-dev vulnerability in 1 images</t>
  </si>
  <si>
    <t>SC-159</t>
  </si>
  <si>
    <t>[HIGH] CVE-2023-52664: linux-libc-dev vulnerability in 1 images</t>
  </si>
  <si>
    <t>SC-158</t>
  </si>
  <si>
    <t>[HIGH] CVE-2023-52620: linux-libc-dev vulnerability in 1 images</t>
  </si>
  <si>
    <t>SC-157</t>
  </si>
  <si>
    <t>[HIGH] CVE-2023-52425: libexpat1 vulnerability in 1 images</t>
  </si>
  <si>
    <t>SC-156</t>
  </si>
  <si>
    <t>[HIGH] CVE-2023-51781: linux-libc-dev vulnerability in 1 images</t>
  </si>
  <si>
    <t>SC-155</t>
  </si>
  <si>
    <t>[HIGH] CVE-2023-50868: libsystemd0 vulnerability in 1 images</t>
  </si>
  <si>
    <t>SC-154</t>
  </si>
  <si>
    <t>[HIGH] CVE-2023-50782: cryptography vulnerability in 1 images</t>
  </si>
  <si>
    <t>SC-153</t>
  </si>
  <si>
    <t>[HIGH] CVE-2023-50387: libsystemd0 vulnerability in 1 images</t>
  </si>
  <si>
    <t>SC-152</t>
  </si>
  <si>
    <t>[HIGH] CVE-2023-4921: linux-libc-dev vulnerability in 1 images</t>
  </si>
  <si>
    <t>SC-151</t>
  </si>
  <si>
    <t>[HIGH] CVE-2023-46402: github.com/whilp/git-urls vulnerability in 1 images</t>
  </si>
  <si>
    <t>SC-150</t>
  </si>
  <si>
    <t>[HIGH] CVE-2023-4623: linux-libc-dev vulnerability in 1 images</t>
  </si>
  <si>
    <t>SC-149</t>
  </si>
  <si>
    <t>[HIGH] CVE-2023-4622: linux-libc-dev vulnerability in 1 images</t>
  </si>
  <si>
    <t>SC-148</t>
  </si>
  <si>
    <t>[HIGH] CVE-2023-45288: stdlib vulnerability in 1 images</t>
  </si>
  <si>
    <t>SC-147</t>
  </si>
  <si>
    <t>[HIGH] CVE-2023-45287: stdlib vulnerability in 1 images</t>
  </si>
  <si>
    <t>SC-146</t>
  </si>
  <si>
    <t>[HIGH] CVE-2023-45283: stdlib vulnerability in 1 images</t>
  </si>
  <si>
    <t>SC-145</t>
  </si>
  <si>
    <t>[HIGH] CVE-2023-42756: linux-libc-dev vulnerability in 1 images</t>
  </si>
  <si>
    <t>SC-144</t>
  </si>
  <si>
    <t>[HIGH] CVE-2023-42755: linux-libc-dev vulnerability in 1 images</t>
  </si>
  <si>
    <t>SC-143</t>
  </si>
  <si>
    <t>[HIGH] CVE-2023-42753: linux-libc-dev vulnerability in 1 images</t>
  </si>
  <si>
    <t>SC-142</t>
  </si>
  <si>
    <t>[HIGH] CVE-2023-42752: linux-libc-dev vulnerability in 1 images</t>
  </si>
  <si>
    <t>SC-141</t>
  </si>
  <si>
    <t>[HIGH] CVE-2023-4244: linux-libc-dev vulnerability in 1 images</t>
  </si>
  <si>
    <t>SC-140</t>
  </si>
  <si>
    <t>[HIGH] CVE-2023-39325: stdlib vulnerability in 1 images</t>
  </si>
  <si>
    <t>SC-139</t>
  </si>
  <si>
    <t>[HIGH] CVE-2023-37475: github.com/hamba/avro vulnerability in 1 images</t>
  </si>
  <si>
    <t>SC-138</t>
  </si>
  <si>
    <t>[HIGH] CVE-2023-31484: libperl5.36 vulnerability in 1 images</t>
  </si>
  <si>
    <t>SC-137</t>
  </si>
  <si>
    <t>[HIGH] CVE-2023-2953: libldap-2.5-0 vulnerability in 1 images</t>
  </si>
  <si>
    <t>SC-136</t>
  </si>
  <si>
    <t>[HIGH] CVE-2023-29403: stdlib vulnerability in 1 images</t>
  </si>
  <si>
    <t>SC-135</t>
  </si>
  <si>
    <t>[HIGH] CVE-2023-29400: stdlib vulnerability in 1 images</t>
  </si>
  <si>
    <t>SC-134</t>
  </si>
  <si>
    <t>[HIGH] CVE-2023-24539: stdlib vulnerability in 1 images</t>
  </si>
  <si>
    <t>SC-133</t>
  </si>
  <si>
    <t>[HIGH] CVE-2023-24537: stdlib vulnerability in 1 images</t>
  </si>
  <si>
    <t>SC-132</t>
  </si>
  <si>
    <t>[HIGH] CVE-2023-24536: stdlib vulnerability in 1 images</t>
  </si>
  <si>
    <t>SC-131</t>
  </si>
  <si>
    <t>[HIGH] CVE-2023-24534: stdlib vulnerability in 1 images</t>
  </si>
  <si>
    <t>SC-130</t>
  </si>
  <si>
    <t>[HIGH] CVE-2023-24329: libpython3.9-minimal vulnerability in 1 images</t>
  </si>
  <si>
    <t>SC-129</t>
  </si>
  <si>
    <t>[HIGH] CVE-2023-21400: linux-libc-dev vulnerability in 1 images</t>
  </si>
  <si>
    <t>SC-128</t>
  </si>
  <si>
    <t>[HIGH] CVE-2022-49043: libxml2 vulnerability in 1 images</t>
  </si>
  <si>
    <t>SC-127</t>
  </si>
  <si>
    <t>[HIGH] CVE-2022-4899: libzstd1 vulnerability in 1 images</t>
  </si>
  <si>
    <t>SC-126</t>
  </si>
  <si>
    <t>[HIGH] CVE-2022-48624: less vulnerability in 1 images</t>
  </si>
  <si>
    <t>SC-125</t>
  </si>
  <si>
    <t>[HIGH] CVE-2022-45061: libpython3.9-minimal vulnerability in 1 images</t>
  </si>
  <si>
    <t>SC-124</t>
  </si>
  <si>
    <t>[HIGH] CVE-2022-42919: libpython3.9-minimal vulnerability in 1 images</t>
  </si>
  <si>
    <t>SC-123</t>
  </si>
  <si>
    <t>[HIGH] CVE-2022-41725: stdlib vulnerability in 1 images</t>
  </si>
  <si>
    <t>SC-122</t>
  </si>
  <si>
    <t>[HIGH] CVE-2022-41724: stdlib vulnerability in 1 images</t>
  </si>
  <si>
    <t>SC-121</t>
  </si>
  <si>
    <t>[HIGH] CVE-2022-41723: stdlib vulnerability in 1 images</t>
  </si>
  <si>
    <t>SC-120</t>
  </si>
  <si>
    <t>[HIGH] CVE-2022-41722: stdlib vulnerability in 1 images</t>
  </si>
  <si>
    <t>SC-119</t>
  </si>
  <si>
    <t>[HIGH] CVE-2022-41720: stdlib vulnerability in 1 images</t>
  </si>
  <si>
    <t>SC-118</t>
  </si>
  <si>
    <t>[HIGH] CVE-2022-41716: stdlib vulnerability in 1 images</t>
  </si>
  <si>
    <t>SC-117</t>
  </si>
  <si>
    <t>[HIGH] CVE-2022-41715: stdlib vulnerability in 1 images</t>
  </si>
  <si>
    <t>SC-116</t>
  </si>
  <si>
    <t>[HIGH] CVE-2022-3715: bash vulnerability in 1 images</t>
  </si>
  <si>
    <t>SC-115</t>
  </si>
  <si>
    <t>[HIGH] CVE-2022-36402: linux-libc-dev vulnerability in 1 images</t>
  </si>
  <si>
    <t>SC-114</t>
  </si>
  <si>
    <t>[HIGH] CVE-2022-32189: stdlib vulnerability in 1 images</t>
  </si>
  <si>
    <t>SC-113</t>
  </si>
  <si>
    <t>[HIGH] CVE-2022-30635: stdlib vulnerability in 1 images</t>
  </si>
  <si>
    <t>SC-112</t>
  </si>
  <si>
    <t>[HIGH] CVE-2022-30634: stdlib vulnerability in 1 images</t>
  </si>
  <si>
    <t>SC-111</t>
  </si>
  <si>
    <t>[HIGH] CVE-2022-30633: stdlib vulnerability in 1 images</t>
  </si>
  <si>
    <t>SC-110</t>
  </si>
  <si>
    <t>[HIGH] CVE-2022-30632: stdlib vulnerability in 1 images</t>
  </si>
  <si>
    <t>SC-109</t>
  </si>
  <si>
    <t>[HIGH] CVE-2022-30631: stdlib vulnerability in 1 images</t>
  </si>
  <si>
    <t>SC-108</t>
  </si>
  <si>
    <t>[HIGH] CVE-2022-30630: stdlib vulnerability in 1 images</t>
  </si>
  <si>
    <t>SC-107</t>
  </si>
  <si>
    <t>[HIGH] CVE-2022-30580: stdlib vulnerability in 1 images</t>
  </si>
  <si>
    <t>SC-106</t>
  </si>
  <si>
    <t>[HIGH] CVE-2022-29804: stdlib vulnerability in 1 images</t>
  </si>
  <si>
    <t>SC-105</t>
  </si>
  <si>
    <t>[HIGH] CVE-2022-2880: stdlib vulnerability in 1 images</t>
  </si>
  <si>
    <t>SC-104</t>
  </si>
  <si>
    <t>[HIGH] CVE-2022-2879: stdlib vulnerability in 1 images</t>
  </si>
  <si>
    <t>SC-103</t>
  </si>
  <si>
    <t>[HIGH] CVE-2022-28131: stdlib vulnerability in 1 images</t>
  </si>
  <si>
    <t>SC-102</t>
  </si>
  <si>
    <t>[HIGH] CVE-2022-27664: stdlib vulnerability in 1 images</t>
  </si>
  <si>
    <t>SC-101</t>
  </si>
  <si>
    <t>[HIGH] CVE-2022-2309: libxml2 vulnerability in 1 images</t>
  </si>
  <si>
    <t>SC-100</t>
  </si>
  <si>
    <t>[HIGH] CVE-2022-1304: e2fsprogs vulnerability in 1 images</t>
  </si>
  <si>
    <t>SC-99</t>
  </si>
  <si>
    <t>[HIGH] CVE-2022-0391: libpython3.9-minimal vulnerability in 1 images</t>
  </si>
  <si>
    <t>SC-98</t>
  </si>
  <si>
    <t>[HIGH] CVE-2021-3737: libpython3.9-minimal vulnerability in 1 images</t>
  </si>
  <si>
    <t>SC-97</t>
  </si>
  <si>
    <t>[HIGH] CVE-2021-36690: libsqlite3-0 vulnerability in 1 images</t>
  </si>
  <si>
    <t>SC-96</t>
  </si>
  <si>
    <t>[HIGH] CVE-2021-33560: libgcrypt20 vulnerability in 1 images</t>
  </si>
  <si>
    <t>SC-95</t>
  </si>
  <si>
    <t>[HIGH] CVE-2021-28861: libpython3.9-minimal vulnerability in 1 images</t>
  </si>
  <si>
    <t>SC-94</t>
  </si>
  <si>
    <t>[HIGH] CVE-2020-16156: libperl5.32 vulnerability in 1 images</t>
  </si>
  <si>
    <t>SC-93</t>
  </si>
  <si>
    <t>[HIGH] CVE-2020-10735: libpython3.9-minimal vulnerability in 1 images</t>
  </si>
  <si>
    <t>SC-92</t>
  </si>
  <si>
    <t>[HIGH] CVE-2015-20107: libpython3.9-minimal vulnerability in 1 images</t>
  </si>
  <si>
    <t>SC-91</t>
  </si>
  <si>
    <t>[HIGH] CVE-2011-10007: libfile-find-rule-perl vulnerability in 1 images</t>
  </si>
  <si>
    <t>SC-90</t>
  </si>
  <si>
    <t>[CRITICAL] CVE-2025-6965: libsqlite3-0 vulnerability in 1 images</t>
  </si>
  <si>
    <t>SC-89</t>
  </si>
  <si>
    <t>[CRITICAL] CVE-2025-54988: org.apache.tika:tika-parser-pdf-module vulnerability in 2 images</t>
  </si>
  <si>
    <t>SC-88</t>
  </si>
  <si>
    <t>[CRITICAL] CVE-2025-49796: libxml2 vulnerability in 1 images (Cross-Category)</t>
  </si>
  <si>
    <t>SC-87</t>
  </si>
  <si>
    <t>[CRITICAL] CVE-2025-49794: libxml2 vulnerability in 1 images (Cross-Category)</t>
  </si>
  <si>
    <t>SC-86</t>
  </si>
  <si>
    <t>[CRITICAL] CVE-2025-32445: github.com/argoproj/argo-events vulnerability in 4 images</t>
  </si>
  <si>
    <t>SC-85</t>
  </si>
  <si>
    <t>[CRITICAL] CVE-2025-32434: torch vulnerability in 3 images</t>
  </si>
  <si>
    <t>SC-84</t>
  </si>
  <si>
    <t>[CRITICAL] CVE-2025-30215: github.com/nats-io/nats-server/v2 vulnerability in 1 images</t>
  </si>
  <si>
    <t>SC-83</t>
  </si>
  <si>
    <t>[CRITICAL] CVE-2025-21613: github.com/go-git/go-git/v5 vulnerability in 3 images</t>
  </si>
  <si>
    <t>SC-82</t>
  </si>
  <si>
    <t>[CRITICAL] CVE-2024-56171: libxml2 vulnerability in 1 images</t>
  </si>
  <si>
    <t>SC-81</t>
  </si>
  <si>
    <t>[CRITICAL] CVE-2024-45492: libexpat1 vulnerability in 1 images</t>
  </si>
  <si>
    <t>SC-80</t>
  </si>
  <si>
    <t>[CRITICAL] CVE-2024-45491: libexpat1 vulnerability in 1 images</t>
  </si>
  <si>
    <t>SC-79</t>
  </si>
  <si>
    <t>[CRITICAL] CVE-2024-45337: golang.org/x/crypto vulnerability in 8 images</t>
  </si>
  <si>
    <t>SC-78</t>
  </si>
  <si>
    <t>[CRITICAL] CVE-2024-41110: github.com/docker/docker vulnerability in 2 images</t>
  </si>
  <si>
    <t>SC-77</t>
  </si>
  <si>
    <t>[CRITICAL] CVE-2024-37371: libkrb5support0 vulnerability in 1 images</t>
  </si>
  <si>
    <t>SC-76</t>
  </si>
  <si>
    <t>[CRITICAL] CVE-2024-24790: stdlib vulnerability in 5 images</t>
  </si>
  <si>
    <t>SC-75</t>
  </si>
  <si>
    <t>[CRITICAL] CVE-2023-45853: zlib1g vulnerability in 2 images</t>
  </si>
  <si>
    <t>SC-74</t>
  </si>
  <si>
    <t>[CRITICAL] CVE-2023-24540: stdlib vulnerability in 1 images</t>
  </si>
  <si>
    <t>SC-73</t>
  </si>
  <si>
    <t>[CRITICAL] CVE-2023-24538: stdlib vulnerability in 1 images</t>
  </si>
  <si>
    <t>SC-72</t>
  </si>
  <si>
    <t>[CRITICAL] CVE-2022-48174: ssl_client vulnerability in 1 images</t>
  </si>
  <si>
    <t>SC-71</t>
  </si>
  <si>
    <t>[CRITICAL] CVE-2021-29921: python3.9-minimal vulnerability in 1 images</t>
  </si>
  <si>
    <t>SC-70</t>
  </si>
  <si>
    <t>[CRITICAL] CVE-2019-8457: libdb5.3 vulnerability in 1 images</t>
  </si>
  <si>
    <t>BACK-1434</t>
  </si>
  <si>
    <t>Add Indexes for Selects Executed from Preprocessor</t>
  </si>
  <si>
    <t>Lane Terry</t>
  </si>
  <si>
    <t>BACK-1431</t>
  </si>
  <si>
    <t>Unknown Content Transfer Encoding for Email</t>
  </si>
  <si>
    <t>BACK-1430</t>
  </si>
  <si>
    <t>ArrayIndexOutOfBounds Processing Actors</t>
  </si>
  <si>
    <t>BACK-1427</t>
  </si>
  <si>
    <t>Add LLM support to the intent agent</t>
  </si>
  <si>
    <t>BACK-1425</t>
  </si>
  <si>
    <t xml:space="preserve">Deep Pilot - Testing Suite - Add the actualPassCount and actualFailCount to the endpoint </t>
  </si>
  <si>
    <t>BACK-1422</t>
  </si>
  <si>
    <t>DTCC FEEL expression timing out</t>
  </si>
  <si>
    <t>Treven Trujillo</t>
  </si>
  <si>
    <t>SC-69</t>
  </si>
  <si>
    <t>Application Vulnerabilities</t>
  </si>
  <si>
    <t>SC-68</t>
  </si>
  <si>
    <t>Infrastructure Vulnerabilities</t>
  </si>
  <si>
    <t>BACK-1417</t>
  </si>
  <si>
    <t>Prediction records in broken state</t>
  </si>
  <si>
    <t>BACK-1416</t>
  </si>
  <si>
    <t>Make JPM dealfeed lambda more resilient</t>
  </si>
  <si>
    <t>FB-2406</t>
  </si>
  <si>
    <t>Prepare to process new data</t>
  </si>
  <si>
    <t>FILBERT</t>
  </si>
  <si>
    <t>FB</t>
  </si>
  <si>
    <t>Anna Kamionowska</t>
  </si>
  <si>
    <t>FB-2405</t>
  </si>
  <si>
    <t>Create a risk metric for advisor attrition model</t>
  </si>
  <si>
    <t>BACK-1414</t>
  </si>
  <si>
    <t>Tune DeepGPT Prompts for Generic Use Cases</t>
  </si>
  <si>
    <t>BACK-1412</t>
  </si>
  <si>
    <t>Trigger Automated Annotations on Content Map Upload</t>
  </si>
  <si>
    <t>BACK-1411</t>
  </si>
  <si>
    <t>Add Automated Annotation Configuration to Content Maps API</t>
  </si>
  <si>
    <t>BACK-1410</t>
  </si>
  <si>
    <t>Broadridge - Automation triggered on the emails with non-matching criteria</t>
  </si>
  <si>
    <t>BACK-1405</t>
  </si>
  <si>
    <t>Intent Agent - Regex causes Intent Agent to freeze when processing a large attachment</t>
  </si>
  <si>
    <t>UI-668</t>
  </si>
  <si>
    <t>Deep Pilot - Show extraction progress once the source has been updated</t>
  </si>
  <si>
    <t>BACK-1402</t>
  </si>
  <si>
    <t>Deep Pilot - Re-enable .zip reprocessing</t>
  </si>
  <si>
    <t>BACK-1401</t>
  </si>
  <si>
    <t>Large Check Ingestion - Colony</t>
  </si>
  <si>
    <t>UI-666</t>
  </si>
  <si>
    <t>Content Maps - 2 tables in Excel are merged into a single table</t>
  </si>
  <si>
    <t>BACK-1400</t>
  </si>
  <si>
    <t>Email Replies not loading message details</t>
  </si>
  <si>
    <t>BACK-1399</t>
  </si>
  <si>
    <t>30-50 minute delay between email received and created in DeepSee</t>
  </si>
  <si>
    <t>BACK-1398</t>
  </si>
  <si>
    <t>Deep Pilot - Content Maps updated through "Configure Sources" are set to Archived</t>
  </si>
  <si>
    <t>BACK-1393</t>
  </si>
  <si>
    <t>DeepRecon Email Ingestion</t>
  </si>
  <si>
    <t>Large</t>
  </si>
  <si>
    <t>BACK-1392</t>
  </si>
  <si>
    <t>Update Outlook in Batches Downstream From DeepRecon</t>
  </si>
  <si>
    <t>BACK-1391</t>
  </si>
  <si>
    <t>If a term in a reconciliation is not in a subgroup it can mess up the subgroup matching for that source</t>
  </si>
  <si>
    <t>BACK-1390</t>
  </si>
  <si>
    <t>Pull Message Updates From Monitored Folders Using Delta Query</t>
  </si>
  <si>
    <t>BACK-1389</t>
  </si>
  <si>
    <t>Pull Created Emails Only From Inbox Using Delta Query</t>
  </si>
  <si>
    <t>BACK-1388</t>
  </si>
  <si>
    <t>Track Monitored Folders for Customer Mailboxes</t>
  </si>
  <si>
    <t>BACK-1387</t>
  </si>
  <si>
    <t>Apache HttpComponents Client Configuration for DeepPilot</t>
  </si>
  <si>
    <t>BACK-1382</t>
  </si>
  <si>
    <t>Export for Vantage Commercial Lending Work Items</t>
  </si>
  <si>
    <t>Darius Ouderkirk</t>
  </si>
  <si>
    <t>BACK-1381</t>
  </si>
  <si>
    <t>Update Annotations to Match Term Group Updates</t>
  </si>
  <si>
    <t>BACK-1380</t>
  </si>
  <si>
    <t>Intent Agent - Excel tabs are not split when using Sync to DeepSee from Salesforce</t>
  </si>
  <si>
    <t>BACK-1378</t>
  </si>
  <si>
    <t xml:space="preserve">Email couldn't be processed </t>
  </si>
  <si>
    <t>Aleksander Winski</t>
  </si>
  <si>
    <t>CI-876</t>
  </si>
  <si>
    <t>Ability to schedule model training</t>
  </si>
  <si>
    <t>CI-874</t>
  </si>
  <si>
    <t>Automatically Deploy latest modelchain when training is done</t>
  </si>
  <si>
    <t>BACK-1375</t>
  </si>
  <si>
    <t>Success/Failure Handler</t>
  </si>
  <si>
    <t>BACK-1374</t>
  </si>
  <si>
    <t>OpenJDK 21 Container Image</t>
  </si>
  <si>
    <t>BACK-1372</t>
  </si>
  <si>
    <t>CI-CD for DeepRecon Platform</t>
  </si>
  <si>
    <t>CI-871</t>
  </si>
  <si>
    <t>Update training workflow to not use same name for training dataset</t>
  </si>
  <si>
    <t>BACK-1370</t>
  </si>
  <si>
    <t>Terraform for Term Annotation Workload Identity</t>
  </si>
  <si>
    <t>BACK-1369</t>
  </si>
  <si>
    <t>Base Container Image for Quarkus Application</t>
  </si>
  <si>
    <t>BACK-1368</t>
  </si>
  <si>
    <t>Update Workflow API</t>
  </si>
  <si>
    <t>BACK-1367</t>
  </si>
  <si>
    <t>Get Workflow Details API</t>
  </si>
  <si>
    <t>BACK-1366</t>
  </si>
  <si>
    <t>Create (Execute) Workflow API</t>
  </si>
  <si>
    <t>BACK-1365</t>
  </si>
  <si>
    <t>Get Workflows API</t>
  </si>
  <si>
    <t>BACK-1364</t>
  </si>
  <si>
    <t>Get Counterparty Statistics API</t>
  </si>
  <si>
    <t>BACK-1363</t>
  </si>
  <si>
    <t>Get Label Statistics API</t>
  </si>
  <si>
    <t>BACK-1362</t>
  </si>
  <si>
    <t>Get Message Statistics API</t>
  </si>
  <si>
    <t>BACK-1361</t>
  </si>
  <si>
    <t>Delete Project API</t>
  </si>
  <si>
    <t>BACK-1360</t>
  </si>
  <si>
    <t>Create Project API</t>
  </si>
  <si>
    <t>BACK-1359</t>
  </si>
  <si>
    <t>Update Project API</t>
  </si>
  <si>
    <t>BACK-1358</t>
  </si>
  <si>
    <t>Get Project Details API</t>
  </si>
  <si>
    <t>BACK-1357</t>
  </si>
  <si>
    <t>Get Projects API</t>
  </si>
  <si>
    <t>BACK-1356</t>
  </si>
  <si>
    <t>Delete ML Model API</t>
  </si>
  <si>
    <t>BACK-1355</t>
  </si>
  <si>
    <t>Update ML Model API</t>
  </si>
  <si>
    <t>BACK-1354</t>
  </si>
  <si>
    <t>Create ML Model API</t>
  </si>
  <si>
    <t>BACK-1353</t>
  </si>
  <si>
    <t>Get ML Model Details API</t>
  </si>
  <si>
    <t>BACK-1352</t>
  </si>
  <si>
    <t>Get ML Models API</t>
  </si>
  <si>
    <t>BACK-1351</t>
  </si>
  <si>
    <t>Get Message Processing Status Details API</t>
  </si>
  <si>
    <t>BACK-1350</t>
  </si>
  <si>
    <t>Get Message Processing Statuses API</t>
  </si>
  <si>
    <t>BACK-1348</t>
  </si>
  <si>
    <t>Delete Data Source API</t>
  </si>
  <si>
    <t>BACK-1347</t>
  </si>
  <si>
    <t>Create Data Source API</t>
  </si>
  <si>
    <t>BACK-1346</t>
  </si>
  <si>
    <t>Update Data Source API</t>
  </si>
  <si>
    <t>BACK-1345</t>
  </si>
  <si>
    <t>Get Data Source Details API</t>
  </si>
  <si>
    <t>BACK-1344</t>
  </si>
  <si>
    <t>Get Data Sources API</t>
  </si>
  <si>
    <t>BACK-1343</t>
  </si>
  <si>
    <t>Delete Dataset API</t>
  </si>
  <si>
    <t>BACK-1342</t>
  </si>
  <si>
    <t>Update Dataset API</t>
  </si>
  <si>
    <t>BACK-1341</t>
  </si>
  <si>
    <t>Create Dataset API</t>
  </si>
  <si>
    <t>BACK-1340</t>
  </si>
  <si>
    <t>Get Dataset Details API</t>
  </si>
  <si>
    <t>BACK-1339</t>
  </si>
  <si>
    <t>Get Datasets API</t>
  </si>
  <si>
    <t>BACK-1338</t>
  </si>
  <si>
    <t>Update Counterparty API</t>
  </si>
  <si>
    <t>BACK-1337</t>
  </si>
  <si>
    <t>Get Counterparty Details API</t>
  </si>
  <si>
    <t>BACK-1336</t>
  </si>
  <si>
    <t>Get Counterparties API</t>
  </si>
  <si>
    <t>BACK-1335</t>
  </si>
  <si>
    <t>Update Actor API</t>
  </si>
  <si>
    <t>BACK-1334</t>
  </si>
  <si>
    <t>Get Actor Details API</t>
  </si>
  <si>
    <t>BACK-1333</t>
  </si>
  <si>
    <t>Get Actors API</t>
  </si>
  <si>
    <t>BACK-1332</t>
  </si>
  <si>
    <t>Delete Label API</t>
  </si>
  <si>
    <t>BACK-1331</t>
  </si>
  <si>
    <t>Update Label API</t>
  </si>
  <si>
    <t>BACK-1330</t>
  </si>
  <si>
    <t>Get Label Details API</t>
  </si>
  <si>
    <t>BACK-1329</t>
  </si>
  <si>
    <t>Get Labels API</t>
  </si>
  <si>
    <t>BACK-1328</t>
  </si>
  <si>
    <t>Create Label API</t>
  </si>
  <si>
    <t>BACK-1327</t>
  </si>
  <si>
    <t>Delete Message API</t>
  </si>
  <si>
    <t>BACK-1326</t>
  </si>
  <si>
    <t>Process Reconstruction Workflow</t>
  </si>
  <si>
    <t>BACK-1325</t>
  </si>
  <si>
    <t>Workflows API</t>
  </si>
  <si>
    <t>BACK-1324</t>
  </si>
  <si>
    <t>Statistics API</t>
  </si>
  <si>
    <t>BACK-1323</t>
  </si>
  <si>
    <t>Projects API</t>
  </si>
  <si>
    <t>BACK-1322</t>
  </si>
  <si>
    <t>ML Models API</t>
  </si>
  <si>
    <t>BACK-1321</t>
  </si>
  <si>
    <t>Message Processing Status API</t>
  </si>
  <si>
    <t>BACK-1320</t>
  </si>
  <si>
    <t>Inboxes/Data Sources API</t>
  </si>
  <si>
    <t>BACK-1319</t>
  </si>
  <si>
    <t>Datasets API</t>
  </si>
  <si>
    <t>BACK-1318</t>
  </si>
  <si>
    <t>Counterparties API</t>
  </si>
  <si>
    <t>BACK-1317</t>
  </si>
  <si>
    <t>Actors API</t>
  </si>
  <si>
    <t>BACK-1316</t>
  </si>
  <si>
    <t>Labels API</t>
  </si>
  <si>
    <t>Ivan Peev</t>
  </si>
  <si>
    <t>FB-2403</t>
  </si>
  <si>
    <t>Return selected checkboxes to the user</t>
  </si>
  <si>
    <t>BACK-1315</t>
  </si>
  <si>
    <t>The VIN extracted in the pipeline is not displayed on document upload/processing.</t>
  </si>
  <si>
    <t>UI-658</t>
  </si>
  <si>
    <t>Enable Customer Self-Service for SSO/SAML attribute mapping (front end work)</t>
  </si>
  <si>
    <t>Matthew Snow</t>
  </si>
  <si>
    <t>BACK-1311</t>
  </si>
  <si>
    <t>Workflow Template for Single Model Workflow</t>
  </si>
  <si>
    <t>PR-1550</t>
  </si>
  <si>
    <t>Update configuration for priority model</t>
  </si>
  <si>
    <t>Closed</t>
  </si>
  <si>
    <t>BACK-1308</t>
  </si>
  <si>
    <t>Get Message Details API</t>
  </si>
  <si>
    <t>BACK-1307</t>
  </si>
  <si>
    <t>Get Messages API</t>
  </si>
  <si>
    <t>BACK-1306</t>
  </si>
  <si>
    <t>Update Message API</t>
  </si>
  <si>
    <t>BACK-1305</t>
  </si>
  <si>
    <t>Create Message API</t>
  </si>
  <si>
    <t>BACK-1304</t>
  </si>
  <si>
    <t>Messages API</t>
  </si>
  <si>
    <t>BACK-1303</t>
  </si>
  <si>
    <t>ML Label or Challenge Workflow Template</t>
  </si>
  <si>
    <t>BACK-1302</t>
  </si>
  <si>
    <t>ML Label or Challenge Output Handler CLI</t>
  </si>
  <si>
    <t>BACK-1301</t>
  </si>
  <si>
    <t>ML Label or Challenge Input CLI</t>
  </si>
  <si>
    <t>BACK-1300</t>
  </si>
  <si>
    <t>Single Model Output Handler CLI</t>
  </si>
  <si>
    <t>BACK-1299</t>
  </si>
  <si>
    <t>Single Model Input CLI</t>
  </si>
  <si>
    <t>BACK-1298</t>
  </si>
  <si>
    <t>ML Label or Challenge Workflow</t>
  </si>
  <si>
    <t>BACK-1297</t>
  </si>
  <si>
    <t>Single Model Workflow</t>
  </si>
  <si>
    <t>BACK-1296</t>
  </si>
  <si>
    <t>DeepRecon Automations</t>
  </si>
  <si>
    <t>BACK-1295</t>
  </si>
  <si>
    <t>Outlook Connector</t>
  </si>
  <si>
    <t>BACK-1294</t>
  </si>
  <si>
    <t>DeepRecon Email Extraction</t>
  </si>
  <si>
    <t>BACK-1293</t>
  </si>
  <si>
    <t>DeepRecon Workflows</t>
  </si>
  <si>
    <t>BACK-1292</t>
  </si>
  <si>
    <t>DeepRecon API</t>
  </si>
  <si>
    <t>PR-1549</t>
  </si>
  <si>
    <t>DeepRecon Refactor</t>
  </si>
  <si>
    <t>BACK-1291</t>
  </si>
  <si>
    <t>BACK-1290</t>
  </si>
  <si>
    <t>ML Workflow Jobs Not Logging to OTEL</t>
  </si>
  <si>
    <t>BACK-1289</t>
  </si>
  <si>
    <t>Improved handling of password protected files</t>
  </si>
  <si>
    <t>BACK-1288</t>
  </si>
  <si>
    <t>Return Bounding Boxes for LLM Extractions</t>
  </si>
  <si>
    <t>BACK-1283</t>
  </si>
  <si>
    <t>DTCC Alert Integration</t>
  </si>
  <si>
    <t>UI-654</t>
  </si>
  <si>
    <t>Testing Suite - Onboarding Mode - Accuracy numbers are incorrect on the executions page</t>
  </si>
  <si>
    <t>BACK-1281</t>
  </si>
  <si>
    <t>JPM - Unable to access DeepSee: "No healthy upstream."</t>
  </si>
  <si>
    <t>BACK-1276</t>
  </si>
  <si>
    <t>Automations for Accenture</t>
  </si>
  <si>
    <t>BACK-1275</t>
  </si>
  <si>
    <t>Automation Custom Columns</t>
  </si>
  <si>
    <t>Small</t>
  </si>
  <si>
    <t>UI-650</t>
  </si>
  <si>
    <t>BetaNXT UI</t>
  </si>
  <si>
    <t>PR-1548</t>
  </si>
  <si>
    <t>Backlog</t>
  </si>
  <si>
    <t>PR-1547</t>
  </si>
  <si>
    <t>BetaNXT POC</t>
  </si>
  <si>
    <t>BACK-1273</t>
  </si>
  <si>
    <t>Deep Pilot - Process and reuse large PDF Files</t>
  </si>
  <si>
    <t>BACK-1272</t>
  </si>
  <si>
    <t>DTCC - Allow adding details from multiple attachments related to the same source</t>
  </si>
  <si>
    <t>BACK-1271</t>
  </si>
  <si>
    <t>DTCC - Exception Cases to build</t>
  </si>
  <si>
    <t>BACK-1270</t>
  </si>
  <si>
    <t>DTCC - Process multiple Access Codes within one SSI File</t>
  </si>
  <si>
    <t>PR-1546</t>
  </si>
  <si>
    <t>DeepRecon replace "HERA" for Accenture</t>
  </si>
  <si>
    <t>BACK-1269</t>
  </si>
  <si>
    <t>Deep Pilot - Calculations using Lookups are not showing results consistently</t>
  </si>
  <si>
    <t>BACK-1268</t>
  </si>
  <si>
    <t>Make "Onboarding" View of Testing Suite more intuitive</t>
  </si>
  <si>
    <t>PR-1545</t>
  </si>
  <si>
    <t>Implement Watchtower</t>
  </si>
  <si>
    <t>BACK-1263</t>
  </si>
  <si>
    <t>Measure space savings and project future database growth</t>
  </si>
  <si>
    <t>BACK-1262</t>
  </si>
  <si>
    <t>Implement chosen database optimization solutions</t>
  </si>
  <si>
    <t>BACK-1261</t>
  </si>
  <si>
    <t>Create data retention policy recommendation</t>
  </si>
  <si>
    <t>BACK-1259</t>
  </si>
  <si>
    <t>Implement database partitioning by project and timestamp</t>
  </si>
  <si>
    <t>BACK-1258</t>
  </si>
  <si>
    <t>Research feasibility of moving JSON blobs to S3 with database pointers</t>
  </si>
  <si>
    <t>BACK-1256</t>
  </si>
  <si>
    <t>Run table size analysis to identify biggest database offenders</t>
  </si>
  <si>
    <t>CI-859</t>
  </si>
  <si>
    <t>Broadridge Scalability - Infrastructure Components</t>
  </si>
  <si>
    <t>UI-642</t>
  </si>
  <si>
    <t>LLM Quality Check - UI Components</t>
  </si>
  <si>
    <t>UI-641</t>
  </si>
  <si>
    <t>Regional Banks Onboarding - UI Components</t>
  </si>
  <si>
    <t>UI-640</t>
  </si>
  <si>
    <t>Broadridge Scalability - UI Components</t>
  </si>
  <si>
    <t>UI-639</t>
  </si>
  <si>
    <t>DeepRecon Usability - UI Components</t>
  </si>
  <si>
    <t>UI-638</t>
  </si>
  <si>
    <t>Intent Agent Migration - UI Components</t>
  </si>
  <si>
    <t>UI-637</t>
  </si>
  <si>
    <t>Auto Annotate SSI - UI Components</t>
  </si>
  <si>
    <t>UI-636</t>
  </si>
  <si>
    <t>DTCC Scalability - UI Components</t>
  </si>
  <si>
    <t>FB-2402</t>
  </si>
  <si>
    <t>Implement checkbox extraction with Azure Document Intelligence</t>
  </si>
  <si>
    <t>CI-857</t>
  </si>
  <si>
    <t>Remove unneeded Lambdas from the Terraform repo</t>
  </si>
  <si>
    <t>BACK-1245</t>
  </si>
  <si>
    <t>PROCESS_RECONSTRUCTION failing</t>
  </si>
  <si>
    <t>CI-856</t>
  </si>
  <si>
    <t>Multi-Tenant Reseller Platform</t>
  </si>
  <si>
    <t>BACK-1240</t>
  </si>
  <si>
    <t>Content Map - negative page heights returned for particular content map</t>
  </si>
  <si>
    <t>BACK-1235</t>
  </si>
  <si>
    <t>Total Emails by Category seems to be linked to Outstanding categories</t>
  </si>
  <si>
    <t>BACK-1234</t>
  </si>
  <si>
    <t>Regional Banks Onboarding</t>
  </si>
  <si>
    <t>BACK-1233</t>
  </si>
  <si>
    <t>DeepRecon Usability</t>
  </si>
  <si>
    <t>UI-625</t>
  </si>
  <si>
    <t>Implement UI for paginated work item tasks</t>
  </si>
  <si>
    <t>CI-853</t>
  </si>
  <si>
    <t>Onboarding/Tenant Creation</t>
  </si>
  <si>
    <t>BACK-1232</t>
  </si>
  <si>
    <t>DTCC Scalability</t>
  </si>
  <si>
    <t>PR-1544</t>
  </si>
  <si>
    <t>Onboard Regional Banks</t>
  </si>
  <si>
    <t>PR-1543</t>
  </si>
  <si>
    <t>Finish DTCC Onboarding</t>
  </si>
  <si>
    <t>PR-1542</t>
  </si>
  <si>
    <t>Finish Broadridge Onboarding</t>
  </si>
  <si>
    <t>Delaney Barney</t>
  </si>
  <si>
    <t>CI-852</t>
  </si>
  <si>
    <t>Research and plan migration of Broadridge database to RDS</t>
  </si>
  <si>
    <t>Jeff Hegerhorst</t>
  </si>
  <si>
    <t>CI-851</t>
  </si>
  <si>
    <t>Verify and optimize Broadridge environment resource allocation</t>
  </si>
  <si>
    <t>UI-624</t>
  </si>
  <si>
    <t>Display email processing metrics in supervisor dashboard</t>
  </si>
  <si>
    <t>BACK-1231</t>
  </si>
  <si>
    <t>Implement automated testing pipeline to replace manual QA processes</t>
  </si>
  <si>
    <t>BACK-1230</t>
  </si>
  <si>
    <t>Implement production-like testing environment and load simulation</t>
  </si>
  <si>
    <t>BACK-1229</t>
  </si>
  <si>
    <t>Research and design email archiving strategy</t>
  </si>
  <si>
    <t>BACK-1228</t>
  </si>
  <si>
    <t>Implement automated database rollback capability</t>
  </si>
  <si>
    <t>BACK-1227</t>
  </si>
  <si>
    <t>Configure Outlook API monitoring and credential management</t>
  </si>
  <si>
    <t>BACK-1226</t>
  </si>
  <si>
    <t>Implement status page and environment health dashboard</t>
  </si>
  <si>
    <t>BACK-1225</t>
  </si>
  <si>
    <t>Set up monitoring and alerting infrastructure for Broadridge environment</t>
  </si>
  <si>
    <t>UI-623</t>
  </si>
  <si>
    <t>BACK-1224</t>
  </si>
  <si>
    <t>Research and plan major scalability refactor</t>
  </si>
  <si>
    <t>BACK-1223</t>
  </si>
  <si>
    <t>Implement inbox validation and permission verification</t>
  </si>
  <si>
    <t>BACK-1220</t>
  </si>
  <si>
    <t>Optimize Outlook polling to focus on inbox folder only</t>
  </si>
  <si>
    <t>BACK-1218</t>
  </si>
  <si>
    <t>Improve email detection and eliminate duplicate processing</t>
  </si>
  <si>
    <t>BACK-1215</t>
  </si>
  <si>
    <t>Broadridge Scalability</t>
  </si>
  <si>
    <t>BACK-1212</t>
  </si>
  <si>
    <t>Use goto command to support migrating up/down databases based on the app version being deployed</t>
  </si>
  <si>
    <t>BACK-1209</t>
  </si>
  <si>
    <t>Deep Pilot - Content Maps - Handle Excel files with no headers and not standard tables</t>
  </si>
  <si>
    <t>BACK-1205</t>
  </si>
  <si>
    <t xml:space="preserve">Deep Pilot - Light extraction - Incorrect header identified for specific Excel </t>
  </si>
  <si>
    <t>BACK-1204</t>
  </si>
  <si>
    <t>Implement database space optimization strategy</t>
  </si>
  <si>
    <t>BACK-1203</t>
  </si>
  <si>
    <t>Implement permanent category decommissioning capability</t>
  </si>
  <si>
    <t>BACK-1202</t>
  </si>
  <si>
    <t>Create API endpoint to update term type for a given term</t>
  </si>
  <si>
    <t>FB-2400</t>
  </si>
  <si>
    <t>Extracting checkboxes</t>
  </si>
  <si>
    <t>BACK-1197</t>
  </si>
  <si>
    <t>Create rollback process and add it as a common GH pipeline</t>
  </si>
  <si>
    <t>BACK-1196</t>
  </si>
  <si>
    <t>Fix email status synchronization between Outlook and DeepSee</t>
  </si>
  <si>
    <t>BACK-1195</t>
  </si>
  <si>
    <t xml:space="preserve">Update existing work items with new Salesforce case files </t>
  </si>
  <si>
    <t>BACK-1188</t>
  </si>
  <si>
    <t>Update application database dependencies and connection handling</t>
  </si>
  <si>
    <t>BACK-1183</t>
  </si>
  <si>
    <t>Resolve table name conflicts - Rename sources table in news analysis models</t>
  </si>
  <si>
    <t>BACK-1182</t>
  </si>
  <si>
    <t>Create comprehensive testing for Redis removal</t>
  </si>
  <si>
    <t>BACK-1174</t>
  </si>
  <si>
    <t>Unable to add new model to a modelchain version</t>
  </si>
  <si>
    <t>BACK-1173</t>
  </si>
  <si>
    <t>Integrate News Analysis API with Existing Infrastructure</t>
  </si>
  <si>
    <t>UI-614</t>
  </si>
  <si>
    <t>Comprehensive Test Coverage - Build test suite for all Watchtower functionality, including Accessibility</t>
  </si>
  <si>
    <t>UI-613</t>
  </si>
  <si>
    <t>Performance Optimization - Implement virtualization and caching for large result sets</t>
  </si>
  <si>
    <t>UI-612</t>
  </si>
  <si>
    <t>Performance &amp; UX quality for watchtower. Loading states, performance optimization</t>
  </si>
  <si>
    <t>UI-611</t>
  </si>
  <si>
    <t>Notification Management - Implement notification preferences and delivery options</t>
  </si>
  <si>
    <t>UI-610</t>
  </si>
  <si>
    <t>Source Cadence Visibility - Display source refresh cadences and status</t>
  </si>
  <si>
    <t>UI-609</t>
  </si>
  <si>
    <t>User Alert Preferences - Build user alert configuration interface</t>
  </si>
  <si>
    <t>UI-608</t>
  </si>
  <si>
    <t>Alerts and cadence for user alert preferences, source cadence visibility, and notification management</t>
  </si>
  <si>
    <t>UI-607</t>
  </si>
  <si>
    <t>Sentiment and Relevance Visualization - Add sentiment and relevance score visualizations</t>
  </si>
  <si>
    <t>UI-606</t>
  </si>
  <si>
    <t>Provenance and Trust Indicators - Display source provenance and validation badges</t>
  </si>
  <si>
    <t>UI-605</t>
  </si>
  <si>
    <t>Result Details &amp; Provenance - Implement result details, provenance and trust indicators, sentiment and relevance visualization</t>
  </si>
  <si>
    <t>UI-604</t>
  </si>
  <si>
    <t>Result Detail Drawer - Implement expandable detail drawer for individual results</t>
  </si>
  <si>
    <t>FB-2399</t>
  </si>
  <si>
    <t>Design ML pipeline</t>
  </si>
  <si>
    <t>FB-2397</t>
  </si>
  <si>
    <t>ML for BetaNXT</t>
  </si>
  <si>
    <t>BACK-1167</t>
  </si>
  <si>
    <t>Fix Postgres defaults</t>
  </si>
  <si>
    <t>BACK-1165</t>
  </si>
  <si>
    <t>Update work item sources to use the execution_doc_sources table</t>
  </si>
  <si>
    <t>FB-2396</t>
  </si>
  <si>
    <t>Content Maps - Cannot annotate specific values in .pdf</t>
  </si>
  <si>
    <t>BACK-1162</t>
  </si>
  <si>
    <t>deeprecon__api tests that fail intermittently</t>
  </si>
  <si>
    <t>BACK-1160</t>
  </si>
  <si>
    <t>Intent Agent - Security SSI document is assigned to Cash SSI source</t>
  </si>
  <si>
    <t>BACK-1148</t>
  </si>
  <si>
    <t>Handle New Attachments Added to Existing Salesforce Cases</t>
  </si>
  <si>
    <t>BACK-1146</t>
  </si>
  <si>
    <t>Agentic POC</t>
  </si>
  <si>
    <t>BACK-1143</t>
  </si>
  <si>
    <t>AbstractEventQueueWorkerController causes build to fail</t>
  </si>
  <si>
    <t>BACK-1137</t>
  </si>
  <si>
    <t>Add commentType field to comments returned from work item APIs</t>
  </si>
  <si>
    <t>UI-581</t>
  </si>
  <si>
    <t>Add support for one-off API requests</t>
  </si>
  <si>
    <t>BACK-1136</t>
  </si>
  <si>
    <t>Limit the size of uploaded files</t>
  </si>
  <si>
    <t>BACK-1135</t>
  </si>
  <si>
    <t>Move regexes used by Intent Agent to the database</t>
  </si>
  <si>
    <t>BACK-1168</t>
  </si>
  <si>
    <t>Deep Recon - Automations - Replace "Set Column Value" in Actions menu with the corresponding column options</t>
  </si>
  <si>
    <t>BACK-1132</t>
  </si>
  <si>
    <t>Add On Flagged Automations</t>
  </si>
  <si>
    <t>BACK-1131</t>
  </si>
  <si>
    <t>Counterparty Consistency &amp; Multiple Counterparties</t>
  </si>
  <si>
    <t>BACK-1126</t>
  </si>
  <si>
    <t>Auto Annotate SSI</t>
  </si>
  <si>
    <t>BACK-1122</t>
  </si>
  <si>
    <t>Moving Intent Agent from RegEx to the Model</t>
  </si>
  <si>
    <t>BACK-1120</t>
  </si>
  <si>
    <t>Ensure APIs exist to support the UI retrieving information about available documents</t>
  </si>
  <si>
    <t>BACK-1119</t>
  </si>
  <si>
    <t>Allow the same document record to be shared by different sources</t>
  </si>
  <si>
    <t>BACK-1118</t>
  </si>
  <si>
    <t>Modify email attachment extraction to also extract zip files</t>
  </si>
  <si>
    <t>BACK-1117</t>
  </si>
  <si>
    <t>Implement intent-agent logic in the extractor-service</t>
  </si>
  <si>
    <t>BACK-1112</t>
  </si>
  <si>
    <t>Migrate Intent Agent to Extractor Service with the ability for User Control and Feedback on Work Item Creation</t>
  </si>
  <si>
    <t>BACK-1107</t>
  </si>
  <si>
    <t>Use LLM to "quality check" normalized extractions</t>
  </si>
  <si>
    <t>BACK-1099</t>
  </si>
  <si>
    <t>[BE][SSLException] when connecting to prediction api</t>
  </si>
  <si>
    <t>UI-571</t>
  </si>
  <si>
    <t>Create onboarding wizard</t>
  </si>
  <si>
    <t>BACK-1096</t>
  </si>
  <si>
    <t>Duplicated inquiry ids in current_label_view</t>
  </si>
  <si>
    <t>BACK-1091</t>
  </si>
  <si>
    <t>Intent Agent - Multiple Work Items from multiple attachments</t>
  </si>
  <si>
    <t>BACK-1089</t>
  </si>
  <si>
    <t>Intent Agent - Create separate work items for multiple accounts from a single attachment</t>
  </si>
  <si>
    <t>BACK-1080</t>
  </si>
  <si>
    <t>Deep Pilot - JPM - doc file has 0 extractions</t>
  </si>
  <si>
    <t>BACK-1079</t>
  </si>
  <si>
    <t>Intent Agent - Multiple SSI Output Work Items should be created based on attachments</t>
  </si>
  <si>
    <t>BACK-1068</t>
  </si>
  <si>
    <t>Accenture UAT - Incorrect Category and Intent in DeepSee response for Spontaneous inbound email</t>
  </si>
  <si>
    <t>BACK-1067</t>
  </si>
  <si>
    <t>Accenture UAT - Incorrect Subject information in DeepSee Response in history section</t>
  </si>
  <si>
    <t>BACK-1066</t>
  </si>
  <si>
    <t>Intent Agent - Update Intent Agent to map additional source for General Output</t>
  </si>
  <si>
    <t>BACK-1065</t>
  </si>
  <si>
    <t>DTCC - Unable to download source file</t>
  </si>
  <si>
    <t>BACK-1061</t>
  </si>
  <si>
    <t>box-to-tokens error - entire document</t>
  </si>
  <si>
    <t>BACK-1056</t>
  </si>
  <si>
    <t>Accenture UAT - attachment details is missing in DeepSee response</t>
  </si>
  <si>
    <t>BACK-1055</t>
  </si>
  <si>
    <t>Accenture UAT - Missing attachment content in DeepSee response</t>
  </si>
  <si>
    <t>BACK-1051</t>
  </si>
  <si>
    <t>JPM - Work item is created with extra .XML file instead of .DOC</t>
  </si>
  <si>
    <t>BACK-1048</t>
  </si>
  <si>
    <t>JPM - 600+ work items are not processing</t>
  </si>
  <si>
    <t>BACK-1042</t>
  </si>
  <si>
    <t>CLONE - 400 Bad Request:'503 Service Unavailable' error for the messages sent to TEQ in snow.email.structure service</t>
  </si>
  <si>
    <t>UI-544</t>
  </si>
  <si>
    <t>Status Dashboard - fix 'other' hyperlinks</t>
  </si>
  <si>
    <t>BACK-1035</t>
  </si>
  <si>
    <t>Deep Recon - Partial Submit for training categorization dataset</t>
  </si>
  <si>
    <t>BACK-1033</t>
  </si>
  <si>
    <t>Intent Agent Improvements (not prioritized)</t>
  </si>
  <si>
    <t>CI-823</t>
  </si>
  <si>
    <t>DTCC- Environment Setup</t>
  </si>
  <si>
    <t>BACK-1032</t>
  </si>
  <si>
    <t>BE - Respond to Customer Feedback - Q3 2025</t>
  </si>
  <si>
    <t>UI-538</t>
  </si>
  <si>
    <t>UI - Respond to Customer Feedback - Q3 2025</t>
  </si>
  <si>
    <t>BACK-1031</t>
  </si>
  <si>
    <t>BE - Support Production Customers - Q3 2025</t>
  </si>
  <si>
    <t>UI-537</t>
  </si>
  <si>
    <t>PR-1537</t>
  </si>
  <si>
    <t>Support Production Customers - Q3 2025</t>
  </si>
  <si>
    <t>CI-821</t>
  </si>
  <si>
    <t>Whitelist Sunwest IP Address</t>
  </si>
  <si>
    <t>CI-820</t>
  </si>
  <si>
    <t>Whitelist Sunwest IP</t>
  </si>
  <si>
    <t>PR-1536</t>
  </si>
  <si>
    <t>Q3 2025</t>
  </si>
  <si>
    <t>BACK-1027</t>
  </si>
  <si>
    <t>Salesforce Connectivity for DTCC</t>
  </si>
  <si>
    <t>PR-1535</t>
  </si>
  <si>
    <t>DTCC SSI Phase 2 live</t>
  </si>
  <si>
    <t>BACK-1026</t>
  </si>
  <si>
    <t>DeepView Improvements (parked for now)</t>
  </si>
  <si>
    <t>BACK-1025</t>
  </si>
  <si>
    <t>Project Scope Categories</t>
  </si>
  <si>
    <t>BACK-1022</t>
  </si>
  <si>
    <t>BE - DeepRecon - Dashboard Accuracy</t>
  </si>
  <si>
    <t>UI-530</t>
  </si>
  <si>
    <t>UI - DeepRecon - Dashboard Accuracy</t>
  </si>
  <si>
    <t>PR-1534</t>
  </si>
  <si>
    <t>DeepRecon - Dashboard Accuracy</t>
  </si>
  <si>
    <t>At Risk</t>
  </si>
  <si>
    <t>UI-528</t>
  </si>
  <si>
    <t>Deep View - Some numbers in 'Emails requiring Action' and 'Pending emails'charts are off</t>
  </si>
  <si>
    <t>BACK-1018</t>
  </si>
  <si>
    <t>Document end to end Salesforce Integration</t>
  </si>
  <si>
    <t>FB-2390</t>
  </si>
  <si>
    <t>Update the calculation of probability score</t>
  </si>
  <si>
    <t>PR-1533</t>
  </si>
  <si>
    <t>[BE]Dupplicated records in current_label_view</t>
  </si>
  <si>
    <t>BACK-1007</t>
  </si>
  <si>
    <t>Unable to Find MessageJpa</t>
  </si>
  <si>
    <t>BACK-1006</t>
  </si>
  <si>
    <t>DeepRecon: Remove Cognito OAuth Flow</t>
  </si>
  <si>
    <t>BACK-1005</t>
  </si>
  <si>
    <t>DeepView Service: Remove Cognito OAuth Flow</t>
  </si>
  <si>
    <t>BACK-1004</t>
  </si>
  <si>
    <t>Automations Service: Remove Cognito OAuth Flow</t>
  </si>
  <si>
    <t>BACK-1003</t>
  </si>
  <si>
    <t>Extractor Service: Remove Cognito OAuth Flow</t>
  </si>
  <si>
    <t>BACK-1002</t>
  </si>
  <si>
    <t>DeepView Still Being Passed Actors With NULL Identifier</t>
  </si>
  <si>
    <t>BACK-1001</t>
  </si>
  <si>
    <t>DeepView - Fix the root cause of numbers not matching in DeepView and DeepRecon</t>
  </si>
  <si>
    <t>BACK-998</t>
  </si>
  <si>
    <t>Remove or restructure label aliases</t>
  </si>
  <si>
    <t>BACK-993</t>
  </si>
  <si>
    <t>Implement comprehensive monitoring, alerting, and operational readiness for production deployment</t>
  </si>
  <si>
    <t>DeepSee Collective Sprint 35</t>
  </si>
  <si>
    <t>BACK-992</t>
  </si>
  <si>
    <t>Implement comprehensive testing suite including unit, integration, e2e, security, and performance testing</t>
  </si>
  <si>
    <t>BACK-990</t>
  </si>
  <si>
    <t>Implement Istio service mesh for advanced traffic management, security, and observability</t>
  </si>
  <si>
    <t>BACK-989</t>
  </si>
  <si>
    <t>Implement enterprise-grade containerization with Docker, Kubernetes, and supporting infrastructure</t>
  </si>
  <si>
    <t>BACK-988</t>
  </si>
  <si>
    <t>Implement robust headless automation capabilities for CI/CD integration</t>
  </si>
  <si>
    <t>BACK-987</t>
  </si>
  <si>
    <t>Enhance Flask API architecture to enterprise standards with advanced features and scalability</t>
  </si>
  <si>
    <t>BACK-986</t>
  </si>
  <si>
    <t>Design and implement enterprise-grade database architecture with proper data modeling.</t>
  </si>
  <si>
    <t>BACK-985</t>
  </si>
  <si>
    <t>Move Automations API into Extractor Service</t>
  </si>
  <si>
    <t>BACK-984</t>
  </si>
  <si>
    <t>[BE] do not trigger ml when there is not enough non root messages</t>
  </si>
  <si>
    <t>BACK-983</t>
  </si>
  <si>
    <t>Verify Allegro extractor integration</t>
  </si>
  <si>
    <t>BACK-982</t>
  </si>
  <si>
    <t>Provide method to map a Colony Bank loan id to an Allegro loan number</t>
  </si>
  <si>
    <t>BACK-981</t>
  </si>
  <si>
    <t>Deploy Allegro extractor to the cluster</t>
  </si>
  <si>
    <t>BACK-979</t>
  </si>
  <si>
    <t>Make allegro extraction utility callable via API</t>
  </si>
  <si>
    <t>CI-807</t>
  </si>
  <si>
    <t>Update Inference Pipeline to not fail if no subgroups</t>
  </si>
  <si>
    <t>BACK-973</t>
  </si>
  <si>
    <t>Deep Recon - Timestamp difference for Due Date in DeepSee and Outlook</t>
  </si>
  <si>
    <t>BACK-972</t>
  </si>
  <si>
    <t>Time differences on email time stamps in DeepSee vs Outlook</t>
  </si>
  <si>
    <t>BACK-969</t>
  </si>
  <si>
    <t>Optimize storage strategy for pipeline-output bucket</t>
  </si>
  <si>
    <t>BACK-968</t>
  </si>
  <si>
    <t>Deep Pilot - XML annotation / extraction issues for 300078 - OTC</t>
  </si>
  <si>
    <t>BACK-967</t>
  </si>
  <si>
    <t>Broadridge - check the project-scoped endpoint for challenge groups</t>
  </si>
  <si>
    <t>BACK-966</t>
  </si>
  <si>
    <t>[BE][DeepRecon] Provide reason of dataset trainig error</t>
  </si>
  <si>
    <t>BACK-963</t>
  </si>
  <si>
    <t>Accenture - 500 error when  trying to send a particular Delivery Failure notification email to Deepsee</t>
  </si>
  <si>
    <t>BACK-962</t>
  </si>
  <si>
    <t>500 Error Updating Custom Columns in Pilot</t>
  </si>
  <si>
    <t>BACK-958</t>
  </si>
  <si>
    <t>Light extraction - 0 decimal is added to the numeric value extracted from Excel</t>
  </si>
  <si>
    <t>CI-800</t>
  </si>
  <si>
    <t>Setup S3 retention policy for outputs bucket</t>
  </si>
  <si>
    <t>PR-1532</t>
  </si>
  <si>
    <t>BACK-954</t>
  </si>
  <si>
    <t>Create individual automation action types for set custom column action type</t>
  </si>
  <si>
    <t>BACK-953</t>
  </si>
  <si>
    <t>Extracted archive documents sometimes fail to upload</t>
  </si>
  <si>
    <t>BACK-952</t>
  </si>
  <si>
    <t>Consolidate s3 document storage</t>
  </si>
  <si>
    <t>BACK-947</t>
  </si>
  <si>
    <t>Convert Outlook updates to use the message bus</t>
  </si>
  <si>
    <t>BACK-945</t>
  </si>
  <si>
    <t>Table extraction row numbers are off when we skip rows</t>
  </si>
  <si>
    <t>BACK-944</t>
  </si>
  <si>
    <t>Timeout When Updating Custom Columns in Pilot</t>
  </si>
  <si>
    <t>BACK-943</t>
  </si>
  <si>
    <t>PDF Conversion Log Noise for Recon Solution</t>
  </si>
  <si>
    <t>UI-499</t>
  </si>
  <si>
    <t>Deep Pilot - Link Testing Content Map to corresponding test run</t>
  </si>
  <si>
    <t>BACK-935</t>
  </si>
  <si>
    <t>Better local environments</t>
  </si>
  <si>
    <t>BACK-934</t>
  </si>
  <si>
    <t>Add system metrics</t>
  </si>
  <si>
    <t>BACK-933</t>
  </si>
  <si>
    <t>Consolidate Sources of Truth</t>
  </si>
  <si>
    <t>BACK-931</t>
  </si>
  <si>
    <t>Convert inter-service api calls to use a message bus (kafka?)</t>
  </si>
  <si>
    <t>BACK-929</t>
  </si>
  <si>
    <t xml:space="preserve"> Investigate the project-scoping for labels endpoint</t>
  </si>
  <si>
    <t>BACK-926</t>
  </si>
  <si>
    <t>Enforce Code Style in Pipelines</t>
  </si>
  <si>
    <t>BACK-955</t>
  </si>
  <si>
    <t xml:space="preserve">Accenture - Deep Recon - Filtering Actionable Data by specific subjects breaks the page </t>
  </si>
  <si>
    <t>BACK-925</t>
  </si>
  <si>
    <t>Queue Email Processing Attempts Through Kafka</t>
  </si>
  <si>
    <t>BACK-924</t>
  </si>
  <si>
    <t>Add APIs to Retry Failed Automation Executions and Actions</t>
  </si>
  <si>
    <t>BACK-923</t>
  </si>
  <si>
    <t>Sharpen the Saw</t>
  </si>
  <si>
    <t>Bill Adams</t>
  </si>
  <si>
    <t>BACK-916</t>
  </si>
  <si>
    <t>Project scoped labels challenge groups endpoint runtime exception</t>
  </si>
  <si>
    <t>BACK-915</t>
  </si>
  <si>
    <t>Anonymizer for Unit Test Data</t>
  </si>
  <si>
    <t>FB-2384</t>
  </si>
  <si>
    <t>Improve Source Relevance and Section Filtering in DeepGPT</t>
  </si>
  <si>
    <t>FB-2383</t>
  </si>
  <si>
    <t>Improve Section-level Document referencing</t>
  </si>
  <si>
    <t>FB-2382</t>
  </si>
  <si>
    <t>Improve Section-Level Summarization Accuracy in chat with Policies</t>
  </si>
  <si>
    <t>FB-2381</t>
  </si>
  <si>
    <t>FB - Sunwest - Chat with Policies</t>
  </si>
  <si>
    <t>BACK-911</t>
  </si>
  <si>
    <t>Sources incorrectly removed from consideration for subgroup matching</t>
  </si>
  <si>
    <t>BACK-909</t>
  </si>
  <si>
    <t>New Lookups not populating FEEL context</t>
  </si>
  <si>
    <t>BACK-906</t>
  </si>
  <si>
    <t>Some 'Sent' emails STILL getting Action Required added</t>
  </si>
  <si>
    <t>UI-479</t>
  </si>
  <si>
    <t>Chat with Policies - Display user's search history</t>
  </si>
  <si>
    <t>Waiting for approval</t>
  </si>
  <si>
    <t>BACK-905</t>
  </si>
  <si>
    <t>BACK - Sunwest - Chat with Policies</t>
  </si>
  <si>
    <t>UI-477</t>
  </si>
  <si>
    <t>BACK-904</t>
  </si>
  <si>
    <t>Chat with Policies- Save and retrieve user's previous search queries and results</t>
  </si>
  <si>
    <t>UI-472</t>
  </si>
  <si>
    <t>Deep Recon - Support PDF attachment preview on Message Details page</t>
  </si>
  <si>
    <t>UI-470</t>
  </si>
  <si>
    <t>Deep Pilot - Testing mode improvements</t>
  </si>
  <si>
    <t>UI-469</t>
  </si>
  <si>
    <t>Deep Pilot - Remove Upload Documents button from Test Content Maps page</t>
  </si>
  <si>
    <t>CI-786</t>
  </si>
  <si>
    <t>Whitelist new Sunwest IP Range</t>
  </si>
  <si>
    <t>CI-785</t>
  </si>
  <si>
    <t>CLONE - Link IDP in Colony Tenant</t>
  </si>
  <si>
    <t>DeepSee Collective Sprint 30</t>
  </si>
  <si>
    <t>CI-784</t>
  </si>
  <si>
    <t>CLONE - Enable Heavy Extraction in Colony Tenant</t>
  </si>
  <si>
    <t>CI-783</t>
  </si>
  <si>
    <t>CLONE - Create SFTP for Colony to send docs to</t>
  </si>
  <si>
    <t>CI-782</t>
  </si>
  <si>
    <t>CLONE - Whitelist Colony IP Range</t>
  </si>
  <si>
    <t>CI-781</t>
  </si>
  <si>
    <t>CLONE - New Colony Tenant</t>
  </si>
  <si>
    <t>CI-780</t>
  </si>
  <si>
    <t>BACK-898</t>
  </si>
  <si>
    <t>Add 302936 to JPM dealfeed</t>
  </si>
  <si>
    <t>BACK-897</t>
  </si>
  <si>
    <t>DeepRecon - Update Email Folder to select from the list on Actionable Data page</t>
  </si>
  <si>
    <t>BACK-896</t>
  </si>
  <si>
    <t>Deep Recon - Automations doesn't return the full list of folders from Outlook</t>
  </si>
  <si>
    <t>BACK-895</t>
  </si>
  <si>
    <t>Define and create new terms for loan origination</t>
  </si>
  <si>
    <t>BACK-894</t>
  </si>
  <si>
    <t>SPIKE: Implement secure handling for sensitive terms</t>
  </si>
  <si>
    <t>BACK-893</t>
  </si>
  <si>
    <t>Make Webform Extraction Service Deployable</t>
  </si>
  <si>
    <t>BACK-892</t>
  </si>
  <si>
    <t>Add new solution and update execution service to call webform extractor</t>
  </si>
  <si>
    <t>BACK-891</t>
  </si>
  <si>
    <t>Add support for JSON file uploads</t>
  </si>
  <si>
    <t>BACK-890</t>
  </si>
  <si>
    <t>Define API for interacting with the webform document extraction service</t>
  </si>
  <si>
    <t>PR-1531</t>
  </si>
  <si>
    <t>SIFMA</t>
  </si>
  <si>
    <t>BACK-888</t>
  </si>
  <si>
    <t>BE - Support Production Customers</t>
  </si>
  <si>
    <t>UI-461</t>
  </si>
  <si>
    <t>UI - Respond to Customer Feedback</t>
  </si>
  <si>
    <t>PR-1530</t>
  </si>
  <si>
    <t>Support Production Customers</t>
  </si>
  <si>
    <t>FB-2377</t>
  </si>
  <si>
    <t>Increase matching coverage by relaxing constraints</t>
  </si>
  <si>
    <t>FB-2376</t>
  </si>
  <si>
    <t>Analyze reintroduced trades</t>
  </si>
  <si>
    <t>BACK-886</t>
  </si>
  <si>
    <t>Update DeepView when an automation gets skipped by another automation</t>
  </si>
  <si>
    <t>BACK-885</t>
  </si>
  <si>
    <t>BE - Archiving</t>
  </si>
  <si>
    <t>BACK-884</t>
  </si>
  <si>
    <t>BE - Respond to Broadridge Feedback</t>
  </si>
  <si>
    <t>BACK-882</t>
  </si>
  <si>
    <t>Update Classifier and DeepRecon API services to send labels for messages</t>
  </si>
  <si>
    <t>BACK-881</t>
  </si>
  <si>
    <t>Update webform agent documentation</t>
  </si>
  <si>
    <t>BACK-880</t>
  </si>
  <si>
    <t>Deep Recon - 'On behalf of' emails are not getting processed into DeepSee</t>
  </si>
  <si>
    <t>PR-1529</t>
  </si>
  <si>
    <t>DeepRecon - Read/Unread</t>
  </si>
  <si>
    <t>BR Contract Deliverables</t>
  </si>
  <si>
    <t>PR-1528</t>
  </si>
  <si>
    <t>Improve DeepRecon/DeepView processing and loading speeds</t>
  </si>
  <si>
    <t>UI-456</t>
  </si>
  <si>
    <t>Deep Recon - Add Read column to filter list in Actionable data</t>
  </si>
  <si>
    <t>UI-455</t>
  </si>
  <si>
    <t>Deep Recon - Show read status on Message Details Page</t>
  </si>
  <si>
    <t>UI-454</t>
  </si>
  <si>
    <t>Deep Recon - Add Read / Unread Column to Actionable Data</t>
  </si>
  <si>
    <t>BACK-878</t>
  </si>
  <si>
    <t>Deep Recon - Make email Read / Unread status to be filterable</t>
  </si>
  <si>
    <t>BACK-877</t>
  </si>
  <si>
    <t>Deep Recon - Add Read / Unread status for the emails and sync it with the Outlook</t>
  </si>
  <si>
    <t>BACK-876</t>
  </si>
  <si>
    <t>Deep Recon - Add missing Category to process-glossary from automation</t>
  </si>
  <si>
    <t>UI-450</t>
  </si>
  <si>
    <t>Deep Pilot - Do not let the user to mark completed on Content Map when no feedback is provided</t>
  </si>
  <si>
    <t>FB-2374</t>
  </si>
  <si>
    <t>Deep Pilot - Content Map - Annotation cannot be saved</t>
  </si>
  <si>
    <t>PR-1527</t>
  </si>
  <si>
    <t>Configure DeepGPT Calls to other Agents</t>
  </si>
  <si>
    <t>Colony Bank Go-Live</t>
  </si>
  <si>
    <t>PR-1526</t>
  </si>
  <si>
    <t>Model Suggestion for next best action</t>
  </si>
  <si>
    <t>PR-1525</t>
  </si>
  <si>
    <t>More Broad Intent Agent in reading email across Agents</t>
  </si>
  <si>
    <t>DTCC Prod Go-Live</t>
  </si>
  <si>
    <t>PR-1524</t>
  </si>
  <si>
    <t>Knoweldge Base Visualization</t>
  </si>
  <si>
    <t>PR-1523</t>
  </si>
  <si>
    <t>Model Transportability For Testing in Client Cloud</t>
  </si>
  <si>
    <t>PR-1522</t>
  </si>
  <si>
    <t>Selector for HVY vs LIGHT Extraction</t>
  </si>
  <si>
    <t>PR-1521</t>
  </si>
  <si>
    <t>Improved Agent to Agent UI Visibility</t>
  </si>
  <si>
    <t>PR-1520</t>
  </si>
  <si>
    <t>Guided Onboarding Experience</t>
  </si>
  <si>
    <t>PR-1519</t>
  </si>
  <si>
    <t>DeepRecon Testing Suite</t>
  </si>
  <si>
    <t>PR-1518</t>
  </si>
  <si>
    <t>DeepGPT working in Automation/Validation Agents</t>
  </si>
  <si>
    <t>PR-1517</t>
  </si>
  <si>
    <t>Trigger Category Training</t>
  </si>
  <si>
    <t>PR-1516</t>
  </si>
  <si>
    <t>Trigger HVY Extraction Training</t>
  </si>
  <si>
    <t>PR-1515</t>
  </si>
  <si>
    <t>Faster Processing Speeds</t>
  </si>
  <si>
    <t>PR-1514</t>
  </si>
  <si>
    <t>Able to Process Documents up to 1000 pages</t>
  </si>
  <si>
    <t>PR-1513</t>
  </si>
  <si>
    <t>Archived work items (User Selectable)</t>
  </si>
  <si>
    <t>PR-1512</t>
  </si>
  <si>
    <t>Improved Agent Data Layer to allow I/O of all separate agents and eliminate single point of failures while facilitating the deployment of more feature focused agents.</t>
  </si>
  <si>
    <t>PR-1511</t>
  </si>
  <si>
    <t>Term library organization/suggestion per agent</t>
  </si>
  <si>
    <t>PR-1510</t>
  </si>
  <si>
    <t>Snowflake connector</t>
  </si>
  <si>
    <t>PR-1509</t>
  </si>
  <si>
    <t>Automation Suggestion Agent</t>
  </si>
  <si>
    <t>PR-1508</t>
  </si>
  <si>
    <t>Assignment Agent</t>
  </si>
  <si>
    <t>PR-1507</t>
  </si>
  <si>
    <t>Password Retrieval / Storage / Usage Agent</t>
  </si>
  <si>
    <t>PR-1506</t>
  </si>
  <si>
    <t>Suggested Categories</t>
  </si>
  <si>
    <t>PR-1505</t>
  </si>
  <si>
    <t>Work to deploy in Azure Market place</t>
  </si>
  <si>
    <t>PR-1504</t>
  </si>
  <si>
    <t>Automatically created content Maps</t>
  </si>
  <si>
    <t>PR-1503</t>
  </si>
  <si>
    <t>Implement UI from Mojo</t>
  </si>
  <si>
    <t>PR-1502</t>
  </si>
  <si>
    <t>Salesforce connector</t>
  </si>
  <si>
    <t>PR-1501</t>
  </si>
  <si>
    <t>Deploy KA into Azure Marketplace and meet Pegasus Requirements</t>
  </si>
  <si>
    <t>PR-1500</t>
  </si>
  <si>
    <t>ServiceNow Connector</t>
  </si>
  <si>
    <t>PR-1499</t>
  </si>
  <si>
    <t>DeepGPT Answer Questions in Email</t>
  </si>
  <si>
    <t>PR-1498</t>
  </si>
  <si>
    <t>Watchtower Agent and UI</t>
  </si>
  <si>
    <t>PR-1497</t>
  </si>
  <si>
    <t>Webform Agent to Egress to Allegro(Ready for ACE/nCino etc)</t>
  </si>
  <si>
    <t>PR-1496</t>
  </si>
  <si>
    <t>Generate email answer from OPSGPT Answer</t>
  </si>
  <si>
    <t>PR-1495</t>
  </si>
  <si>
    <t>OpsGPT Connectivity for SIFMA demo</t>
  </si>
  <si>
    <t>Completed</t>
  </si>
  <si>
    <t>PR-1494</t>
  </si>
  <si>
    <t>Webform Agent to Ingest from Allegro (Ready for ACE/nCino etc)</t>
  </si>
  <si>
    <t>PR-1493</t>
  </si>
  <si>
    <t>Manual Automation Execution</t>
  </si>
  <si>
    <t>BACK-849</t>
  </si>
  <si>
    <t>Accenture unable to consume delivery failure email</t>
  </si>
  <si>
    <t>DeepSee Collective Sprint 34</t>
  </si>
  <si>
    <t>BACK-846</t>
  </si>
  <si>
    <t xml:space="preserve">For Product OTC - 304288 While saving the annotation in XML system is throwing a error message “ There was a problem saving your feedback. “ </t>
  </si>
  <si>
    <t>BACK-844</t>
  </si>
  <si>
    <t>Create API to Tombstone Term Aliases</t>
  </si>
  <si>
    <t>CI-765</t>
  </si>
  <si>
    <t>Set up roles in Azure for AKS IRSA equivalent</t>
  </si>
  <si>
    <t>CI-763</t>
  </si>
  <si>
    <t>Enable etcd encrptyion for AKS clusters</t>
  </si>
  <si>
    <t>CI-762</t>
  </si>
  <si>
    <t>Create autoscaling node groups for AKS</t>
  </si>
  <si>
    <t>CI-761</t>
  </si>
  <si>
    <t>Enable Private Endpoints in Azure for AKS cluster</t>
  </si>
  <si>
    <t>BACK-843</t>
  </si>
  <si>
    <t>Wrong Name for Some DeepRecon Traces in DataDog</t>
  </si>
  <si>
    <t>BACK-839</t>
  </si>
  <si>
    <t>Allow Event Status to be Updated via API</t>
  </si>
  <si>
    <t>BACK-836</t>
  </si>
  <si>
    <t>DeepView Receives Counterparty from Messages</t>
  </si>
  <si>
    <t>BACK-834</t>
  </si>
  <si>
    <t>Configure Email Analyzer Client in DeepRecon API</t>
  </si>
  <si>
    <t>BACK-828</t>
  </si>
  <si>
    <t>DeepRecon -  update the Follow-up status to Flagged in Actionable Data when flagging message in Outlook</t>
  </si>
  <si>
    <t>BACK-819</t>
  </si>
  <si>
    <t>Tech Debt: Refactor message update calls between Pilot and Recon</t>
  </si>
  <si>
    <t>BACK-818</t>
  </si>
  <si>
    <t>[BE] automatically set workflow statuses to failed when argo onExit trigger failed</t>
  </si>
  <si>
    <t>BACK-811</t>
  </si>
  <si>
    <t>Output processing fails for large work items</t>
  </si>
  <si>
    <t>PR-1492</t>
  </si>
  <si>
    <t>Get DTCC SSI -Phase 1</t>
  </si>
  <si>
    <t>BACK-809</t>
  </si>
  <si>
    <t>BE - Automation Consistency and Resiliency</t>
  </si>
  <si>
    <t>PR-1491</t>
  </si>
  <si>
    <t>Make Broadridge Great Again</t>
  </si>
  <si>
    <t>CI-755</t>
  </si>
  <si>
    <t>Create on_demand node group for each AZ</t>
  </si>
  <si>
    <t>BACK-804</t>
  </si>
  <si>
    <t>Stabilize ML_SINGLE_MODEL__MAIN workflow reliability</t>
  </si>
  <si>
    <t>CI-752</t>
  </si>
  <si>
    <t>Remove k8s autoscaler workaround</t>
  </si>
  <si>
    <t>BACK-796</t>
  </si>
  <si>
    <t>Add Assignee to DeepView schema</t>
  </si>
  <si>
    <t>PR-1490</t>
  </si>
  <si>
    <t>Q2 2025</t>
  </si>
  <si>
    <t>UI-403</t>
  </si>
  <si>
    <t>UI - Assignee Feature in Recon</t>
  </si>
  <si>
    <t>BACK-794</t>
  </si>
  <si>
    <t>BE - Assignee in Recon</t>
  </si>
  <si>
    <t>PR-1489</t>
  </si>
  <si>
    <t>Assignee feature in DeepRecon</t>
  </si>
  <si>
    <t>On Track</t>
  </si>
  <si>
    <t>BACK-793</t>
  </si>
  <si>
    <t>BE - Implement Nick's counterparty model</t>
  </si>
  <si>
    <t>PR-1488</t>
  </si>
  <si>
    <t>Implement New Counterparty Model</t>
  </si>
  <si>
    <t>BACK-786</t>
  </si>
  <si>
    <t>Update Priority not updated in DeepView</t>
  </si>
  <si>
    <t>BACK-782</t>
  </si>
  <si>
    <t>Categorization Summary missing most emails</t>
  </si>
  <si>
    <t>DeepSee Collective Sprint 32</t>
  </si>
  <si>
    <t>CI-745</t>
  </si>
  <si>
    <t>Move the prediction middleware into the inference service pipeline</t>
  </si>
  <si>
    <t>BACK-776</t>
  </si>
  <si>
    <t>Accenture 500 Error</t>
  </si>
  <si>
    <t>DeepSee Collective Sprint 31</t>
  </si>
  <si>
    <t>PR-1487</t>
  </si>
  <si>
    <t>Close the gap between DeepSee and Outlook</t>
  </si>
  <si>
    <t>UI-375</t>
  </si>
  <si>
    <t>JPM - download CSV if there</t>
  </si>
  <si>
    <t>BACK-766</t>
  </si>
  <si>
    <t>Sunwest Feedback Item</t>
  </si>
  <si>
    <t>Colleen Leonard</t>
  </si>
  <si>
    <t>BACK-762</t>
  </si>
  <si>
    <t>Update Unit Tests</t>
  </si>
  <si>
    <t>CI-739</t>
  </si>
  <si>
    <t>Update Pretoken-Generator Lambda to Include Project Roles in JWT</t>
  </si>
  <si>
    <t>CI-738</t>
  </si>
  <si>
    <t>Initial DeepRecon RBAC Implementation</t>
  </si>
  <si>
    <t>BACK-757</t>
  </si>
  <si>
    <t>Allow left-joins in DeepView data model field queries</t>
  </si>
  <si>
    <t>BACK-754</t>
  </si>
  <si>
    <t>Paginate Alias Page</t>
  </si>
  <si>
    <t>PR-1486</t>
  </si>
  <si>
    <t>Handle Large Volume of Tasks</t>
  </si>
  <si>
    <t>PR-1485</t>
  </si>
  <si>
    <t>Implement MojoTech-designed Manager View</t>
  </si>
  <si>
    <t>UI-353</t>
  </si>
  <si>
    <t>UI - Add Source to existing process model</t>
  </si>
  <si>
    <t>BACK-745</t>
  </si>
  <si>
    <t>BE - add source to existing process model</t>
  </si>
  <si>
    <t>PR-1484</t>
  </si>
  <si>
    <t>Easy Loan Agent Setup</t>
  </si>
  <si>
    <t>PR-1483</t>
  </si>
  <si>
    <t>Fix Supervisor Dashboard + Clickability</t>
  </si>
  <si>
    <t>UI-349</t>
  </si>
  <si>
    <t>let me test draft + draft</t>
  </si>
  <si>
    <t>CI-734</t>
  </si>
  <si>
    <t>Create Dataset CLI multi threaded method not capturing all started workflows/stepfunctions</t>
  </si>
  <si>
    <t>BACK-740</t>
  </si>
  <si>
    <t>Accenture history not extracting</t>
  </si>
  <si>
    <t>BACK-735</t>
  </si>
  <si>
    <t>Add Receiving Inbox to Actionable Data Headers</t>
  </si>
  <si>
    <t>PR-1482</t>
  </si>
  <si>
    <t>Onboard Vantage - Loans</t>
  </si>
  <si>
    <t>Vantage Loans Go-Live</t>
  </si>
  <si>
    <t>PR-1481</t>
  </si>
  <si>
    <t>Fix/Finish DeepView for DeepPilot</t>
  </si>
  <si>
    <t>UI-333</t>
  </si>
  <si>
    <t>Pending emails bar too wide</t>
  </si>
  <si>
    <t>BACK-729</t>
  </si>
  <si>
    <t>Add Extra Retries to Event Queue</t>
  </si>
  <si>
    <t>BACK-727</t>
  </si>
  <si>
    <t>Change Key Expired For Outlook Updates</t>
  </si>
  <si>
    <t>PR-1480</t>
  </si>
  <si>
    <t>Onboard Colony Bank</t>
  </si>
  <si>
    <t>PR-1479</t>
  </si>
  <si>
    <t>Altaira POC</t>
  </si>
  <si>
    <t>Live POCs</t>
  </si>
  <si>
    <t>PR-1478</t>
  </si>
  <si>
    <t>SunWest POC</t>
  </si>
  <si>
    <t>PR-1477</t>
  </si>
  <si>
    <t>Review outgoing emails</t>
  </si>
  <si>
    <t>PR-1476</t>
  </si>
  <si>
    <t>Quickly Configurable AI Agent Output</t>
  </si>
  <si>
    <t>PR-1475</t>
  </si>
  <si>
    <t>Ability to query, extract, and use a file or terms from a system that can be used by our automation engines to reconcile and validate against otherdocuments.</t>
  </si>
  <si>
    <t>UI-320</t>
  </si>
  <si>
    <t>Build original source screen skeleton</t>
  </si>
  <si>
    <t>DeepSee Collective Sprint 29</t>
  </si>
  <si>
    <t>BACK-718</t>
  </si>
  <si>
    <t>Errors importing emails to DeepRecon</t>
  </si>
  <si>
    <t>BACK-717</t>
  </si>
  <si>
    <t>DeepView: Add sent and received messages to Actors data object</t>
  </si>
  <si>
    <t>BACK-715</t>
  </si>
  <si>
    <t>Store Outputs in S3 using Multipart Uploads (synchronously for now)</t>
  </si>
  <si>
    <t>PR-1474</t>
  </si>
  <si>
    <t>Easier Automation Copying</t>
  </si>
  <si>
    <t>PR-1473</t>
  </si>
  <si>
    <t>Help Tab in the Tool</t>
  </si>
  <si>
    <t>BACK-699</t>
  </si>
  <si>
    <t>same email to multiple inboxes should make multiple message IDs in recon/pilot</t>
  </si>
  <si>
    <t>PR-1472</t>
  </si>
  <si>
    <t>Recon Mailbox Management</t>
  </si>
  <si>
    <t>BACK-696</t>
  </si>
  <si>
    <t>Update DTCC use case to use updateStageStatus endpoint</t>
  </si>
  <si>
    <t>BACK-695</t>
  </si>
  <si>
    <t>Update intent-agent to accept extracted documents</t>
  </si>
  <si>
    <t>BACK-693</t>
  </si>
  <si>
    <t>Have extractor-service send extracted documents to intent-agent</t>
  </si>
  <si>
    <t>PR-1471</t>
  </si>
  <si>
    <t>Categorization Training</t>
  </si>
  <si>
    <t>BACK-685</t>
  </si>
  <si>
    <t>Update extract-and-categorize endpoint to accept .msg files</t>
  </si>
  <si>
    <t>BACK-684</t>
  </si>
  <si>
    <t>Fix Alias Performance</t>
  </si>
  <si>
    <t>UI-278</t>
  </si>
  <si>
    <t>Add MSG support to test case creation</t>
  </si>
  <si>
    <t>UI-277</t>
  </si>
  <si>
    <t>Allow MSG files to be uploaded for test cases</t>
  </si>
  <si>
    <t>BACK-670</t>
  </si>
  <si>
    <t>[BE] [argo-workflows] Tasks are failing randomly in deeprecon workfowls</t>
  </si>
  <si>
    <t>BACK-667</t>
  </si>
  <si>
    <t>Unify documents ids between deeprecon and deeppilot</t>
  </si>
  <si>
    <t>CI-720</t>
  </si>
  <si>
    <t>OTel extended for AWS Services</t>
  </si>
  <si>
    <t>BACK-665</t>
  </si>
  <si>
    <t>[BE] External documents list contains also attachments but it is displayed under emails section in manage dictionary</t>
  </si>
  <si>
    <t>BACK-664</t>
  </si>
  <si>
    <t>[BE][mlrig] tests for multi subgroup assignment fails randomly</t>
  </si>
  <si>
    <t>UI-265</t>
  </si>
  <si>
    <t>Sunwest - Chat with Policies</t>
  </si>
  <si>
    <t>UI-264</t>
  </si>
  <si>
    <t>Daily Summaries</t>
  </si>
  <si>
    <t>PR-1470</t>
  </si>
  <si>
    <t>DeepView - All Charts Clickable (Recon)</t>
  </si>
  <si>
    <t>FB-2357</t>
  </si>
  <si>
    <t>ML for EquityOne POC</t>
  </si>
  <si>
    <t>BACK-657</t>
  </si>
  <si>
    <t>Message sent to both mailboxes not automating</t>
  </si>
  <si>
    <t>DeepSee Collective Sprint 28</t>
  </si>
  <si>
    <t>BACK-654</t>
  </si>
  <si>
    <t>Equity One POC BE Support</t>
  </si>
  <si>
    <t>PR-1469</t>
  </si>
  <si>
    <t>PR-1468</t>
  </si>
  <si>
    <t>Equity One POC</t>
  </si>
  <si>
    <t>PR-1467</t>
  </si>
  <si>
    <t>Supervisor Dashboard</t>
  </si>
  <si>
    <t>CI-716</t>
  </si>
  <si>
    <t>Demo: Wrapper for Light Ontology Agent</t>
  </si>
  <si>
    <t>FB-2354</t>
  </si>
  <si>
    <t>[Spike] Handle labels rename and delete</t>
  </si>
  <si>
    <t>BACK-648</t>
  </si>
  <si>
    <t>API Endpoint to update Due Date on Messages</t>
  </si>
  <si>
    <t>DeepSee Collective Sprint 27</t>
  </si>
  <si>
    <t>PR-1466</t>
  </si>
  <si>
    <t>Automations for SLA</t>
  </si>
  <si>
    <t>PR-1465</t>
  </si>
  <si>
    <t>SSI Maintenance Agent V1 for DTCC</t>
  </si>
  <si>
    <t>BACK-641</t>
  </si>
  <si>
    <t>Split the reconMessageId out of doc_files.external_id</t>
  </si>
  <si>
    <t>PR-1464</t>
  </si>
  <si>
    <t>Equity One Demoable UI</t>
  </si>
  <si>
    <t>BACK-640</t>
  </si>
  <si>
    <t>DeepPilot Dropping DB Connections in Accenture Barclays</t>
  </si>
  <si>
    <t>BACK-639</t>
  </si>
  <si>
    <t>Use userIds to connect to Outlook rather than email addresses</t>
  </si>
  <si>
    <t>BACK-638</t>
  </si>
  <si>
    <t>Fix vulnerabilities in base image</t>
  </si>
  <si>
    <t>UI-243</t>
  </si>
  <si>
    <t>Automate API doc production in the deeprecon__api repository</t>
  </si>
  <si>
    <t>CI-710</t>
  </si>
  <si>
    <t>[Spike] Look into monitoring options for CNPG</t>
  </si>
  <si>
    <t>CI-709</t>
  </si>
  <si>
    <t>[Spike] Look into CNPG volume snapshots instead of WAL archiving</t>
  </si>
  <si>
    <t>BACK-635</t>
  </si>
  <si>
    <t>Allow aggregate queries to include only one of each record in the results</t>
  </si>
  <si>
    <t>PR-1463</t>
  </si>
  <si>
    <t>DTCC POC - SSI Maintenance Agent</t>
  </si>
  <si>
    <t>UI-239</t>
  </si>
  <si>
    <t>Sender Distribution</t>
  </si>
  <si>
    <t>UI-238</t>
  </si>
  <si>
    <t>Categorization Summary</t>
  </si>
  <si>
    <t>PR-1462</t>
  </si>
  <si>
    <t>Q1 2025</t>
  </si>
  <si>
    <t>BACK-625</t>
  </si>
  <si>
    <t>BE Priority model</t>
  </si>
  <si>
    <t>CI-701</t>
  </si>
  <si>
    <t>[Spike] Investigate self-hosted github runners</t>
  </si>
  <si>
    <t>BACK-607</t>
  </si>
  <si>
    <t>[BE] Processing eml attachments review</t>
  </si>
  <si>
    <t>BACK-605</t>
  </si>
  <si>
    <t>Remove Users API Call from DeepView</t>
  </si>
  <si>
    <t>BACK-604</t>
  </si>
  <si>
    <t>Actors Only Display in DeepView When Participating in Thread in Project</t>
  </si>
  <si>
    <t>BACK-603</t>
  </si>
  <si>
    <t>Recon Preprocessor Replaces DB Record When Processing Duplicates</t>
  </si>
  <si>
    <t>BACK-600</t>
  </si>
  <si>
    <t>Update AWS Java SDK to version 2</t>
  </si>
  <si>
    <t>BACK-599</t>
  </si>
  <si>
    <t>DeepView filters fail with special characters</t>
  </si>
  <si>
    <t>DeepSee Collective Sprint 26</t>
  </si>
  <si>
    <t>BACK-597</t>
  </si>
  <si>
    <t>Figure out how to handle long-running database migration scripts</t>
  </si>
  <si>
    <t>BACK-595</t>
  </si>
  <si>
    <t>BE Nested Subgroups</t>
  </si>
  <si>
    <t>FB-2351</t>
  </si>
  <si>
    <t>ML Nested Subgroups</t>
  </si>
  <si>
    <t>PR-1461</t>
  </si>
  <si>
    <t>Nested Subgroups</t>
  </si>
  <si>
    <t>FB-2350</t>
  </si>
  <si>
    <t>ML Priority Model</t>
  </si>
  <si>
    <t>BACK-593</t>
  </si>
  <si>
    <t>[DRAFT] Update Classification to use Single Runtime</t>
  </si>
  <si>
    <t>FB-2348</t>
  </si>
  <si>
    <t>Research best way to support nested subgroups</t>
  </si>
  <si>
    <t>PR-1460</t>
  </si>
  <si>
    <t>Model for Email Priority</t>
  </si>
  <si>
    <t>BACK-590</t>
  </si>
  <si>
    <t>DeepView Recon Integration</t>
  </si>
  <si>
    <t>BACK-588</t>
  </si>
  <si>
    <t>Actionable Data - OR filter</t>
  </si>
  <si>
    <t>BACK-586</t>
  </si>
  <si>
    <t>no label</t>
  </si>
  <si>
    <t>DeepSee Collective Sprint 24</t>
  </si>
  <si>
    <t>CI-695</t>
  </si>
  <si>
    <t>Create Serving Runtimes for Inference and Association models</t>
  </si>
  <si>
    <t>CI-694</t>
  </si>
  <si>
    <t>Migrate K8s clusters from Calico to Cilium</t>
  </si>
  <si>
    <t>CI-693</t>
  </si>
  <si>
    <t>Install namespaced Kserve model mesh</t>
  </si>
  <si>
    <t>DeepSee Collective Sprint 25</t>
  </si>
  <si>
    <t>BACK-579</t>
  </si>
  <si>
    <t>DeepView - Counterparties and Email Addresses not project scoped?</t>
  </si>
  <si>
    <t>UI-210</t>
  </si>
  <si>
    <t>Categories Across Time - Fix Query</t>
  </si>
  <si>
    <t>BACK-575</t>
  </si>
  <si>
    <t>Create endpoints to provide data for DeepView</t>
  </si>
  <si>
    <t>BACK-573</t>
  </si>
  <si>
    <t>Set up Kafka Queue for Automations</t>
  </si>
  <si>
    <t>BACK-566</t>
  </si>
  <si>
    <t>HITL feedback for Automations Back End work</t>
  </si>
  <si>
    <t>PR-1459</t>
  </si>
  <si>
    <t>RBAC for DeepRecon</t>
  </si>
  <si>
    <t>PR-1457</t>
  </si>
  <si>
    <t>HITL feedback for Automations</t>
  </si>
  <si>
    <t>FB-2345</t>
  </si>
  <si>
    <t>Prediction-middleware deploy job fails</t>
  </si>
  <si>
    <t>PR-1456</t>
  </si>
  <si>
    <t>Automation Insights in DeepView</t>
  </si>
  <si>
    <t>BACK-557</t>
  </si>
  <si>
    <t>Filter process models returned by the Automations API</t>
  </si>
  <si>
    <t>CI-691</t>
  </si>
  <si>
    <t>Create DeepGPT Onboarding Script</t>
  </si>
  <si>
    <t>BACK-552</t>
  </si>
  <si>
    <t>Create Update APIs to support customer management of Project Scoped Authorization</t>
  </si>
  <si>
    <t>BACK-550</t>
  </si>
  <si>
    <t>Allow DeepView queries with multiple groups to be sorted by value</t>
  </si>
  <si>
    <t>BACK-549</t>
  </si>
  <si>
    <t>Create Retrieval APIs to support customer management of Project Scoped Authorization</t>
  </si>
  <si>
    <t>BACK-548</t>
  </si>
  <si>
    <t>Create Schema to support customer management of Project Scoped Authorization</t>
  </si>
  <si>
    <t>BACK-547</t>
  </si>
  <si>
    <t>Project Scoped Authorization for Self Hosted Customers</t>
  </si>
  <si>
    <t>BACK-546</t>
  </si>
  <si>
    <t>Deploy Broadridge Hotifx Version of Categorization to Prod</t>
  </si>
  <si>
    <t>BACK-541</t>
  </si>
  <si>
    <t>Dynamically Update Pretoken Generator Lamba</t>
  </si>
  <si>
    <t>UI-179</t>
  </si>
  <si>
    <t>Update API calls for DeepView to include Project</t>
  </si>
  <si>
    <t>DeepSee Collective Sprint 23</t>
  </si>
  <si>
    <t>PR-1453</t>
  </si>
  <si>
    <t>Give Investors a Sandbox Environment (Separate from Demo)</t>
  </si>
  <si>
    <t>BACK-533</t>
  </si>
  <si>
    <t>Can't Find File for Heavy Extraction</t>
  </si>
  <si>
    <t>BACK-532</t>
  </si>
  <si>
    <t>Investigate Preprocessor Downtime</t>
  </si>
  <si>
    <t>BACK-531</t>
  </si>
  <si>
    <t>Value Too Long for Actors Table</t>
  </si>
  <si>
    <t>CI-682</t>
  </si>
  <si>
    <t>24Q4-PenTest: Sensitive Data Stored in LocalStorage</t>
  </si>
  <si>
    <t>CI-681</t>
  </si>
  <si>
    <t>24Q4-PenTest: TLS Misconfiguration - Weak Ciphers in Use</t>
  </si>
  <si>
    <t>CI-680</t>
  </si>
  <si>
    <t>24Q4-PenTest: Wordpress "wp-cron.php" file enabled</t>
  </si>
  <si>
    <t>CI-679</t>
  </si>
  <si>
    <t>24Q4-PenTest: Insufficient Session Expiration</t>
  </si>
  <si>
    <t>CI-678</t>
  </si>
  <si>
    <t>24Q4-PenTest: Information Disclosure</t>
  </si>
  <si>
    <t>CI-677</t>
  </si>
  <si>
    <t>24Q4-PenTest: CVE-2018-6389 - Wordpress "load-scripts.php" Resource Exhaustion</t>
  </si>
  <si>
    <t>CI-676</t>
  </si>
  <si>
    <t>24Q4-PenTest: Wordpress xmlrpc.php File Enabled</t>
  </si>
  <si>
    <t>CI-675</t>
  </si>
  <si>
    <t>24Q4-PenTest: Clickjacking</t>
  </si>
  <si>
    <t>CI-674</t>
  </si>
  <si>
    <t>24Q4-PenTest: Missing HTTP Security Headers</t>
  </si>
  <si>
    <t>CI-673</t>
  </si>
  <si>
    <t>24Q4-PenTest: CORS Misconfiguration</t>
  </si>
  <si>
    <t>CI-672</t>
  </si>
  <si>
    <t>24Q4-PenTest: User Enumeration on Reset Password</t>
  </si>
  <si>
    <t>CI-671</t>
  </si>
  <si>
    <t>24Q4-PenTest:  User enumeration on login page</t>
  </si>
  <si>
    <t>CI-669</t>
  </si>
  <si>
    <t>Automate Data ingress per tenant</t>
  </si>
  <si>
    <t>UI-171</t>
  </si>
  <si>
    <t>Design Model Management UI</t>
  </si>
  <si>
    <t>BACK-529</t>
  </si>
  <si>
    <t>Model Training Management BE Design</t>
  </si>
  <si>
    <t>UI-170</t>
  </si>
  <si>
    <t>Model training and status UI</t>
  </si>
  <si>
    <t>BACK-528</t>
  </si>
  <si>
    <t>Expose model training status to customers</t>
  </si>
  <si>
    <t>CI-668</t>
  </si>
  <si>
    <t>Cleanup Unused DR Infra</t>
  </si>
  <si>
    <t>BACK-527</t>
  </si>
  <si>
    <t>No result returned from signature model</t>
  </si>
  <si>
    <t>BACK-526</t>
  </si>
  <si>
    <t>Customer Trainable Heavy Extraction</t>
  </si>
  <si>
    <t>CI-665</t>
  </si>
  <si>
    <t>Run prod workloads on spot instances</t>
  </si>
  <si>
    <t>CI-663</t>
  </si>
  <si>
    <t>Automate the Training Pipeline</t>
  </si>
  <si>
    <t>PR-1452</t>
  </si>
  <si>
    <t>Customers can train their own Heavy Extraction models (including self-hosted)</t>
  </si>
  <si>
    <t>PR-1451</t>
  </si>
  <si>
    <t>Corporate Earnings Document Training</t>
  </si>
  <si>
    <t>CI-662</t>
  </si>
  <si>
    <t>Create Troubleshooting Script</t>
  </si>
  <si>
    <t>CI-661</t>
  </si>
  <si>
    <t>Create Troubleshooting Guide</t>
  </si>
  <si>
    <t>CI-660</t>
  </si>
  <si>
    <t>Self Hosted Customer Support</t>
  </si>
  <si>
    <t>BACK-519</t>
  </si>
  <si>
    <t>Logging for Python Workers</t>
  </si>
  <si>
    <t>BACK-518</t>
  </si>
  <si>
    <t>DeepSee Troubleshooting</t>
  </si>
  <si>
    <t>BACK-516</t>
  </si>
  <si>
    <t>Categories Across Time Empty</t>
  </si>
  <si>
    <t>DeepSee Collective Sprint 22</t>
  </si>
  <si>
    <t>BACK-515</t>
  </si>
  <si>
    <t>Deploy new signature model</t>
  </si>
  <si>
    <t>BACK-514</t>
  </si>
  <si>
    <t>Store signature model version in database</t>
  </si>
  <si>
    <t>BACK-513</t>
  </si>
  <si>
    <t>CLONE - Press the big red button on signature removal model</t>
  </si>
  <si>
    <t>BACK-511</t>
  </si>
  <si>
    <t>Link source to project</t>
  </si>
  <si>
    <t>UI-160</t>
  </si>
  <si>
    <t>Hook RFP to S3 for POC</t>
  </si>
  <si>
    <t>PR-1450</t>
  </si>
  <si>
    <t>HighBridge POC (No APIs)</t>
  </si>
  <si>
    <t>Accenture Functional Go-Live</t>
  </si>
  <si>
    <t>UI-157</t>
  </si>
  <si>
    <t>Design Data Source Creation</t>
  </si>
  <si>
    <t>CI-654</t>
  </si>
  <si>
    <t>BACK-504</t>
  </si>
  <si>
    <t>OPA Policies for DeepRecon</t>
  </si>
  <si>
    <t>BACK-499</t>
  </si>
  <si>
    <t>Categorization Model Per Project</t>
  </si>
  <si>
    <t>BACK-497</t>
  </si>
  <si>
    <t>Project Resource APIs</t>
  </si>
  <si>
    <t>PR-1449</t>
  </si>
  <si>
    <t>Send Emails from DeepRecon (User writes the email)</t>
  </si>
  <si>
    <t>CI-653</t>
  </si>
  <si>
    <t>Test migrating experiments in mlflow</t>
  </si>
  <si>
    <t>DeepSee Collective Sprint 21</t>
  </si>
  <si>
    <t>PR-1448</t>
  </si>
  <si>
    <t>Send emails from DeepRecon with GPT</t>
  </si>
  <si>
    <t>FB-2343</t>
  </si>
  <si>
    <t>Update inference to support nested subgroups</t>
  </si>
  <si>
    <t>FB-2340</t>
  </si>
  <si>
    <t>Update model training to support nested subgroups</t>
  </si>
  <si>
    <t>BACK-491</t>
  </si>
  <si>
    <t>DeepPilot Client is Built Locally</t>
  </si>
  <si>
    <t>UI-149</t>
  </si>
  <si>
    <t>UI - DeepView Recon Root Cause Analysis Page</t>
  </si>
  <si>
    <t>PR-1447</t>
  </si>
  <si>
    <t>Paginated API for Accenture</t>
  </si>
  <si>
    <t>PR-1446</t>
  </si>
  <si>
    <t>DeepRecon Process Alert Page</t>
  </si>
  <si>
    <t>BACK-477</t>
  </si>
  <si>
    <t>Cleanup Signature Removal Migration</t>
  </si>
  <si>
    <t>FB-2338</t>
  </si>
  <si>
    <t>Evaluate signature removal model for production</t>
  </si>
  <si>
    <t>UI-143</t>
  </si>
  <si>
    <t>Completed emails shouldn't show up in Status page</t>
  </si>
  <si>
    <t>PR-1445</t>
  </si>
  <si>
    <t>DeepGPT For Metrics Information</t>
  </si>
  <si>
    <t>PR-1444</t>
  </si>
  <si>
    <t>AFT Connector</t>
  </si>
  <si>
    <t>UI-140</t>
  </si>
  <si>
    <t>Update key-matching UI to support matching nested subgroup terms with nested subgroup terms</t>
  </si>
  <si>
    <t>UI-139</t>
  </si>
  <si>
    <t>Update key-matching UI to support matching nested subgroup terms with non subgroup terms</t>
  </si>
  <si>
    <t>UI-138</t>
  </si>
  <si>
    <t>Add content map UI for nested subgroups</t>
  </si>
  <si>
    <t>PR-1443</t>
  </si>
  <si>
    <t>Placeholder initiative for End 2024</t>
  </si>
  <si>
    <t>CI-650</t>
  </si>
  <si>
    <t>Enable Self hosted customers to train categorization model</t>
  </si>
  <si>
    <t>UI-136</t>
  </si>
  <si>
    <t>UI - Nested Subgroups</t>
  </si>
  <si>
    <t>UI-134</t>
  </si>
  <si>
    <t>Add Status field to Actionable Data</t>
  </si>
  <si>
    <t>BACK-474</t>
  </si>
  <si>
    <t>Execute Automations when Email is Completed</t>
  </si>
  <si>
    <t>PR-1442</t>
  </si>
  <si>
    <t>Error Rate SLO</t>
  </si>
  <si>
    <t>BACK-469</t>
  </si>
  <si>
    <t>[BE] Error while saving the extracted table</t>
  </si>
  <si>
    <t>PR-1441</t>
  </si>
  <si>
    <t>Set Up/Configure DTCC Tenant</t>
  </si>
  <si>
    <t>DTCC SSI Updates</t>
  </si>
  <si>
    <t>UI-127</t>
  </si>
  <si>
    <t>Export Data from DeepView Graphs</t>
  </si>
  <si>
    <t>PR-1440</t>
  </si>
  <si>
    <t>PR-1439</t>
  </si>
  <si>
    <t>Make DeepRecon Enterprise-Grade Product</t>
  </si>
  <si>
    <t>PR-1438</t>
  </si>
  <si>
    <t>Improved Complete Button</t>
  </si>
  <si>
    <t>PR-1437</t>
  </si>
  <si>
    <t>Vantage POC</t>
  </si>
  <si>
    <t>PR-1436</t>
  </si>
  <si>
    <t>DeepView- DeepRecon Root Cause Analysis Page</t>
  </si>
  <si>
    <t>PR-1435</t>
  </si>
  <si>
    <t>Demoable RFP Workflow</t>
  </si>
  <si>
    <t>CI-642</t>
  </si>
  <si>
    <t>Modify helm charts to allow for scaling of 0 in DR cluster</t>
  </si>
  <si>
    <t>CI-641</t>
  </si>
  <si>
    <t>Allow for fine-grained onboarding enable/disable</t>
  </si>
  <si>
    <t>CI-640</t>
  </si>
  <si>
    <t>Create method for secret replication to DR cluster</t>
  </si>
  <si>
    <t>CI-639</t>
  </si>
  <si>
    <t>[Spike] Research CNPG failback mechanisms</t>
  </si>
  <si>
    <t>FB-2330</t>
  </si>
  <si>
    <t>ML - Telemetry / Logging for ML Pipeline</t>
  </si>
  <si>
    <t>CI-321</t>
  </si>
  <si>
    <t>Public Repositories</t>
  </si>
  <si>
    <t>CI-278</t>
  </si>
  <si>
    <t>INFRA - Federated Model Management (de-siloing learning from tenants)</t>
  </si>
  <si>
    <t>BACK-441</t>
  </si>
  <si>
    <t>BE - DeepGPT Steel Thread</t>
  </si>
  <si>
    <t>BACK-398</t>
  </si>
  <si>
    <t>Don't create extraction response audit record when called by Pilot</t>
  </si>
  <si>
    <t>UI-112</t>
  </si>
  <si>
    <t>UI - Access and Read all messages in the datasource</t>
  </si>
  <si>
    <t>UI-110</t>
  </si>
  <si>
    <t>UI - 1.5 Changes to labels need to be made upon receipt of feedback (Process glossary implementation)</t>
  </si>
  <si>
    <t>BACK-330</t>
  </si>
  <si>
    <t>BE - Production and Demo Support Q4 2023</t>
  </si>
  <si>
    <t>BACK-329</t>
  </si>
  <si>
    <t>BE - 1.2 Smooth categorization training - clustering, classification, incorporating HITL feedback, retraining</t>
  </si>
  <si>
    <t>BACK-326</t>
  </si>
  <si>
    <t>BE - Monitoring and Observability</t>
  </si>
  <si>
    <t>FB-2313</t>
  </si>
  <si>
    <t>ML - Light extraction phase 2</t>
  </si>
  <si>
    <t>CI-260</t>
  </si>
  <si>
    <t>INFRA - Accenture implementation SSO and UAT</t>
  </si>
  <si>
    <t>Thomas Bell</t>
  </si>
  <si>
    <t>BACK-206</t>
  </si>
  <si>
    <t>BE - DeepRecon Task/RBAC</t>
  </si>
  <si>
    <t>Ross Hamilton</t>
  </si>
  <si>
    <t>BACK-201</t>
  </si>
  <si>
    <t>BACK-183</t>
  </si>
  <si>
    <t>BE - Utilities forced UX Debt to move quick</t>
  </si>
  <si>
    <t>BACK-169</t>
  </si>
  <si>
    <t>BACK-120</t>
  </si>
  <si>
    <t>BE - 5.2 Process Logic to set priority on email</t>
  </si>
  <si>
    <t>BACK-105</t>
  </si>
  <si>
    <t>BE - Infrastructure and Application Monitoring and Logging</t>
  </si>
  <si>
    <t>BACK-100</t>
  </si>
  <si>
    <t>BE - Inbox Status Page</t>
  </si>
  <si>
    <t>BACK-90</t>
  </si>
  <si>
    <t>BE - Create labeling service reviewing data and providing human validation</t>
  </si>
  <si>
    <t>Jeff Klassen</t>
  </si>
  <si>
    <t>BACK-82</t>
  </si>
  <si>
    <t>BACK-56</t>
  </si>
  <si>
    <t>BE - Optimize Heavy Extraction</t>
  </si>
  <si>
    <t>BACK-55</t>
  </si>
  <si>
    <t>BE - Provide DeepSee Artifacts to Self Hosted Customers</t>
  </si>
  <si>
    <t>BACK-51</t>
  </si>
  <si>
    <t>BE - Build Non-existing Charts</t>
  </si>
  <si>
    <t>BACK-47</t>
  </si>
  <si>
    <t>BE - CI/CD</t>
  </si>
  <si>
    <t>BACK-35</t>
  </si>
  <si>
    <t>BE - Improved signature cleaning</t>
  </si>
  <si>
    <t>BACK-20</t>
  </si>
  <si>
    <t>BE - Reduce Errors in DeepRecon</t>
  </si>
  <si>
    <t>UI-76</t>
  </si>
  <si>
    <t>UI - Content Map - General Backlog of Items (unprioritized)</t>
  </si>
  <si>
    <t>UI-73</t>
  </si>
  <si>
    <t>UI - Technical Enablement and Technical Debt Bucket for Process Automation Back End Team</t>
  </si>
  <si>
    <t>UI-71</t>
  </si>
  <si>
    <t>UI - Work items for display only</t>
  </si>
  <si>
    <t>UI-69</t>
  </si>
  <si>
    <t>UI - Enhancement to arrays</t>
  </si>
  <si>
    <t>UI-65</t>
  </si>
  <si>
    <t>UI - DeepRecon Task/RBAC</t>
  </si>
  <si>
    <t>UI-57</t>
  </si>
  <si>
    <t>UI - Ensure all terms have the right data associated with it</t>
  </si>
  <si>
    <t>UI-52</t>
  </si>
  <si>
    <t>UI - Production and Demo Support Q4 2023</t>
  </si>
  <si>
    <t>UI-39</t>
  </si>
  <si>
    <t>UI - 1.2 Smooth categorization training - clustering, classification, incorporating HITL feedback, retraining</t>
  </si>
  <si>
    <t>UI-36</t>
  </si>
  <si>
    <t>UI - Create labeling service reviewing data and providing human validation</t>
  </si>
  <si>
    <t>UI-23</t>
  </si>
  <si>
    <t>UI - 1.1 DeepRecon uploads new emails successfully to train</t>
  </si>
  <si>
    <t>UI-17</t>
  </si>
  <si>
    <t>UI - Support POC's For Sales Team</t>
  </si>
  <si>
    <t>UI-14</t>
  </si>
  <si>
    <t>UI - Existing Customers - Onboarding and Expansion</t>
  </si>
  <si>
    <t>UI-12</t>
  </si>
  <si>
    <t>UI - Existing Customers - Production Support</t>
  </si>
  <si>
    <t>PR-1411</t>
  </si>
  <si>
    <t>Multiple Subgroups</t>
  </si>
  <si>
    <t>PR-1410</t>
  </si>
  <si>
    <t>Multiple Projects in DeepRecon</t>
  </si>
  <si>
    <t>PR-1409</t>
  </si>
  <si>
    <t>Approval Workflow for DeepPilot HITL Feedback</t>
  </si>
  <si>
    <t>PR-1408</t>
  </si>
  <si>
    <t>Broadridge Able to Deploy to QA and PROD</t>
  </si>
  <si>
    <t>Broadridge First Team Live</t>
  </si>
  <si>
    <t>PR-1407</t>
  </si>
  <si>
    <t>Demo Automations and Status Page in Customer Self Hosted Environment</t>
  </si>
  <si>
    <t>BACK-425</t>
  </si>
  <si>
    <t>[BE] Key values table extractions false positives</t>
  </si>
  <si>
    <t>BACK-426</t>
  </si>
  <si>
    <t>[BE][PredictionApi] get extracted document method failing</t>
  </si>
  <si>
    <t>BACK-4</t>
  </si>
  <si>
    <t>PILOT Image Security Vulnerability Mitigation 20</t>
  </si>
  <si>
    <t>DeepSee Collective Sprint 20</t>
  </si>
  <si>
    <t>FB-2306</t>
  </si>
  <si>
    <t>SPIKE Feature Store</t>
  </si>
  <si>
    <t>FB-2305</t>
  </si>
  <si>
    <t>Select feature store tool</t>
  </si>
  <si>
    <t>BACK-9</t>
  </si>
  <si>
    <t>Attached PNG fails heavy extraction</t>
  </si>
  <si>
    <t>CI-232</t>
  </si>
  <si>
    <t>Provision Accenture DR environment</t>
  </si>
  <si>
    <t>UI-1</t>
  </si>
  <si>
    <t>API Schema Management</t>
  </si>
  <si>
    <t>UI-2</t>
  </si>
  <si>
    <t>[API] Update the documentation site CI/CD pipeline to consume published APIs</t>
  </si>
  <si>
    <t>UI-7</t>
  </si>
  <si>
    <t>[API] Determine if there is an automated way to detect repositories with API specs</t>
  </si>
  <si>
    <t>UI-4</t>
  </si>
  <si>
    <t>[API] Centralize shared API testing code in one spot to avoid repetition</t>
  </si>
  <si>
    <t>UI-5</t>
  </si>
  <si>
    <t>[API] Ensure API repositories adhere to the naming scheme</t>
  </si>
  <si>
    <t>CI-229</t>
  </si>
  <si>
    <t>Request Exceptions for pip and setuputils vulnerabilities</t>
  </si>
  <si>
    <t>BACK-16</t>
  </si>
  <si>
    <t>Update how lookup tables are used in FEEL expressions</t>
  </si>
  <si>
    <t>FB-2295</t>
  </si>
  <si>
    <t>Handle Imbalanced Dataset</t>
  </si>
  <si>
    <t>BACK-21</t>
  </si>
  <si>
    <t>Accenture HA database connections die</t>
  </si>
  <si>
    <t>DeepSee Collective Sprint 18</t>
  </si>
  <si>
    <t>BACK-17</t>
  </si>
  <si>
    <t>Make zip file processing more robust</t>
  </si>
  <si>
    <t>BACK-18</t>
  </si>
  <si>
    <t>Check modelchain version before extracting documents</t>
  </si>
  <si>
    <t>BACK-252</t>
  </si>
  <si>
    <t>[BE] Convert Task Completion Report Script to Java</t>
  </si>
  <si>
    <t>FB-2293</t>
  </si>
  <si>
    <t>CLONE - VCS- font annotation issues</t>
  </si>
  <si>
    <t>BACK-24</t>
  </si>
  <si>
    <t>Investigate JPM Extractor service restarts</t>
  </si>
  <si>
    <t>CI-227</t>
  </si>
  <si>
    <t>Test regional failover</t>
  </si>
  <si>
    <t>DeepSee Collective Sprint 19</t>
  </si>
  <si>
    <t>UI-20</t>
  </si>
  <si>
    <t>Visualizing Ontology</t>
  </si>
  <si>
    <t>BACK-25</t>
  </si>
  <si>
    <t>Make the dealfeed lambda fail more gracefully</t>
  </si>
  <si>
    <t>BACK-265</t>
  </si>
  <si>
    <t>ConcurrentModificationException While Extracting Table</t>
  </si>
  <si>
    <t>CI-224</t>
  </si>
  <si>
    <t>Update deeprecon-messages onboarding job image</t>
  </si>
  <si>
    <t>CI-222</t>
  </si>
  <si>
    <t>CI Image Security Vulnerability Mitigation 4</t>
  </si>
  <si>
    <t>DeepSee Collective Sprint 17</t>
  </si>
  <si>
    <t>CI-221</t>
  </si>
  <si>
    <t>CI Image Security Vulnerability Mitigation 3</t>
  </si>
  <si>
    <t>CI-218</t>
  </si>
  <si>
    <t>Quarterly backup restoration testing</t>
  </si>
  <si>
    <t>BACK-253</t>
  </si>
  <si>
    <t>Update initial data script and add to extractor-service migrations</t>
  </si>
  <si>
    <t>CI-634</t>
  </si>
  <si>
    <t>Enable customers to trigger the training of the categorization model</t>
  </si>
  <si>
    <t>CI-632</t>
  </si>
  <si>
    <t>Create APIs to Expose Model Management Operations</t>
  </si>
  <si>
    <t>CI-627</t>
  </si>
  <si>
    <t>Migrate Modelchain Deployment from GitHub Actions to Workflow</t>
  </si>
  <si>
    <t>CI-637</t>
  </si>
  <si>
    <t>Create Workflow for Heavy Extraction Model Training</t>
  </si>
  <si>
    <t>CI-636</t>
  </si>
  <si>
    <t>Enable Review of DataSet before Training</t>
  </si>
  <si>
    <t>CI-629</t>
  </si>
  <si>
    <t>Create Workflow that executes Heavy Extraction DataSet creation</t>
  </si>
  <si>
    <t>CI-217</t>
  </si>
  <si>
    <t>Code Security Vulnerability Mitigation</t>
  </si>
  <si>
    <t>CI-215</t>
  </si>
  <si>
    <t>Public Terraform Repository</t>
  </si>
  <si>
    <t>CI-214</t>
  </si>
  <si>
    <t>Public Helm Repository</t>
  </si>
  <si>
    <t>CI-213</t>
  </si>
  <si>
    <t>Public Docker Repository</t>
  </si>
  <si>
    <t>CI-624</t>
  </si>
  <si>
    <t>Enable Self Hosted Categorization Management</t>
  </si>
  <si>
    <t>CI-625</t>
  </si>
  <si>
    <t>Enable Self Hosted Heavy Extraction Training and Promotion</t>
  </si>
  <si>
    <t>CI-212</t>
  </si>
  <si>
    <t>Enforce 180s timeout</t>
  </si>
  <si>
    <t>BACK-36</t>
  </si>
  <si>
    <t>Automated Signature Model Training and Deployment</t>
  </si>
  <si>
    <t>BACK-31</t>
  </si>
  <si>
    <t>[BE] DB Transaction Root Cause</t>
  </si>
  <si>
    <t>BACK-223</t>
  </si>
  <si>
    <t>Better handling of very large documents</t>
  </si>
  <si>
    <t>BACK-233</t>
  </si>
  <si>
    <t>Update alerting on MLP so we know when deals fail</t>
  </si>
  <si>
    <t>FB-2289</t>
  </si>
  <si>
    <t>Create a Github workflow to build the mlflow-pyfunc container</t>
  </si>
  <si>
    <t>CI-211</t>
  </si>
  <si>
    <t>Failed Tests Prevent Promotion to Production</t>
  </si>
  <si>
    <t>BACK-43</t>
  </si>
  <si>
    <t>Productionalize DeepGPT</t>
  </si>
  <si>
    <t>BACK-41</t>
  </si>
  <si>
    <t>DeepGPT CI/CD</t>
  </si>
  <si>
    <t>BACK-40</t>
  </si>
  <si>
    <t>Containerize DeepGPT</t>
  </si>
  <si>
    <t>CI-210</t>
  </si>
  <si>
    <t>Set otel status_code to enable consistent error trace collection</t>
  </si>
  <si>
    <t>BACK-277</t>
  </si>
  <si>
    <t>Uploading emails is broken in Pilot UI</t>
  </si>
  <si>
    <t>CI-209</t>
  </si>
  <si>
    <t>Setup pgvector for DeepGPT</t>
  </si>
  <si>
    <t>BACK-272</t>
  </si>
  <si>
    <t>[BE] preprocessor - index error</t>
  </si>
  <si>
    <t>BACK-273</t>
  </si>
  <si>
    <t>[BE] preprocessor -Failed to process message with DeepPilot</t>
  </si>
  <si>
    <t>BACK-45</t>
  </si>
  <si>
    <t>Pilot needs to support .pst files</t>
  </si>
  <si>
    <t>CI-626</t>
  </si>
  <si>
    <t>Intermittent Testing Issues</t>
  </si>
  <si>
    <t>CI-207</t>
  </si>
  <si>
    <t>Some of the Postgres temp roles are not being deleted</t>
  </si>
  <si>
    <t>BACK-403</t>
  </si>
  <si>
    <t>docs.deepsee.ai auth</t>
  </si>
  <si>
    <t>UI-22</t>
  </si>
  <si>
    <t>Update blockly to JSON</t>
  </si>
  <si>
    <t>FB-2288</t>
  </si>
  <si>
    <t>Test building image for model deployment</t>
  </si>
  <si>
    <t>UI-118</t>
  </si>
  <si>
    <t>Internal Documentation Portal</t>
  </si>
  <si>
    <t>CI-205</t>
  </si>
  <si>
    <t>Make Alerting and Dashboards part of deployment</t>
  </si>
  <si>
    <t>CI-204</t>
  </si>
  <si>
    <t>Create Meaningful alerts for DeepRecon and DeepPilot for Accenture and JPM</t>
  </si>
  <si>
    <t>BACK-327</t>
  </si>
  <si>
    <t>Create Accenture Dashboard in Datadog</t>
  </si>
  <si>
    <t>CI-203</t>
  </si>
  <si>
    <t>SPIKE: Rollbacks</t>
  </si>
  <si>
    <t>CI-202</t>
  </si>
  <si>
    <t>Rollbacks</t>
  </si>
  <si>
    <t>BACK-451</t>
  </si>
  <si>
    <t>SPIKE: UI in Local Integration Environment</t>
  </si>
  <si>
    <t>BACK-444</t>
  </si>
  <si>
    <t>Jankiest of Local Development Environments</t>
  </si>
  <si>
    <t>PR-1386</t>
  </si>
  <si>
    <t>Local Development</t>
  </si>
  <si>
    <t>BACK-50</t>
  </si>
  <si>
    <t>Create an Integration test that covers the DCS-650 Scenario</t>
  </si>
  <si>
    <t>CI-200</t>
  </si>
  <si>
    <t>Update Sagemaker inference instances type</t>
  </si>
  <si>
    <t>CI-198</t>
  </si>
  <si>
    <t>Update IAM Roles to be more restrictive</t>
  </si>
  <si>
    <t>BACK-267</t>
  </si>
  <si>
    <t>DeepRecon restarts during labelling process</t>
  </si>
  <si>
    <t>UI-81</t>
  </si>
  <si>
    <t>Disable Label Deletion and Renaming in DeepRecon</t>
  </si>
  <si>
    <t>BACK-429</t>
  </si>
  <si>
    <t>Predicted label provided to ml workflows for dataset training</t>
  </si>
  <si>
    <t>FB-2285</t>
  </si>
  <si>
    <t xml:space="preserve">Compare Glider and Bros model for extracting </t>
  </si>
  <si>
    <t>BACK-362</t>
  </si>
  <si>
    <t>[DRAFT] E2E Testing for DeepRecon Email Extraction</t>
  </si>
  <si>
    <t>BACK-361</t>
  </si>
  <si>
    <t>[DRAFT] Manage Models Locally in Tilt w/ MLFlow</t>
  </si>
  <si>
    <t>BACK-393</t>
  </si>
  <si>
    <t>[DRAFT] Remove Application Specific JWT Auth From DeepRecon API</t>
  </si>
  <si>
    <t>BACK-389</t>
  </si>
  <si>
    <t>[DRAFT] Update Preprocessor S3 Auth to Function with Minio</t>
  </si>
  <si>
    <t>BACK-226</t>
  </si>
  <si>
    <t>Integrate With Lookup Tables for Email Text Filtering</t>
  </si>
  <si>
    <t>BACK-227</t>
  </si>
  <si>
    <t>Integrate With Lookup Tables for Is Reply Logic</t>
  </si>
  <si>
    <t>CI-193</t>
  </si>
  <si>
    <t>Update Tilt to be able run with new Helm chart structure</t>
  </si>
  <si>
    <t>PR-1383</t>
  </si>
  <si>
    <t>Synthetic Data</t>
  </si>
  <si>
    <t>CI-192</t>
  </si>
  <si>
    <t>Clean Up Current Infrastructure</t>
  </si>
  <si>
    <t>FB-2283</t>
  </si>
  <si>
    <t>Content Map Creatation</t>
  </si>
  <si>
    <t>FB-2282</t>
  </si>
  <si>
    <t>Validate Training for Broadridge Categorization Model</t>
  </si>
  <si>
    <t>BACK-310</t>
  </si>
  <si>
    <t>Refactor PyFunc Images</t>
  </si>
  <si>
    <t>PR-1382</t>
  </si>
  <si>
    <t>Deploy OPA per tenant</t>
  </si>
  <si>
    <t>BACK-34</t>
  </si>
  <si>
    <t>Delete 4 Duplicate Content Maps</t>
  </si>
  <si>
    <t>DeepSee Collective Sprint 14</t>
  </si>
  <si>
    <t>PR-1381</t>
  </si>
  <si>
    <t>Model Management in Self Hosted Environments</t>
  </si>
  <si>
    <t>CI-189</t>
  </si>
  <si>
    <t>Repository Sharing</t>
  </si>
  <si>
    <t>BACK-29</t>
  </si>
  <si>
    <t>New project in demo</t>
  </si>
  <si>
    <t>BACK-27</t>
  </si>
  <si>
    <t>DeepPilot - Reduce BE Errors</t>
  </si>
  <si>
    <t>FB-2310</t>
  </si>
  <si>
    <t>Existing Customers - Production Support</t>
  </si>
  <si>
    <t>PR-1378</t>
  </si>
  <si>
    <t>Production and Onboarding Support</t>
  </si>
  <si>
    <t>BACK-58</t>
  </si>
  <si>
    <t>Update Inference Pipeline to use updated Data Validation</t>
  </si>
  <si>
    <t>BACK-59</t>
  </si>
  <si>
    <t>Refactor Data Validation Step in Heavy Extraction</t>
  </si>
  <si>
    <t>BACK-63</t>
  </si>
  <si>
    <t>Structured Data Extraction is Updated to Support Nested and Multiple Subgroups</t>
  </si>
  <si>
    <t>CI-186</t>
  </si>
  <si>
    <t>Document ArgoCD application deployment steps in tenant clouds</t>
  </si>
  <si>
    <t>CI-181</t>
  </si>
  <si>
    <t>Move Terraform modules to a different repo from Terragrunt</t>
  </si>
  <si>
    <t>BACK-274</t>
  </si>
  <si>
    <t>Prevent archives from being re-extracted</t>
  </si>
  <si>
    <t>BACK-33</t>
  </si>
  <si>
    <t>docx conversion dropping formulas</t>
  </si>
  <si>
    <t>CI-178</t>
  </si>
  <si>
    <t>Modify StatefulSets to be in different AZs</t>
  </si>
  <si>
    <t>CI-177</t>
  </si>
  <si>
    <t>Provision subnets and Update node groups in all clusters to span 3 AZs</t>
  </si>
  <si>
    <t>BACK-225</t>
  </si>
  <si>
    <t>Implement Signature Removal Model in Preprocessor</t>
  </si>
  <si>
    <t>BACK-15</t>
  </si>
  <si>
    <t>Limit rate at which documents are sent to heavy extraction</t>
  </si>
  <si>
    <t>BACK-68</t>
  </si>
  <si>
    <t>Have Execution Manager extract email attachments</t>
  </si>
  <si>
    <t>BACK-48</t>
  </si>
  <si>
    <t>Create Config Map to Track DB Migration Image Updates</t>
  </si>
  <si>
    <t>CI-172</t>
  </si>
  <si>
    <t>Troubleshoot why python apps with otel annotations aren't sending traces</t>
  </si>
  <si>
    <t>CI-171</t>
  </si>
  <si>
    <t>Move s3-assets origin for all tenants to point to k8s</t>
  </si>
  <si>
    <t>CI-170</t>
  </si>
  <si>
    <t>Migrate infra-platform Terraform objects to be managed by Terragrunt</t>
  </si>
  <si>
    <t>CI-165</t>
  </si>
  <si>
    <t>Provision EKS control plane in a different subnet than Node Groups</t>
  </si>
  <si>
    <t>CI-164</t>
  </si>
  <si>
    <t>Move provisioning of ArgoCD to Terraform</t>
  </si>
  <si>
    <t>CI-163</t>
  </si>
  <si>
    <t>Move provisioning of Vault to Terraform</t>
  </si>
  <si>
    <t>CI-162</t>
  </si>
  <si>
    <t>Move provisioning of OTEL to Terraform</t>
  </si>
  <si>
    <t>CI-161</t>
  </si>
  <si>
    <t>Move provisioning of cilium to Terraform</t>
  </si>
  <si>
    <t>CI-160</t>
  </si>
  <si>
    <t>Move provisioning of cluster autoscaler to Terraform</t>
  </si>
  <si>
    <t>CI-159</t>
  </si>
  <si>
    <t>Move provisioning of istio to Terraform</t>
  </si>
  <si>
    <t>CI-158</t>
  </si>
  <si>
    <t>[Spike] Research using EKS blueprints in Terraform</t>
  </si>
  <si>
    <t>CI-157</t>
  </si>
  <si>
    <t>Change EKS VPCs to /16 CIDR</t>
  </si>
  <si>
    <t>BACK-307</t>
  </si>
  <si>
    <t>Optimize Heavy Extraction</t>
  </si>
  <si>
    <t>BACK-49</t>
  </si>
  <si>
    <t>Add Functional Tests for DeepRecon (exc Heavy Extraction) to CD pipeline</t>
  </si>
  <si>
    <t>BACK-263</t>
  </si>
  <si>
    <t>extract and categorize returning 200 when heavy extraction times out.</t>
  </si>
  <si>
    <t>PR-1376</t>
  </si>
  <si>
    <t xml:space="preserve">Dynamic/contingent checklists </t>
  </si>
  <si>
    <t>BACK-291</t>
  </si>
  <si>
    <t>Configurable Output for DeepPilot</t>
  </si>
  <si>
    <t>BACK-57</t>
  </si>
  <si>
    <t>Address Model Startup Time</t>
  </si>
  <si>
    <t>BACK-266</t>
  </si>
  <si>
    <t>Heavy Extraction Fails on Blank PDFs</t>
  </si>
  <si>
    <t>BACK-298</t>
  </si>
  <si>
    <t>Approval Workflow for extraction update in work items</t>
  </si>
  <si>
    <t>PR-1375</t>
  </si>
  <si>
    <t>Change Management for Annotation Updates in WI</t>
  </si>
  <si>
    <t>BACK-52</t>
  </si>
  <si>
    <t>Add statusChangeDate and statusChangeHour to WorkItems</t>
  </si>
  <si>
    <t>CI-152</t>
  </si>
  <si>
    <t>stop forwarding aws-cluster-autoscaler logs to Datadog</t>
  </si>
  <si>
    <t>Konnor Willison</t>
  </si>
  <si>
    <t>BACK-53</t>
  </si>
  <si>
    <t>Send term extractions to DeepView</t>
  </si>
  <si>
    <t>BACK-19</t>
  </si>
  <si>
    <t>[spike] Referencing one checklist item within another checklist item</t>
  </si>
  <si>
    <t>FB-2263</t>
  </si>
  <si>
    <t>Interpret Mathematical Formulas</t>
  </si>
  <si>
    <t>FB-2262</t>
  </si>
  <si>
    <t>New Term Extraction Model doesn't seem to have learned from updated feedback</t>
  </si>
  <si>
    <t>DeepSee Collective Sprint 11</t>
  </si>
  <si>
    <t>CI-535</t>
  </si>
  <si>
    <t>HSTS not enforced on api.dev.deepsee.ai (reported by Nessus)</t>
  </si>
  <si>
    <t>BACK-243</t>
  </si>
  <si>
    <t>Remove WIT tables</t>
  </si>
  <si>
    <t>CI-262</t>
  </si>
  <si>
    <t>Monitoring and Observability</t>
  </si>
  <si>
    <t>PR-1372</t>
  </si>
  <si>
    <t>Operations Management</t>
  </si>
  <si>
    <t>BACK-72</t>
  </si>
  <si>
    <t>Remove Document Ref from Prediction API and Schema.</t>
  </si>
  <si>
    <t>CI-149</t>
  </si>
  <si>
    <t>Remove 30 second timeout on Dev Ingress</t>
  </si>
  <si>
    <t>UI-31</t>
  </si>
  <si>
    <t>Connect DeepPilot Process Alert BREAKS WITH COMMENTS WITH USER ID to DeepView Service</t>
  </si>
  <si>
    <t>UI-33</t>
  </si>
  <si>
    <t>Connect DeepPilot Counterparty Summary HOURLY BREAKOUT ON ANY DAY BY PRODUCT WORK ITEM to DeepView Service</t>
  </si>
  <si>
    <t>UI-35</t>
  </si>
  <si>
    <t>Connect DeepPilot Counterparty Summary Breaks Over Time to DeepView Service</t>
  </si>
  <si>
    <t>UI-34</t>
  </si>
  <si>
    <t>Connect DeepPilot Counterparty Summary VOLUME OF WORK ITEMS BY COUNTERPARTY to DeepView Service</t>
  </si>
  <si>
    <t>UI-32</t>
  </si>
  <si>
    <t>Connect DeepPilot Process Alerts COUNTERPARTIES GENERATING BREAKS  to  DeepView Service</t>
  </si>
  <si>
    <t>CI-246</t>
  </si>
  <si>
    <t>Deploy Pod Autoscalers In Kubernetes For DeepView</t>
  </si>
  <si>
    <t>CI-147</t>
  </si>
  <si>
    <t>Add Monitoring for Spot Instance Turnover</t>
  </si>
  <si>
    <t>CI-497</t>
  </si>
  <si>
    <t>Review Historical Average of Resource Utilization</t>
  </si>
  <si>
    <t>CI-248</t>
  </si>
  <si>
    <t xml:space="preserve">Reporting on Usage Density </t>
  </si>
  <si>
    <t>CI-250</t>
  </si>
  <si>
    <t>Ensure proper labeling of Application Pods In Our Kubernetes Environment</t>
  </si>
  <si>
    <t>CI-249</t>
  </si>
  <si>
    <t>Enforce Resource Limits on OPA Policies</t>
  </si>
  <si>
    <t>CI-143</t>
  </si>
  <si>
    <t>Creating a Cloud Cost Model for Deeprecon</t>
  </si>
  <si>
    <t>PR-1368</t>
  </si>
  <si>
    <t>Automations for DeepRecon</t>
  </si>
  <si>
    <t>BACK-260</t>
  </si>
  <si>
    <t>Bulk Holiday Calendar Update</t>
  </si>
  <si>
    <t>CI-141</t>
  </si>
  <si>
    <t>LLM Infra deployment</t>
  </si>
  <si>
    <t>CI-140</t>
  </si>
  <si>
    <t>Make Claude 3 part of the DeepGPT deployment</t>
  </si>
  <si>
    <t>BACK-442</t>
  </si>
  <si>
    <t>Neo4J schema deployment</t>
  </si>
  <si>
    <t>BACK-250</t>
  </si>
  <si>
    <t>Store the index for reconciliation item details</t>
  </si>
  <si>
    <t>CI-138</t>
  </si>
  <si>
    <t>Clean up Argo Workflows</t>
  </si>
  <si>
    <t>UI-29</t>
  </si>
  <si>
    <t>Connect DeepPilot Process Analysis TOP TERMS WITH USER EXTRACTION FEEDBACK to  DeepView Service</t>
  </si>
  <si>
    <t>CI-264</t>
  </si>
  <si>
    <t>System Hygiene</t>
  </si>
  <si>
    <t>CI-238</t>
  </si>
  <si>
    <t>CI/CD</t>
  </si>
  <si>
    <t>PR-1363</t>
  </si>
  <si>
    <t>Automations</t>
  </si>
  <si>
    <t>PR-1362</t>
  </si>
  <si>
    <t>Technical Debt</t>
  </si>
  <si>
    <t>BACK-257</t>
  </si>
  <si>
    <t>Store the version of used lookup tables</t>
  </si>
  <si>
    <t>BACK-79</t>
  </si>
  <si>
    <t>Execution Manager Callback to Extract and Categorize API</t>
  </si>
  <si>
    <t>BACK-77</t>
  </si>
  <si>
    <t>Categorization is updated to call back to Execution Manager</t>
  </si>
  <si>
    <t>BACK-80</t>
  </si>
  <si>
    <t>Checklist Process Calls back to Execution Manager</t>
  </si>
  <si>
    <t>BACK-78</t>
  </si>
  <si>
    <t>Create Processing Controller in Execution Manager</t>
  </si>
  <si>
    <t>BACK-81</t>
  </si>
  <si>
    <t>Enable Execution of Checklist Process via API</t>
  </si>
  <si>
    <t>BACK-76</t>
  </si>
  <si>
    <t>Manage Processing from Execution Manager</t>
  </si>
  <si>
    <t>BACK-66</t>
  </si>
  <si>
    <t>Update DeepRecon to use Execution Manager for Extraction</t>
  </si>
  <si>
    <t>BACK-70</t>
  </si>
  <si>
    <t>Create Extraction Callback in Execution Manager</t>
  </si>
  <si>
    <t>BACK-69</t>
  </si>
  <si>
    <t>Manage Light Extraction via the Execution Manager</t>
  </si>
  <si>
    <t>BACK-65</t>
  </si>
  <si>
    <t>Manage Extraction from Execution Manager</t>
  </si>
  <si>
    <t>BACK-74</t>
  </si>
  <si>
    <t>Migrate APIs to Execution Manager</t>
  </si>
  <si>
    <t>BACK-73</t>
  </si>
  <si>
    <t>Create And Migrate Execution Manager Database</t>
  </si>
  <si>
    <t>BACK-75</t>
  </si>
  <si>
    <t>Create Execution Manager Service</t>
  </si>
  <si>
    <t>BACK-71</t>
  </si>
  <si>
    <t>Execution Manager Service</t>
  </si>
  <si>
    <t>PR-1356</t>
  </si>
  <si>
    <t>Execution Management</t>
  </si>
  <si>
    <t>BACK-97</t>
  </si>
  <si>
    <t>API updates phase 2</t>
  </si>
  <si>
    <t>BACK-92</t>
  </si>
  <si>
    <t>Light extraction phase 2</t>
  </si>
  <si>
    <t>BACK-418</t>
  </si>
  <si>
    <t>Heavy extraction took 20 minutes to process an email with a logo image</t>
  </si>
  <si>
    <t>CI-133</t>
  </si>
  <si>
    <t>Unified Secrets Management With Vault</t>
  </si>
  <si>
    <t>CI-241</t>
  </si>
  <si>
    <t>Unified Secrets Management</t>
  </si>
  <si>
    <t>CI-252</t>
  </si>
  <si>
    <t>Move Pipeline Evaluation Step to New Solution</t>
  </si>
  <si>
    <t>BACK-431</t>
  </si>
  <si>
    <t>Classification API Response Time Increased</t>
  </si>
  <si>
    <t>CI-132</t>
  </si>
  <si>
    <t>Automate manual steps of DeepView deployment</t>
  </si>
  <si>
    <t>UI-38</t>
  </si>
  <si>
    <t>Update API for Differentiate Labeling Sources in the Interface</t>
  </si>
  <si>
    <t>BACK-84</t>
  </si>
  <si>
    <t>Design and Implement DeepGPT API</t>
  </si>
  <si>
    <t>BACK-83</t>
  </si>
  <si>
    <t>DeepGPT Service</t>
  </si>
  <si>
    <t>CI-263</t>
  </si>
  <si>
    <t>DeepGPT Steel Thread</t>
  </si>
  <si>
    <t>BACK-289</t>
  </si>
  <si>
    <t>Backend Technical Cohesion</t>
  </si>
  <si>
    <t>BACK-287</t>
  </si>
  <si>
    <t>Technical Cohesion</t>
  </si>
  <si>
    <t>PR-1350</t>
  </si>
  <si>
    <t>Technical Enablement</t>
  </si>
  <si>
    <t>BACK-86</t>
  </si>
  <si>
    <t>Process Glossary UI</t>
  </si>
  <si>
    <t>BACK-89</t>
  </si>
  <si>
    <t>Allow deepview count requests to count only the latest record</t>
  </si>
  <si>
    <t>FB-2256</t>
  </si>
  <si>
    <t>Design workflow for retraining the logo classifier</t>
  </si>
  <si>
    <t>FB-2255</t>
  </si>
  <si>
    <t>Validate the model for logo classification</t>
  </si>
  <si>
    <t>FB-2254</t>
  </si>
  <si>
    <t>Train and deploy model for logo classification</t>
  </si>
  <si>
    <t>FB-2253</t>
  </si>
  <si>
    <t>Exclude logos from heavy extraction</t>
  </si>
  <si>
    <t>BACK-275</t>
  </si>
  <si>
    <t>PDFs with Forms Fail to Upload</t>
  </si>
  <si>
    <t>BACK-88</t>
  </si>
  <si>
    <t xml:space="preserve">Add tests for the DeepPilotBacklogProcessor </t>
  </si>
  <si>
    <t>BACK-91</t>
  </si>
  <si>
    <t>Differentiate Labeling Sources in the Interface</t>
  </si>
  <si>
    <t>PR-1348</t>
  </si>
  <si>
    <t>Everything into Kubernetes</t>
  </si>
  <si>
    <t>BACK-458</t>
  </si>
  <si>
    <t>Use ING data to identify expected load on DeepRecon</t>
  </si>
  <si>
    <t>BACK-242</t>
  </si>
  <si>
    <t>[BE] Re-Write Query Logic in DeepView</t>
  </si>
  <si>
    <t>FB-2252</t>
  </si>
  <si>
    <t>JPM Model Training - March 28-31</t>
  </si>
  <si>
    <t>DeepSee Collective Sprint 8</t>
  </si>
  <si>
    <t>BACK-283</t>
  </si>
  <si>
    <t>[BE] Fix minor DeepPilot API violations</t>
  </si>
  <si>
    <t>FB-2248</t>
  </si>
  <si>
    <t>Improved signature cleaning</t>
  </si>
  <si>
    <t>PR-1346</t>
  </si>
  <si>
    <t>CI-501</t>
  </si>
  <si>
    <t>Enable the RDS Proxy for the Extractor Service</t>
  </si>
  <si>
    <t>CI-247</t>
  </si>
  <si>
    <t xml:space="preserve">Add Monitoring For JPM RDS </t>
  </si>
  <si>
    <t>FB-2314</t>
  </si>
  <si>
    <t>Data extraction needs to extract Trade ID from email body</t>
  </si>
  <si>
    <t>BACK-93</t>
  </si>
  <si>
    <t>Support Many to Many Relationship for Normalized Headers &amp; Headers</t>
  </si>
  <si>
    <t>CI-243</t>
  </si>
  <si>
    <t>Reduce COGS by 20%</t>
  </si>
  <si>
    <t>FB-2246</t>
  </si>
  <si>
    <t>Double Tokens found when annotating</t>
  </si>
  <si>
    <t>BACK-99</t>
  </si>
  <si>
    <t>Filter on Actionable Data Page By Exposure</t>
  </si>
  <si>
    <t>BACK-98</t>
  </si>
  <si>
    <t>Filter on Actionable Data Page By Age</t>
  </si>
  <si>
    <t>BACK-103</t>
  </si>
  <si>
    <t>Deploy Registered Application Credentials into Vault</t>
  </si>
  <si>
    <t>BACK-104</t>
  </si>
  <si>
    <t>Deploy Registered Application Via GitHub Actions</t>
  </si>
  <si>
    <t>BACK-106</t>
  </si>
  <si>
    <t>BE Service Observability</t>
  </si>
  <si>
    <t>UI-78</t>
  </si>
  <si>
    <t>Data Range Filter Needed</t>
  </si>
  <si>
    <t>BACK-101</t>
  </si>
  <si>
    <t>Create Microsoft Tenants for DeepRecon Outlook Integration</t>
  </si>
  <si>
    <t>BACK-102</t>
  </si>
  <si>
    <t>Create Status Page API</t>
  </si>
  <si>
    <t>CI-635</t>
  </si>
  <si>
    <t>Add Encryption Key Rotation</t>
  </si>
  <si>
    <t>FB-2242</t>
  </si>
  <si>
    <t>JPM Model Training - March 7-11</t>
  </si>
  <si>
    <t>DeepSee Collective Sprint 7</t>
  </si>
  <si>
    <t>PR-1340</t>
  </si>
  <si>
    <t>Security Infrastructure Optimization</t>
  </si>
  <si>
    <t>BACK-234</t>
  </si>
  <si>
    <t>[BE] Update date normalization to parse times from dates</t>
  </si>
  <si>
    <t>CI-255</t>
  </si>
  <si>
    <t>[Spike] Research Options For Serving Models In Kubernetes</t>
  </si>
  <si>
    <t>BACK-410</t>
  </si>
  <si>
    <t>Add support for RTF attachment to return extractions</t>
  </si>
  <si>
    <t>BACK-95</t>
  </si>
  <si>
    <t>The image in the body and image attached did not return extractions</t>
  </si>
  <si>
    <t>CI-123</t>
  </si>
  <si>
    <t>Add Wait to the CICD pipeline for deployment approval</t>
  </si>
  <si>
    <t>BACK-351</t>
  </si>
  <si>
    <t>[BE] Update the documentUrl field in work item details to use original rendition</t>
  </si>
  <si>
    <t>UI-40</t>
  </si>
  <si>
    <t>Report Duplicate Emails</t>
  </si>
  <si>
    <t>FB-2239</t>
  </si>
  <si>
    <t>[SPIKE] PDF Reader Exploration</t>
  </si>
  <si>
    <t>CI-509</t>
  </si>
  <si>
    <t>Test Backup Recovery for Databases in Deeprecon</t>
  </si>
  <si>
    <t>CI-120</t>
  </si>
  <si>
    <t>[Spike] Investigate Using ARM Instances</t>
  </si>
  <si>
    <t>BACK-96</t>
  </si>
  <si>
    <t>SPIKE: Figure out how to point the UI to an individual value in a cell with multiple values</t>
  </si>
  <si>
    <t>BACK-230</t>
  </si>
  <si>
    <t xml:space="preserve">Replace all the user names with DeepSee on Terms </t>
  </si>
  <si>
    <t>FB-2236</t>
  </si>
  <si>
    <t>Speed up Inference</t>
  </si>
  <si>
    <t>PR-1337</t>
  </si>
  <si>
    <t>PR-1336</t>
  </si>
  <si>
    <t>SFTP Connector</t>
  </si>
  <si>
    <t>PR-1335</t>
  </si>
  <si>
    <t>Microsoft Outlook 365 connector</t>
  </si>
  <si>
    <t>PR-1334</t>
  </si>
  <si>
    <t>Streamlined new tenant creation</t>
  </si>
  <si>
    <t>PR-1333</t>
  </si>
  <si>
    <t>Improved data loss prevention controls</t>
  </si>
  <si>
    <t>PR-1332</t>
  </si>
  <si>
    <t>DeepViewer Advanced Filters</t>
  </si>
  <si>
    <t>PR-1331</t>
  </si>
  <si>
    <t>Enhanced sub-group</t>
  </si>
  <si>
    <t>PR-1330</t>
  </si>
  <si>
    <t>Auto-generated work reponses</t>
  </si>
  <si>
    <t>PR-1329</t>
  </si>
  <si>
    <t>Enhanced email search and filters</t>
  </si>
  <si>
    <t>PR-1328</t>
  </si>
  <si>
    <t>Phase 1 automations (Outlook updates)</t>
  </si>
  <si>
    <t>PR-1327</t>
  </si>
  <si>
    <t>Custom outlook flag support</t>
  </si>
  <si>
    <t>PR-1326</t>
  </si>
  <si>
    <t>Deepsee Ontology Visualization</t>
  </si>
  <si>
    <t>PR-1325</t>
  </si>
  <si>
    <t>Auto-generated Responses</t>
  </si>
  <si>
    <t>PR-1324</t>
  </si>
  <si>
    <t>Auto-generated question and answer</t>
  </si>
  <si>
    <t>PR-1323</t>
  </si>
  <si>
    <t>Customer knowledge base</t>
  </si>
  <si>
    <t>PR-1322</t>
  </si>
  <si>
    <t>Sentiment generation</t>
  </si>
  <si>
    <t>PR-1321</t>
  </si>
  <si>
    <t>DeepPilot Counterparty Summary</t>
  </si>
  <si>
    <t>PR-1320</t>
  </si>
  <si>
    <t>DeepPilot Process Summary</t>
  </si>
  <si>
    <t>PR-1319</t>
  </si>
  <si>
    <t>Auto-generated work item context</t>
  </si>
  <si>
    <t>PR-1317</t>
  </si>
  <si>
    <t>PR-1316</t>
  </si>
  <si>
    <t>Real-time Status</t>
  </si>
  <si>
    <t>CI-151</t>
  </si>
  <si>
    <t>Finish Deployment of DeepView As HA</t>
  </si>
  <si>
    <t>DeepSee Collective Sprint 5</t>
  </si>
  <si>
    <t>BACK-108</t>
  </si>
  <si>
    <t>Clean Up Completed Argo Workflows</t>
  </si>
  <si>
    <t>BACK-378</t>
  </si>
  <si>
    <t>Reset and reprocess messages in Dev</t>
  </si>
  <si>
    <t>CI-529</t>
  </si>
  <si>
    <t>Validate All Vault Secret Configs To Include a Valid Refresh Period</t>
  </si>
  <si>
    <t>UI-44</t>
  </si>
  <si>
    <t>Connect DeepRecon Status Page Age Bucket to  DeepView Service</t>
  </si>
  <si>
    <t>UI-45</t>
  </si>
  <si>
    <t>Connect DeepRecon Status Page Categories to  DeepView Service</t>
  </si>
  <si>
    <t>UI-42</t>
  </si>
  <si>
    <t>Connect DeepRecon Status Page Counterparties to  DeepView Service</t>
  </si>
  <si>
    <t>UI-43</t>
  </si>
  <si>
    <t>Connect DeepRecon Status Page email volumes to  DeepView Service</t>
  </si>
  <si>
    <t>CI-116</t>
  </si>
  <si>
    <t>Enable Egress from Tenant VPC to Microsoft Graph API</t>
  </si>
  <si>
    <t>BACK-110</t>
  </si>
  <si>
    <t>Initial Webhook Design</t>
  </si>
  <si>
    <t>BACK-313</t>
  </si>
  <si>
    <t>Migrate Broadridge to DIG</t>
  </si>
  <si>
    <t>BACK-303</t>
  </si>
  <si>
    <t>Migrate Accenture to DIG</t>
  </si>
  <si>
    <t>BACK-304</t>
  </si>
  <si>
    <t>Migrate JPM to DIG</t>
  </si>
  <si>
    <t>PR-1312</t>
  </si>
  <si>
    <t>Migrate Customers to DIG</t>
  </si>
  <si>
    <t>BACK-300</t>
  </si>
  <si>
    <t>DeepSee DIG Connector</t>
  </si>
  <si>
    <t>BACK-109</t>
  </si>
  <si>
    <t>DIG Webhook Implementation</t>
  </si>
  <si>
    <t>CI-114</t>
  </si>
  <si>
    <t>Registered App Terraform</t>
  </si>
  <si>
    <t>CI-113</t>
  </si>
  <si>
    <t>Anypoint Studio Terraform</t>
  </si>
  <si>
    <t>PR-1310</t>
  </si>
  <si>
    <t>Build initial DIG implementation</t>
  </si>
  <si>
    <t>PR-1309</t>
  </si>
  <si>
    <t>DIG 1.0</t>
  </si>
  <si>
    <t>UI-27</t>
  </si>
  <si>
    <t>Connect DeepRecon Root Cause page Process Variants to DeepView</t>
  </si>
  <si>
    <t>UI-30</t>
  </si>
  <si>
    <t>Connect DeepRecon Root Cause page tree to DeepView</t>
  </si>
  <si>
    <t>UI-28</t>
  </si>
  <si>
    <t>Connect DeepRecon Root Cause page Top 10 common categories by counterparty to DeepView</t>
  </si>
  <si>
    <t>BACK-115</t>
  </si>
  <si>
    <t>Add date constraints to DeepView</t>
  </si>
  <si>
    <t>BACK-118</t>
  </si>
  <si>
    <t>Index all data columns in DeepView</t>
  </si>
  <si>
    <t>BACK-119</t>
  </si>
  <si>
    <t>Truncate large responses from DeepView</t>
  </si>
  <si>
    <t>UI-46</t>
  </si>
  <si>
    <t>UI for Generative Email Replies</t>
  </si>
  <si>
    <t>BACK-256</t>
  </si>
  <si>
    <t>[BE] Add $value to the DeepView orders parameter</t>
  </si>
  <si>
    <t>BACK-405</t>
  </si>
  <si>
    <t>[BE] correctly return extracted data</t>
  </si>
  <si>
    <t>BACK-411</t>
  </si>
  <si>
    <t>[BE] wrong order of model versions</t>
  </si>
  <si>
    <t>BACK-85</t>
  </si>
  <si>
    <t>Dashboard Updates</t>
  </si>
  <si>
    <t>CI-251</t>
  </si>
  <si>
    <t>[Placeholder] Replace Sagemaker Endpoints With K8s Solution</t>
  </si>
  <si>
    <t>CI-256</t>
  </si>
  <si>
    <t>[Placeholder] Replace Sagemaker Pipelines With K8s Solution</t>
  </si>
  <si>
    <t>CI-242</t>
  </si>
  <si>
    <t>Unify ML Workflows and Model Serving Off of Sagemaker</t>
  </si>
  <si>
    <t>BACK-12</t>
  </si>
  <si>
    <t>Add Metadata to emails from DeepRecon</t>
  </si>
  <si>
    <t>CI-96</t>
  </si>
  <si>
    <t>Deploy DeepView Production Using Knative</t>
  </si>
  <si>
    <t>CI-95</t>
  </si>
  <si>
    <t>Deploy DeepPilot Production using Knative</t>
  </si>
  <si>
    <t>CI-94</t>
  </si>
  <si>
    <t>Deploy Deeprecon Production using Knative</t>
  </si>
  <si>
    <t>CI-93</t>
  </si>
  <si>
    <t>[Spike] Research Using Knative For Statefulsets</t>
  </si>
  <si>
    <t>CI-91</t>
  </si>
  <si>
    <t>Update Dev DeepView Services To Leverage Knative</t>
  </si>
  <si>
    <t>CI-90</t>
  </si>
  <si>
    <t>Update Dev DeepPilot services to leverage Knative</t>
  </si>
  <si>
    <t>CI-89</t>
  </si>
  <si>
    <t>Update Dev Deeprecon Services To Leverage Knative</t>
  </si>
  <si>
    <t>CI-88</t>
  </si>
  <si>
    <t>Deploy Knative Serving Across All Clusters</t>
  </si>
  <si>
    <t>BACK-399</t>
  </si>
  <si>
    <t>Identify if communications are internal or external</t>
  </si>
  <si>
    <t>BACK-396</t>
  </si>
  <si>
    <t>Provide info about priority and action in api</t>
  </si>
  <si>
    <t>CI-490</t>
  </si>
  <si>
    <t>Update the Tenants Configuration To have More Dynamic Per API configuration</t>
  </si>
  <si>
    <t>PR-1305</t>
  </si>
  <si>
    <t>*Measuring Allocations - Be Data Driven*</t>
  </si>
  <si>
    <t>PR-1304</t>
  </si>
  <si>
    <t>*Stop using SageMaker*</t>
  </si>
  <si>
    <t>CI-150</t>
  </si>
  <si>
    <t>*COGS ~30% cost savings*</t>
  </si>
  <si>
    <t>PR-1302</t>
  </si>
  <si>
    <t>*Composable Terraform and Helm scripts*</t>
  </si>
  <si>
    <t>PR-1301</t>
  </si>
  <si>
    <t>*Argo consolidation (unify orchestration)*</t>
  </si>
  <si>
    <t>CI-508</t>
  </si>
  <si>
    <t>[SPIKE] Research How To Manage External Package Dependencies</t>
  </si>
  <si>
    <t>CI-86</t>
  </si>
  <si>
    <t>[SPIKE] Research Operations of KubeCost and OpenCost</t>
  </si>
  <si>
    <t>CI-83</t>
  </si>
  <si>
    <t>[Placeholder] Move the Pre-processing and Inference Pipelines Into Argo Workflows</t>
  </si>
  <si>
    <t>CI-240</t>
  </si>
  <si>
    <t>Infrastructure and Application Monitoring and Logging</t>
  </si>
  <si>
    <t>BACK-121</t>
  </si>
  <si>
    <t>Token Management for Registered Applications</t>
  </si>
  <si>
    <t>UI-26</t>
  </si>
  <si>
    <t xml:space="preserve">UI - Remove dependency on @atlaskit/tree </t>
  </si>
  <si>
    <t>BACK-123</t>
  </si>
  <si>
    <t>Counterparty EQ approach</t>
  </si>
  <si>
    <t>PR-1300</t>
  </si>
  <si>
    <t>2.4 Allow for access to emails back in DeepRecon if needed to reference​</t>
  </si>
  <si>
    <t>CI-71</t>
  </si>
  <si>
    <t xml:space="preserve">Ensure All IP's are Whitelisted for Accenture in Production. </t>
  </si>
  <si>
    <t>FB-2221</t>
  </si>
  <si>
    <t>OCR Improvements</t>
  </si>
  <si>
    <t>CI-258</t>
  </si>
  <si>
    <t>Clean Up Onboarding Scripts To Minimize Complexity</t>
  </si>
  <si>
    <t>CI-69</t>
  </si>
  <si>
    <t>[SPIKE] Research How to Handle Pilot Access Through Data Integration Gateway.</t>
  </si>
  <si>
    <t>BACK-7</t>
  </si>
  <si>
    <t>Call FEEL endpoint to evaluate Blockly blocks</t>
  </si>
  <si>
    <t>CI-68</t>
  </si>
  <si>
    <t>Ensure we are on the latest Version of In All Clusters</t>
  </si>
  <si>
    <t>CI-67</t>
  </si>
  <si>
    <t>Ensure the latest version of Istio is Deployed In All the latest clusters</t>
  </si>
  <si>
    <t>CI-66</t>
  </si>
  <si>
    <t>Ensure Vault is Upgraded to the Latest Version in All Clusters</t>
  </si>
  <si>
    <t>BACK-8</t>
  </si>
  <si>
    <t>Get list of Categories from Shared Inbox</t>
  </si>
  <si>
    <t>BACK-94</t>
  </si>
  <si>
    <t>BE - Light Extraction Content Map</t>
  </si>
  <si>
    <t>UI-10</t>
  </si>
  <si>
    <t>Add Light Extraction Terms and Labels to Dynamic Blockly Components</t>
  </si>
  <si>
    <t>BACK-124</t>
  </si>
  <si>
    <t>5.6 Automation Rules and Appropriate API Calls</t>
  </si>
  <si>
    <t>BACK-10</t>
  </si>
  <si>
    <t xml:space="preserve">5.1 Process Logic to set a field on Action / No Action </t>
  </si>
  <si>
    <t>BACK-126</t>
  </si>
  <si>
    <t>5.3 Call API “DIG” to update priority flag</t>
  </si>
  <si>
    <t>FB-2207</t>
  </si>
  <si>
    <t>6.4 DeepSee SME Cluster Review​</t>
  </si>
  <si>
    <t>FB-2206</t>
  </si>
  <si>
    <t>6.3 Cluster Pass​</t>
  </si>
  <si>
    <t>FB-2205</t>
  </si>
  <si>
    <t>6.1 Pre-Labeling “Systematic / Manual”​</t>
  </si>
  <si>
    <t>PR-1283</t>
  </si>
  <si>
    <t>6. Train faster on new Processes and Generate PoC Materials</t>
  </si>
  <si>
    <t>PR-1278</t>
  </si>
  <si>
    <t>2. Deploy Broadridge Production</t>
  </si>
  <si>
    <t>CI-56</t>
  </si>
  <si>
    <t>General System Maintenance</t>
  </si>
  <si>
    <t>FB-2203</t>
  </si>
  <si>
    <t xml:space="preserve">Anonymize Email Work </t>
  </si>
  <si>
    <t>Rostyslav Neskorozhenyi</t>
  </si>
  <si>
    <t>FB-2202</t>
  </si>
  <si>
    <t xml:space="preserve">Parking lot, retraining and back testing bug fixing </t>
  </si>
  <si>
    <t>CI-259</t>
  </si>
  <si>
    <t>Verify that thumbs up/thumbs down can be retrieved by product team</t>
  </si>
  <si>
    <t>PR-1277</t>
  </si>
  <si>
    <t>Operation Blitz</t>
  </si>
  <si>
    <t>CI-245</t>
  </si>
  <si>
    <t>1. Deploy Broadridge for POC and Accenture Go-Live (JAN 23)</t>
  </si>
  <si>
    <t>BACK-333</t>
  </si>
  <si>
    <t>Tech debt</t>
  </si>
  <si>
    <t>CI-611</t>
  </si>
  <si>
    <t>Investigate Why MLFlow is Crashing</t>
  </si>
  <si>
    <t>FB-2200</t>
  </si>
  <si>
    <t>High frequency challenge on subjects - analysis</t>
  </si>
  <si>
    <t>FB-2199</t>
  </si>
  <si>
    <t>ML model for cleaning disclaimers</t>
  </si>
  <si>
    <t>BACK-420</t>
  </si>
  <si>
    <t>[DB] Remove duplicated messages from our envs</t>
  </si>
  <si>
    <t>Tomasz Morawski</t>
  </si>
  <si>
    <t>FB-2197</t>
  </si>
  <si>
    <t>Explore ways to speed up Inference Pipeline</t>
  </si>
  <si>
    <t>FB-2196</t>
  </si>
  <si>
    <t>Anonymize Email Work</t>
  </si>
  <si>
    <t>FB-2195</t>
  </si>
  <si>
    <t>Add check for matching term_values in the preprocessing script</t>
  </si>
  <si>
    <t>Mitesh Yadav</t>
  </si>
  <si>
    <t>BACK-430</t>
  </si>
  <si>
    <t xml:space="preserve">[FE] Training - annotation lines do not match up to extracted term </t>
  </si>
  <si>
    <t>CI-492</t>
  </si>
  <si>
    <t>Syncing Order of ArgoCD App of Apps</t>
  </si>
  <si>
    <t>FB-2193</t>
  </si>
  <si>
    <t>Failed PNG Document Uploads</t>
  </si>
  <si>
    <t>Matthew Dembinski</t>
  </si>
  <si>
    <t>CI-54</t>
  </si>
  <si>
    <t>Enable Full Stack Local Development Of All Resources</t>
  </si>
  <si>
    <t>FB-2192</t>
  </si>
  <si>
    <t>Extract OCR based on Layout of the documents</t>
  </si>
  <si>
    <t>FILBERT 2023.3</t>
  </si>
  <si>
    <t>FB-2191</t>
  </si>
  <si>
    <t>[TECH DEBT] Delete azure-ocr lambda and related files from workflow</t>
  </si>
  <si>
    <t>FB-2190</t>
  </si>
  <si>
    <t>Improve clustering for high frequency and groups</t>
  </si>
  <si>
    <t>FB-2189</t>
  </si>
  <si>
    <t>Train auto-labelling model for DeepRecon</t>
  </si>
  <si>
    <t>PR-1274</t>
  </si>
  <si>
    <t>BACK-279</t>
  </si>
  <si>
    <t>Fix the RBAC permissions for the actions to align with the spreadsheet.</t>
  </si>
  <si>
    <t>UI-51</t>
  </si>
  <si>
    <t>UI - make process modeler match the rest of the app (dark mode)</t>
  </si>
  <si>
    <t>FB-2187</t>
  </si>
  <si>
    <t>Re-Architecture of DeepPilot Pipelines</t>
  </si>
  <si>
    <t>X-Large</t>
  </si>
  <si>
    <t>FB-2186</t>
  </si>
  <si>
    <t>Refactoring of DeepPilot Pipelines</t>
  </si>
  <si>
    <t>BACK-107</t>
  </si>
  <si>
    <t>DeepPilot Cost to Train Reduction</t>
  </si>
  <si>
    <t>FB-2184</t>
  </si>
  <si>
    <t>Model Endpoints Hosted in Argo Instances</t>
  </si>
  <si>
    <t>FB-2183</t>
  </si>
  <si>
    <t>Multi-Model Endpoint Instance</t>
  </si>
  <si>
    <t>FB-2182</t>
  </si>
  <si>
    <t>FILBERT &amp; NSI crossover</t>
  </si>
  <si>
    <t>FB-2181</t>
  </si>
  <si>
    <t>5.8 [ML] Adapt DeepRecon ML workflows to Projects</t>
  </si>
  <si>
    <t>FB-2180</t>
  </si>
  <si>
    <t>Adapt model retraining to manual trigger</t>
  </si>
  <si>
    <t>FB-2179</t>
  </si>
  <si>
    <t>Explore Content Map integration with Accenture</t>
  </si>
  <si>
    <t>FB-2178</t>
  </si>
  <si>
    <t>3.1 [ML - Heavy extraction ] The models are easily retrained to incorporate user feedback</t>
  </si>
  <si>
    <t>FB-2177</t>
  </si>
  <si>
    <t>Reduce MLP pipeline runtime per document</t>
  </si>
  <si>
    <t>BACK-332</t>
  </si>
  <si>
    <t>PR-1270</t>
  </si>
  <si>
    <t>BACK-320</t>
  </si>
  <si>
    <t>Add test to verify PILOT-419 (warning when user sets reference execution)</t>
  </si>
  <si>
    <t>Chithra Geetha Manian</t>
  </si>
  <si>
    <t>PR-1269</t>
  </si>
  <si>
    <t>5. Critical Enhancements</t>
  </si>
  <si>
    <t>BACK-11</t>
  </si>
  <si>
    <t>Adding Categories and the Action to Outlook Emails</t>
  </si>
  <si>
    <t>BACK-128</t>
  </si>
  <si>
    <t>Moving Messages to Destination Folders in Outlook</t>
  </si>
  <si>
    <t>BACK-129</t>
  </si>
  <si>
    <t>DIG: Update Customer Email Attributes Endpoint for DeepRecon</t>
  </si>
  <si>
    <t>BACK-322</t>
  </si>
  <si>
    <t>Add tests to verify PILOT-404 (Re-evaluate the test execution when it is set to be the reference execution)</t>
  </si>
  <si>
    <t>BACK-406</t>
  </si>
  <si>
    <t>PlaceHolder: Ability to use the same email set in different sources</t>
  </si>
  <si>
    <t>BACK-412</t>
  </si>
  <si>
    <t>Broadridge - Configure DeepPilot Project - UI</t>
  </si>
  <si>
    <t>BACK-319</t>
  </si>
  <si>
    <t>SPIKE - Testim for BE API endpoints testing.</t>
  </si>
  <si>
    <t>PR-1265</t>
  </si>
  <si>
    <t>Decommission DeepSee 1.0</t>
  </si>
  <si>
    <t>PR-1264</t>
  </si>
  <si>
    <t>Move all data from DeepSee 1.0 to cold storage</t>
  </si>
  <si>
    <t>PR-1263</t>
  </si>
  <si>
    <t>Remove ML from DeepSee 1.0</t>
  </si>
  <si>
    <t>BACK-385</t>
  </si>
  <si>
    <t xml:space="preserve">[BE] Add support for searching messages in data source by message-id </t>
  </si>
  <si>
    <t>BACK-387</t>
  </si>
  <si>
    <t xml:space="preserve">[BE] Add feedback reporting (script/email) </t>
  </si>
  <si>
    <t>BACK-383</t>
  </si>
  <si>
    <t>[BE+FE] Support attachments that are password protected</t>
  </si>
  <si>
    <t>BACK-437</t>
  </si>
  <si>
    <t>[ML][SPIKE] How to make light extractions rules dynamic</t>
  </si>
  <si>
    <t>BACK-375</t>
  </si>
  <si>
    <t>[BE] Incorporate heavy extraction feedback into model retraining</t>
  </si>
  <si>
    <t>BACK-372</t>
  </si>
  <si>
    <t>[BE] Incorporate thumbs up/down feedback into model retraining</t>
  </si>
  <si>
    <t>BACK-374</t>
  </si>
  <si>
    <t xml:space="preserve">[BE] API for new data upload </t>
  </si>
  <si>
    <t>PR-1262</t>
  </si>
  <si>
    <t>Broadridge POC Dashboards</t>
  </si>
  <si>
    <t>PR-1261</t>
  </si>
  <si>
    <t>DeepView Version 1.0</t>
  </si>
  <si>
    <t>PR-1260</t>
  </si>
  <si>
    <t>Preconfigured Static Dashboards for DeepRecon</t>
  </si>
  <si>
    <t>FB-2171</t>
  </si>
  <si>
    <t>Explore new Azure OCR for reading order/layout information</t>
  </si>
  <si>
    <t>BACK-249</t>
  </si>
  <si>
    <t>DeepView Service: Store consumer records in database</t>
  </si>
  <si>
    <t>BACK-439</t>
  </si>
  <si>
    <t>[SPIKE] Investigate/discuss how to implement RECON-1979</t>
  </si>
  <si>
    <t>BACK-395</t>
  </si>
  <si>
    <t xml:space="preserve">[BE] Add doc(x) attachments support - BE doc(x) to pdf </t>
  </si>
  <si>
    <t>BACK-391</t>
  </si>
  <si>
    <t>[BE] Support for compressed attachments</t>
  </si>
  <si>
    <t>FB-2169</t>
  </si>
  <si>
    <t xml:space="preserve">Refactor Regression Testing </t>
  </si>
  <si>
    <t>FB-2168</t>
  </si>
  <si>
    <t>Refactor Regression Testing Workflow</t>
  </si>
  <si>
    <t>CI-314</t>
  </si>
  <si>
    <t>Create Crowdsrike Workflows</t>
  </si>
  <si>
    <t>CI-313</t>
  </si>
  <si>
    <t xml:space="preserve">Create Crowdstrike SA to Own and Run Workflows </t>
  </si>
  <si>
    <t>CI-312</t>
  </si>
  <si>
    <t>Create List that Maps Image to Engineering Teams</t>
  </si>
  <si>
    <t>BACK-409</t>
  </si>
  <si>
    <t>Add CODEOWNERS Config to Repos</t>
  </si>
  <si>
    <t>BACK-434</t>
  </si>
  <si>
    <t>[BE] Remove model and human labels from GET /message/labels endpoints</t>
  </si>
  <si>
    <t>BACK-432</t>
  </si>
  <si>
    <t>[BE] Remove: unused query parameters in GET /message/labels</t>
  </si>
  <si>
    <t>BACK-433</t>
  </si>
  <si>
    <t>Bug: Invalid output form /inquiries endpoint</t>
  </si>
  <si>
    <t>BACK-328</t>
  </si>
  <si>
    <t>1.6 Updates to DeepRecon API used by Accenture</t>
  </si>
  <si>
    <t>BACK-331</t>
  </si>
  <si>
    <t>1.1 DeepRecon uploads new emails successfully to train</t>
  </si>
  <si>
    <t>BACK-44</t>
  </si>
  <si>
    <t>1.3 The light extraction results need to appear accurate</t>
  </si>
  <si>
    <t>CI-244</t>
  </si>
  <si>
    <t>1.4 Feedback is received through the UI on when it is accurate or not</t>
  </si>
  <si>
    <t>BACK-334</t>
  </si>
  <si>
    <t>1.5 Changes to labels need to be made upon receipt of feedback (Process glossary implementation)</t>
  </si>
  <si>
    <t>PR-1245</t>
  </si>
  <si>
    <t>1. Email categorization and light extraction core functionality</t>
  </si>
  <si>
    <t>PR-1244</t>
  </si>
  <si>
    <t>2. Heavy Extraction</t>
  </si>
  <si>
    <t>PR-1243</t>
  </si>
  <si>
    <t>3. Human in the loop and retraining</t>
  </si>
  <si>
    <t>PR-1242</t>
  </si>
  <si>
    <t>4. Data to DeepView</t>
  </si>
  <si>
    <t>BACK-423</t>
  </si>
  <si>
    <t>Bug: fix parsing key-values from cells when there is no whitespace after ':'</t>
  </si>
  <si>
    <t>BACK-424</t>
  </si>
  <si>
    <t>Bug: 409 when changing dataset name while data set is in training</t>
  </si>
  <si>
    <t>BACK-379</t>
  </si>
  <si>
    <t>Update Applications to Java Shared 2.0.2</t>
  </si>
  <si>
    <t>FB-2165</t>
  </si>
  <si>
    <t>Implement Textract's Layout OCR feature</t>
  </si>
  <si>
    <t>FB-2164</t>
  </si>
  <si>
    <t>Make the current pipeline configurable to run multiple OCR settings</t>
  </si>
  <si>
    <t>FB-2163</t>
  </si>
  <si>
    <t>Upgrade Azure OCR to latest version</t>
  </si>
  <si>
    <t>CI-50</t>
  </si>
  <si>
    <t>Create Reporting and Dashboards For Infrastructure Costs</t>
  </si>
  <si>
    <t>BACK-246</t>
  </si>
  <si>
    <t>Adjust Output Patch to process all outputs regardless of status</t>
  </si>
  <si>
    <t>CI-49</t>
  </si>
  <si>
    <t>Automated Storage Scaling For Persistent Workloads</t>
  </si>
  <si>
    <t>CI-47</t>
  </si>
  <si>
    <t>All Kubernetes Costs are Reported and Allocated Correctly</t>
  </si>
  <si>
    <t>CI-46</t>
  </si>
  <si>
    <t>Properly Tag All Cloud Provisioned Resources</t>
  </si>
  <si>
    <t>PR-1238</t>
  </si>
  <si>
    <t>3. Decrease Email Cost to ~$.002 (DB Automation &amp; K-Native)​</t>
  </si>
  <si>
    <t>PR-1237</t>
  </si>
  <si>
    <t>4. Measure tenant cost and count per email​</t>
  </si>
  <si>
    <t>PR-1236</t>
  </si>
  <si>
    <t>5. Deploy new DR tenants in under a day​</t>
  </si>
  <si>
    <t>FB-2161</t>
  </si>
  <si>
    <t>Migrate to using the normalized_name of terms from the UI friendly term name</t>
  </si>
  <si>
    <t>FILBERT 2023.4</t>
  </si>
  <si>
    <t>BACK-112</t>
  </si>
  <si>
    <t>DeepView Service: Dategrain</t>
  </si>
  <si>
    <t>BACK-116</t>
  </si>
  <si>
    <t>DeepView Service: Null filter</t>
  </si>
  <si>
    <t>BACK-113</t>
  </si>
  <si>
    <t>DeepView Service: Sum</t>
  </si>
  <si>
    <t>BACK-114</t>
  </si>
  <si>
    <t>DeepView Service: Average</t>
  </si>
  <si>
    <t>PR-1235</t>
  </si>
  <si>
    <t>Synthetic Data Generation</t>
  </si>
  <si>
    <t>Loris D'Acunto</t>
  </si>
  <si>
    <t>BACK-380</t>
  </si>
  <si>
    <t xml:space="preserve">[FOR REFINEMENT] Training dataset with error status </t>
  </si>
  <si>
    <t>BACK-117</t>
  </si>
  <si>
    <t>Build Data Model Entities for DeepRecon</t>
  </si>
  <si>
    <t>PR-1234</t>
  </si>
  <si>
    <t>Data Loss Prevention</t>
  </si>
  <si>
    <t>CI-41</t>
  </si>
  <si>
    <t>Documentation about on-boarding and Infrastructure</t>
  </si>
  <si>
    <t>CI-40</t>
  </si>
  <si>
    <t>Deploy Knative Services</t>
  </si>
  <si>
    <t>PR-1233</t>
  </si>
  <si>
    <t>DeepRecon Secured</t>
  </si>
  <si>
    <t>Operation Blitz to $5 mil</t>
  </si>
  <si>
    <t>CI-330</t>
  </si>
  <si>
    <t>Full Stack Local Development For DeepRecon</t>
  </si>
  <si>
    <t>PR-1230</t>
  </si>
  <si>
    <t>Turn off the feeds into DeepSee 1.0</t>
  </si>
  <si>
    <t>PR-1228</t>
  </si>
  <si>
    <t>Migrate JPM Legacy Products</t>
  </si>
  <si>
    <t>PR-1227</t>
  </si>
  <si>
    <t>Legacy Decommission to save ~$10K/month</t>
  </si>
  <si>
    <t>PR-1226</t>
  </si>
  <si>
    <t>DeepView Delights with DeepRecon Data</t>
  </si>
  <si>
    <t>PR-1225</t>
  </si>
  <si>
    <t>DeepRecon Deploys Faster/Better/Cheaper</t>
  </si>
  <si>
    <t>PR-1224</t>
  </si>
  <si>
    <t>DeepGPT Delights for DeepRecon</t>
  </si>
  <si>
    <t>PR-1223</t>
  </si>
  <si>
    <t>DeepRecon Delights</t>
  </si>
  <si>
    <t>CI-38</t>
  </si>
  <si>
    <t xml:space="preserve">Add Kafka connection/credential info to DeepPilot </t>
  </si>
  <si>
    <t>BACK-269</t>
  </si>
  <si>
    <t>Content Maps - ARN .docx file is parsed incorrectly</t>
  </si>
  <si>
    <t>BACK-427</t>
  </si>
  <si>
    <t>[BE] Label Challenge Updates Don't Save in Broadridge</t>
  </si>
  <si>
    <t>RECON-38 [Runda Zwycięstwa]</t>
  </si>
  <si>
    <t>CI-257</t>
  </si>
  <si>
    <t>Ensure all connections to Postgres are done over a secure encryption method</t>
  </si>
  <si>
    <t>PR-1222</t>
  </si>
  <si>
    <t>Infrastructure Density Improvement</t>
  </si>
  <si>
    <t>Q1 2024</t>
  </si>
  <si>
    <t>PR-1221</t>
  </si>
  <si>
    <t>Doc Version Comparison</t>
  </si>
  <si>
    <t>PR-1220</t>
  </si>
  <si>
    <t>DeepView - User Defined Reports</t>
  </si>
  <si>
    <t>PR-1219</t>
  </si>
  <si>
    <t>DeepView - User Customized Views</t>
  </si>
  <si>
    <t>PR-1218</t>
  </si>
  <si>
    <t>DeepRecon single environment for production and uat</t>
  </si>
  <si>
    <t>PR-1217</t>
  </si>
  <si>
    <t>Categorization feedback API from 3rd party workflow system/Service now</t>
  </si>
  <si>
    <t>PR-1215</t>
  </si>
  <si>
    <t>PR-1214</t>
  </si>
  <si>
    <t>DeepSee Product Roadmap</t>
  </si>
  <si>
    <t>BACK-397</t>
  </si>
  <si>
    <t>[FE] Add information Icon in multiple places</t>
  </si>
  <si>
    <t>PR-1213</t>
  </si>
  <si>
    <t>Legacy Decommission</t>
  </si>
  <si>
    <t>PR-1212</t>
  </si>
  <si>
    <t>DeepView Aggregated Data Visualizations</t>
  </si>
  <si>
    <t>BACK-237</t>
  </si>
  <si>
    <t>refactor WorkItem Outputs code</t>
  </si>
  <si>
    <t>PR-1211</t>
  </si>
  <si>
    <t>Password Protected Emails and Attachments</t>
  </si>
  <si>
    <t>CI-622</t>
  </si>
  <si>
    <t xml:space="preserve">Update mlops-sync-hooks required packages </t>
  </si>
  <si>
    <t>PR-1210</t>
  </si>
  <si>
    <t>Ph1 DeepRecon Automation</t>
  </si>
  <si>
    <t>BACK-363</t>
  </si>
  <si>
    <t xml:space="preserve">[FE] Support new model state in UI </t>
  </si>
  <si>
    <t>BACK-359</t>
  </si>
  <si>
    <t>[BE] When dataset is created/processing, model tile status is not changed 👎</t>
  </si>
  <si>
    <t>BACK-357</t>
  </si>
  <si>
    <t>[KK] E2E test for the system</t>
  </si>
  <si>
    <t>Kimo Kahookele</t>
  </si>
  <si>
    <t>FB-2154</t>
  </si>
  <si>
    <t>Improvements in Text Preprocessing</t>
  </si>
  <si>
    <t>FB-2153</t>
  </si>
  <si>
    <t>[TECH DEBT] Update all scripts to be able to use the new AWS login functionality</t>
  </si>
  <si>
    <t>CI-530</t>
  </si>
  <si>
    <t>Master Root User On Databases</t>
  </si>
  <si>
    <t>BACK-236</t>
  </si>
  <si>
    <t>Add RBAC authorizations to integration tests (DCS-314 - Prod issue )</t>
  </si>
  <si>
    <t>UI-105</t>
  </si>
  <si>
    <t>Investigate build-your-own dashboard widget structures</t>
  </si>
  <si>
    <t>FB-2152</t>
  </si>
  <si>
    <t>Update deepPilot output python script to include Flagged</t>
  </si>
  <si>
    <t>BACK-254</t>
  </si>
  <si>
    <t>[BE] API for Health Check status</t>
  </si>
  <si>
    <t>BACK-255</t>
  </si>
  <si>
    <t>Testing Suite - Add bulk action for expected result on a Subgroup level - Tabular view</t>
  </si>
  <si>
    <t>BACK-278</t>
  </si>
  <si>
    <t>expected_terms stored in the wrong format</t>
  </si>
  <si>
    <t>PR-1209</t>
  </si>
  <si>
    <t>Display Context on Actionable Data</t>
  </si>
  <si>
    <t>PR-1207</t>
  </si>
  <si>
    <t>Counterparty SLA Visualization and Calculator</t>
  </si>
  <si>
    <t>PR-1206</t>
  </si>
  <si>
    <t>Light Extraction UI and HITL Feedback</t>
  </si>
  <si>
    <t>PR-1205</t>
  </si>
  <si>
    <t>Return on Investment Calculator</t>
  </si>
  <si>
    <t>PR-1204</t>
  </si>
  <si>
    <t>Sentiment and Priority from Email</t>
  </si>
  <si>
    <t>PR-1203</t>
  </si>
  <si>
    <t>Document Crawler</t>
  </si>
  <si>
    <t>PR-1202</t>
  </si>
  <si>
    <t>Ingested Document and Email Translation</t>
  </si>
  <si>
    <t>PR-1201</t>
  </si>
  <si>
    <t>DIG Expansion - DeepSee Connector</t>
  </si>
  <si>
    <t>PR-1200</t>
  </si>
  <si>
    <t>DIG Expansion - Connectors MQ/Kafka &amp; DeepSee Generic</t>
  </si>
  <si>
    <t>FB-2149</t>
  </si>
  <si>
    <t>Open-source model for Paragraph to Dates</t>
  </si>
  <si>
    <t>CI-311</t>
  </si>
  <si>
    <t>Integrate Crowdstrike Vulnerability Scanning with Jira Ticketing</t>
  </si>
  <si>
    <t>UI-104</t>
  </si>
  <si>
    <t>Add test to check  "New Blockly Block: "as number"" https://deepsee.atlassian.net/browse/PILOT-15</t>
  </si>
  <si>
    <t>CI-503</t>
  </si>
  <si>
    <t>Create SLI Dashboard for DeepView</t>
  </si>
  <si>
    <t>CI-506</t>
  </si>
  <si>
    <t>Create SLI Dashboard for DeepRecon</t>
  </si>
  <si>
    <t>CI-505</t>
  </si>
  <si>
    <t>Create SLI Dashboard for DeepPilot</t>
  </si>
  <si>
    <t>FB-2148</t>
  </si>
  <si>
    <t>SEC-301080 - Content Maps - Extra token is added to the annotation</t>
  </si>
  <si>
    <t>BACK-154</t>
  </si>
  <si>
    <t>Upgrade SpringBoot from 2.7.x to 3.x</t>
  </si>
  <si>
    <t>UI-106</t>
  </si>
  <si>
    <t>[UI] Construct Mocked Process Analysis Dashboard</t>
  </si>
  <si>
    <t>UI-109</t>
  </si>
  <si>
    <t>Build Tree Poly-line Chart for use in Dashboards</t>
  </si>
  <si>
    <t>BACK-382</t>
  </si>
  <si>
    <t>[BE] Allow SME to define which data points are required for each category</t>
  </si>
  <si>
    <t>BACK-386</t>
  </si>
  <si>
    <t>[BE] Add file type and file name to data source ui</t>
  </si>
  <si>
    <t>BACK-271</t>
  </si>
  <si>
    <t>Address Critical Vulnerability in deeprecon-atlas-dealfeed-lambda</t>
  </si>
  <si>
    <t>CI-33</t>
  </si>
  <si>
    <t>Accenture Dev Environment</t>
  </si>
  <si>
    <t>CI-266</t>
  </si>
  <si>
    <t>Streamline New Tenant Creation</t>
  </si>
  <si>
    <t>CI-267</t>
  </si>
  <si>
    <t>Make sure we have appropriate controls in place to avoid customer data loss</t>
  </si>
  <si>
    <t>CI-32</t>
  </si>
  <si>
    <t xml:space="preserve">Optional Tenant VPC Network Provisioning </t>
  </si>
  <si>
    <t>CI-31</t>
  </si>
  <si>
    <t>Provision a Transit Gateway For Deepsee VPC</t>
  </si>
  <si>
    <t>CI-30</t>
  </si>
  <si>
    <t>Enable options for Connecting to DeepSee over Private Networks</t>
  </si>
  <si>
    <t>CI-28</t>
  </si>
  <si>
    <t>Need to support deploying Accenture as a Mutli-Region HA configuration</t>
  </si>
  <si>
    <t>BACK-422</t>
  </si>
  <si>
    <t>[BE][preprocessor] Fis errors found during broadridge data processing</t>
  </si>
  <si>
    <t>CI-499</t>
  </si>
  <si>
    <t>Datadog Dashboard for MongoDB Metrics</t>
  </si>
  <si>
    <t>CI-498</t>
  </si>
  <si>
    <t>Datadog Dashboard for Kafka Metrics</t>
  </si>
  <si>
    <t>CI-500</t>
  </si>
  <si>
    <t>Datadog Dashboard for Postgresql Metrics</t>
  </si>
  <si>
    <t>CI-496</t>
  </si>
  <si>
    <t>Datadog Dashboard for Redis Metrics</t>
  </si>
  <si>
    <t>CI-495</t>
  </si>
  <si>
    <t>Datadog Dashboard for Clickhouse Metrics</t>
  </si>
  <si>
    <t>BACK-290</t>
  </si>
  <si>
    <t>Create Datamodel APIs to support Query creation</t>
  </si>
  <si>
    <t>CI-329</t>
  </si>
  <si>
    <t>Initial Infrastructure for DeepView</t>
  </si>
  <si>
    <t>PLAT Sprint 3</t>
  </si>
  <si>
    <t>FB-2144</t>
  </si>
  <si>
    <t>Paragraph to Dates Model</t>
  </si>
  <si>
    <t>PR-1199</t>
  </si>
  <si>
    <t>Paragraphs to dates</t>
  </si>
  <si>
    <t>BACK-239</t>
  </si>
  <si>
    <t>[BE] Speed up checklist processing</t>
  </si>
  <si>
    <t>BACK-174</t>
  </si>
  <si>
    <t>Enable storing of externally normalized values</t>
  </si>
  <si>
    <t>CI-511</t>
  </si>
  <si>
    <t xml:space="preserve">Make EKS API endpoints </t>
  </si>
  <si>
    <t>CI-510</t>
  </si>
  <si>
    <t>Create a Change Management project and workflow</t>
  </si>
  <si>
    <t>PLAT Sprint 2</t>
  </si>
  <si>
    <t>BACK-316</t>
  </si>
  <si>
    <t>Create Dashboard Management API</t>
  </si>
  <si>
    <t>BACK-232</t>
  </si>
  <si>
    <t>[BE] Allow users to specify where a subgroup starts when providing a mapping expression for a subgroup term</t>
  </si>
  <si>
    <t>FB-2139</t>
  </si>
  <si>
    <t>Model Modularity Refactor</t>
  </si>
  <si>
    <t>FB-2138</t>
  </si>
  <si>
    <t>Team Onboarding Documentation</t>
  </si>
  <si>
    <t>FB-2137</t>
  </si>
  <si>
    <t>DeepRecon Overview Documentation</t>
  </si>
  <si>
    <t>FB-2135</t>
  </si>
  <si>
    <t>Model Deployment Documentation</t>
  </si>
  <si>
    <t>FB-2134</t>
  </si>
  <si>
    <t>Training a Model Documentation</t>
  </si>
  <si>
    <t>FB-2131</t>
  </si>
  <si>
    <t>Documentation for Critical Processes - FILBERT</t>
  </si>
  <si>
    <t>FB-2130</t>
  </si>
  <si>
    <t>Train and deploy the model end-to-end using textract OCR</t>
  </si>
  <si>
    <t>FB-2124</t>
  </si>
  <si>
    <t>[ML DeepRecon] Issues discovered in labelling</t>
  </si>
  <si>
    <t>BACK-148</t>
  </si>
  <si>
    <t>[BE] Rename DeepPilot repositories and artifacts</t>
  </si>
  <si>
    <t>BACK-384</t>
  </si>
  <si>
    <t>[BE] Promethia API part 1</t>
  </si>
  <si>
    <t>Sławomir Dawidziuk</t>
  </si>
  <si>
    <t>PR-1197</t>
  </si>
  <si>
    <t>Data visualisation based on Jupyter notebooks</t>
  </si>
  <si>
    <t>PR-1194</t>
  </si>
  <si>
    <t>PST file processing</t>
  </si>
  <si>
    <t>PR-1193</t>
  </si>
  <si>
    <t xml:space="preserve">Review labels after training process </t>
  </si>
  <si>
    <t>BACK-248</t>
  </si>
  <si>
    <t>Content Maps - Add Apply to All Subgroups option for bulk actions with the term</t>
  </si>
  <si>
    <t>CI-491</t>
  </si>
  <si>
    <t>Re-architect Flower to use gRPC Re-Request Transport</t>
  </si>
  <si>
    <t>CI-22</t>
  </si>
  <si>
    <t>[SPIKE] Hybrid Cloud Networking</t>
  </si>
  <si>
    <t>CI-21</t>
  </si>
  <si>
    <t>[SPIKE] Can we use Open Tofu</t>
  </si>
  <si>
    <t>BACK-323</t>
  </si>
  <si>
    <t>Create tests for BE Nightly Build in Staging Environment</t>
  </si>
  <si>
    <t>BACK-324</t>
  </si>
  <si>
    <t>Add tests for Process Model -Testing Suite test cases</t>
  </si>
  <si>
    <t>BACK-345</t>
  </si>
  <si>
    <t>Add Pod GC for successful workflows in Promethia Workflows</t>
  </si>
  <si>
    <t>UI-53</t>
  </si>
  <si>
    <t>Annotation Box Jumping Around</t>
  </si>
  <si>
    <t>BACK-440</t>
  </si>
  <si>
    <t>Design flow which will allow the user to resolve conflicts between datasets in datasource 👎</t>
  </si>
  <si>
    <t>CI-20</t>
  </si>
  <si>
    <t>[Placeholder] BroadRidge POC Deployment</t>
  </si>
  <si>
    <t>CI-517</t>
  </si>
  <si>
    <t>[SPIKE] Research Outbound Egress Control Options</t>
  </si>
  <si>
    <t>BACK-262</t>
  </si>
  <si>
    <t>[BE] Add RBAC Policy verification to integration tests</t>
  </si>
  <si>
    <t>CI-502</t>
  </si>
  <si>
    <t>Fix the CD Pipeline in the CookieCutter project(s)</t>
  </si>
  <si>
    <t>CI-60</t>
  </si>
  <si>
    <t>Production support to Accenture</t>
  </si>
  <si>
    <t>CI-516</t>
  </si>
  <si>
    <t>Mandatory use of VDI to access production environment</t>
  </si>
  <si>
    <t>BACK-417</t>
  </si>
  <si>
    <t xml:space="preserve">[FE] Actionable Data - in EDIT area 2 components are not connected. </t>
  </si>
  <si>
    <t>BACK-421</t>
  </si>
  <si>
    <t>[UI] Circle of Life has missing text in FireFox</t>
  </si>
  <si>
    <t>BACK-276</t>
  </si>
  <si>
    <t>Testing Suite - 'Last updated by' column is not populated with data after the first update in a tabular view</t>
  </si>
  <si>
    <t>BACK-176</t>
  </si>
  <si>
    <t>GET workItem should start using new code to construct the WorkItem object</t>
  </si>
  <si>
    <t>John Muhlestein</t>
  </si>
  <si>
    <t>CI-533</t>
  </si>
  <si>
    <t>Make the helm repo private</t>
  </si>
  <si>
    <t>CI-532</t>
  </si>
  <si>
    <t>Automatically create PRs for new base image builds</t>
  </si>
  <si>
    <t>BACK-177</t>
  </si>
  <si>
    <t>Additional performance improvement on work item status update</t>
  </si>
  <si>
    <t>PR-1190</t>
  </si>
  <si>
    <t>Finalize Modelchain Management</t>
  </si>
  <si>
    <t>FB-2116</t>
  </si>
  <si>
    <t>Memory issues with analyze_annotations script in Argo workflow</t>
  </si>
  <si>
    <t>BACK-394</t>
  </si>
  <si>
    <t>Don't create a new message when running message extraction again on the same path via Preprocessor API</t>
  </si>
  <si>
    <t>BACK-325</t>
  </si>
  <si>
    <t>Add test for Docs under Test Tab https://deepsee.atlassian.net/browse/PILOT-206</t>
  </si>
  <si>
    <t>BACK-228</t>
  </si>
  <si>
    <t>[BE] Add Integration test for "Copy Checklist with new Content Map" functionality.</t>
  </si>
  <si>
    <t>CI-534</t>
  </si>
  <si>
    <t>Add attribute for human-friendly name for system ID</t>
  </si>
  <si>
    <t>FB-2114</t>
  </si>
  <si>
    <t>[Tech Debt] Update code in mlrig and mlp repos to adapt to the new SSO login when running it locally</t>
  </si>
  <si>
    <t>BACK-235</t>
  </si>
  <si>
    <t>Store which docs/predictions were used for each model training (each modelchain version)</t>
  </si>
  <si>
    <t>PR-1183</t>
  </si>
  <si>
    <t>MuniBond GPT</t>
  </si>
  <si>
    <t>BACK-165</t>
  </si>
  <si>
    <t>[BE] Set up nightly build for long-running integration tests</t>
  </si>
  <si>
    <t>BACK-166</t>
  </si>
  <si>
    <t>[BE] Add Terms/Term Group integration tests</t>
  </si>
  <si>
    <t>BACK-160</t>
  </si>
  <si>
    <t>[BE] Add more checklist integration tests</t>
  </si>
  <si>
    <t>BACK-158</t>
  </si>
  <si>
    <t>[BE] Add content-map unstructured annotation integration tests</t>
  </si>
  <si>
    <t>BACK-163</t>
  </si>
  <si>
    <t>[BE] Add work-item unstructured annotation integration tests</t>
  </si>
  <si>
    <t>BACK-162</t>
  </si>
  <si>
    <t>[BE] Add work-item integration tests</t>
  </si>
  <si>
    <t>BACK-251</t>
  </si>
  <si>
    <t>[BE] Use SSL for connecting to the database</t>
  </si>
  <si>
    <t>CI-11</t>
  </si>
  <si>
    <t>Leverage The RDS Proxy For Database Connections</t>
  </si>
  <si>
    <t>PLAT Sprint 1</t>
  </si>
  <si>
    <t>BACK-321</t>
  </si>
  <si>
    <t xml:space="preserve"> Create test for https://deepsee.atlassian.net/browse/PILOT-12 (WI-button for root cause)</t>
  </si>
  <si>
    <t>BACK-364</t>
  </si>
  <si>
    <t>[BE] Revive script / notebook used to upload training emails data for production</t>
  </si>
  <si>
    <t>BACK-376</t>
  </si>
  <si>
    <t>Add sealed config for promethia__workflows to changing pod resource requests in vault</t>
  </si>
  <si>
    <t>BACK-350</t>
  </si>
  <si>
    <t>ML - Use chunks instead of big dataframe for ml input and output</t>
  </si>
  <si>
    <t>BACK-348</t>
  </si>
  <si>
    <t>BE - Use chunks instead of big dataframe for ml input and output</t>
  </si>
  <si>
    <t>CI-507</t>
  </si>
  <si>
    <t>Per Tenant Data System Dashboards</t>
  </si>
  <si>
    <t>CI-504</t>
  </si>
  <si>
    <t>Configure Service Level Operational Dashboards Per Tenant</t>
  </si>
  <si>
    <t>Shad O'Neil</t>
  </si>
  <si>
    <t>CI-9</t>
  </si>
  <si>
    <t>Deploy a Global Load Balancer to Direct Traffic Across Multiple Regions</t>
  </si>
  <si>
    <t>UI-111</t>
  </si>
  <si>
    <t>[FE] Connect API to update name, parent and description</t>
  </si>
  <si>
    <t>RECON Sprint 36[PRM Sprint 36]</t>
  </si>
  <si>
    <t>CI-531</t>
  </si>
  <si>
    <t>CrowdStrike: Critical -S3 bucket configured for public access</t>
  </si>
  <si>
    <t>BACK-408</t>
  </si>
  <si>
    <t>[BE] API to update name, parent and process description</t>
  </si>
  <si>
    <t>BACK-413</t>
  </si>
  <si>
    <t>[BE] Use DeepPilot's model creation date when computing Last Training Date</t>
  </si>
  <si>
    <t>CI-525</t>
  </si>
  <si>
    <t>CrowdStrike: Critical - NLB/ALB configured as publicly accessible on non-web ports.</t>
  </si>
  <si>
    <t>CI-524</t>
  </si>
  <si>
    <t>CrowdStrike: Critical - RDS instance configured for public access</t>
  </si>
  <si>
    <t>CI-527</t>
  </si>
  <si>
    <t>CrowdStrike: Critical - EC2 high privileged instance profile with IAM managed policy while IMDSv1 is enabled</t>
  </si>
  <si>
    <t>CI-526</t>
  </si>
  <si>
    <t>CrowdStrike: Critical - ELB configured as publicly accessible on non-web ports.</t>
  </si>
  <si>
    <t>CI-521</t>
  </si>
  <si>
    <t>CrowdStrike: Critical - IAM Root account configured with Virtual MFA</t>
  </si>
  <si>
    <t>CI-520</t>
  </si>
  <si>
    <t>CrowdStrike: Critical - EKS cluster with open VPC CIDR range for public access</t>
  </si>
  <si>
    <t>CI-523</t>
  </si>
  <si>
    <t>CrowdStrike: Critical - EC2 instance allows global public internet SSH access (port 22)</t>
  </si>
  <si>
    <t>CI-522</t>
  </si>
  <si>
    <t>CrowdStrike: Critical - EC2 instance publicly configured allows global public IP in ingress rule(s) on non-web ports</t>
  </si>
  <si>
    <t>CI-528</t>
  </si>
  <si>
    <t>CrowdStrike: Critical - EC2 instance publicly configured allows global public IP in ingress rule(s)</t>
  </si>
  <si>
    <t>CI-513</t>
  </si>
  <si>
    <t>[Spike] CrowdStrike: Critical - IAM policies that allow full (*:*) administrative privileges attached to role</t>
  </si>
  <si>
    <t>CI-631</t>
  </si>
  <si>
    <t>IAM policies that allow full (*:*) administrative privileges attached to role</t>
  </si>
  <si>
    <t>CI-6</t>
  </si>
  <si>
    <t>Increase size of JPM RDS database</t>
  </si>
  <si>
    <t>BACK-352</t>
  </si>
  <si>
    <t>[NEED UI] Provide ability to review and change training labels</t>
  </si>
  <si>
    <t>PR-1176</t>
  </si>
  <si>
    <t>Review exception</t>
  </si>
  <si>
    <t>CI-493</t>
  </si>
  <si>
    <t>[SPIKE] Scaling Sagemaker Endpoints From Zero</t>
  </si>
  <si>
    <t>UI-55</t>
  </si>
  <si>
    <t>Pop-Out Work Item Metadata Summary</t>
  </si>
  <si>
    <t>BACK-180</t>
  </si>
  <si>
    <t>[BE] Add modelchain name and version to Get Work-Item/work-item-id headers</t>
  </si>
  <si>
    <t>UI-56</t>
  </si>
  <si>
    <t>[UI] Add model chain and version to the work item landing page table</t>
  </si>
  <si>
    <t>BACK-179</t>
  </si>
  <si>
    <t>[BE] Work Items Landing Page - Add which modelchain and which process model version were used into the table</t>
  </si>
  <si>
    <t>CI-485</t>
  </si>
  <si>
    <t>Add trace/log correlation to Java/Python projects</t>
  </si>
  <si>
    <t>FB-2102</t>
  </si>
  <si>
    <t>Box-to-tokens needs to be able to split tokens even more</t>
  </si>
  <si>
    <t>PR-1175</t>
  </si>
  <si>
    <t>DeepPilot - Data Lineage Visualization</t>
  </si>
  <si>
    <t>BACK-258</t>
  </si>
  <si>
    <t>Queue test case executions instead of executing all at once</t>
  </si>
  <si>
    <t>PR-1174</t>
  </si>
  <si>
    <t>Process variation algo</t>
  </si>
  <si>
    <t>PR-1173</t>
  </si>
  <si>
    <t>Feed data required for visualisations</t>
  </si>
  <si>
    <t>PR-1172</t>
  </si>
  <si>
    <t>Multiple/Nested Subgroups</t>
  </si>
  <si>
    <t>BACK-64</t>
  </si>
  <si>
    <t>PR-1168</t>
  </si>
  <si>
    <t>Parking lot creation and processing</t>
  </si>
  <si>
    <t>BACK-171</t>
  </si>
  <si>
    <t>Re-Execute Failed Deals</t>
  </si>
  <si>
    <t>UI-107</t>
  </si>
  <si>
    <t>DeepRecon UI with mocked data for all DeepRecon dashboards</t>
  </si>
  <si>
    <t>PR-1167</t>
  </si>
  <si>
    <t>Engine to decide between light and heavy extraction</t>
  </si>
  <si>
    <t>PR-1166</t>
  </si>
  <si>
    <t>Light extraction edge cases</t>
  </si>
  <si>
    <t>PR-1165</t>
  </si>
  <si>
    <t>Adapt ML to support training using 200 messages</t>
  </si>
  <si>
    <t>PR-1163</t>
  </si>
  <si>
    <t>Create one model using all training datasets available and integrate that to the workflow</t>
  </si>
  <si>
    <t>PR-1162</t>
  </si>
  <si>
    <t>Resolve Conflicts between 2, 3 or 4 categories</t>
  </si>
  <si>
    <t>BACK-356</t>
  </si>
  <si>
    <t>Set `MessageProcessing.ingestion_version` to the current version of Preprocessor</t>
  </si>
  <si>
    <t>PR-1161</t>
  </si>
  <si>
    <t>Accenture API</t>
  </si>
  <si>
    <t>PR-1160</t>
  </si>
  <si>
    <t>Display data extraction results and enable feedback process on Actionable data page</t>
  </si>
  <si>
    <t>PR-1159</t>
  </si>
  <si>
    <t>High Availability and other infrastructure requirements for Accenture</t>
  </si>
  <si>
    <t>PR-1158</t>
  </si>
  <si>
    <t>Trigger DeepPilot template</t>
  </si>
  <si>
    <t>PR-1157</t>
  </si>
  <si>
    <t>Archive a message</t>
  </si>
  <si>
    <t>PR-1156</t>
  </si>
  <si>
    <t>Flag an email</t>
  </si>
  <si>
    <t>PR-1155</t>
  </si>
  <si>
    <t>Generate an alert</t>
  </si>
  <si>
    <t>PR-1154</t>
  </si>
  <si>
    <t>Q2 2023</t>
  </si>
  <si>
    <t>PR-1153</t>
  </si>
  <si>
    <t>PR-1152</t>
  </si>
  <si>
    <t>Cancelled Epics</t>
  </si>
  <si>
    <t>PR-1151</t>
  </si>
  <si>
    <t>DeepRecon Production Support</t>
  </si>
  <si>
    <t>PR-1150</t>
  </si>
  <si>
    <t>DeepSee E2E testing and Production support</t>
  </si>
  <si>
    <t>PR-1149</t>
  </si>
  <si>
    <t>Manage Process Glossary - Create, Rename, Delete</t>
  </si>
  <si>
    <t>PR-1148</t>
  </si>
  <si>
    <t>Enabling user roles for Accenture</t>
  </si>
  <si>
    <t>PR-1147</t>
  </si>
  <si>
    <t>Retraining &amp; Backtesting the categorization model</t>
  </si>
  <si>
    <t>PR-1146</t>
  </si>
  <si>
    <t>FB-2098</t>
  </si>
  <si>
    <t>More Asset Groups are extracted by the model than expected</t>
  </si>
  <si>
    <t>FB-2097</t>
  </si>
  <si>
    <t>Model does not pick up extraction from the document</t>
  </si>
  <si>
    <t>BACK-182</t>
  </si>
  <si>
    <t xml:space="preserve">[BE] Store modelchain configurations </t>
  </si>
  <si>
    <t>BACK-149</t>
  </si>
  <si>
    <t>[BE] Have the inference-execution endpoint verify the sha256 value of documents</t>
  </si>
  <si>
    <t>BACK-415</t>
  </si>
  <si>
    <t>[promethia__models]: Create trigger to insert ml models after source is created</t>
  </si>
  <si>
    <t>BACK-190</t>
  </si>
  <si>
    <t>Archive Test Cases</t>
  </si>
  <si>
    <t>CI-3</t>
  </si>
  <si>
    <t>Resolve Clickhouse Storage issues in DEV/Demo</t>
  </si>
  <si>
    <t>PR-1145</t>
  </si>
  <si>
    <t>Pilot Enhancement and Refinements phase 2</t>
  </si>
  <si>
    <t>PR-1144</t>
  </si>
  <si>
    <t>Pilot Enhancement and Refinements phase 1</t>
  </si>
  <si>
    <t>CI-494</t>
  </si>
  <si>
    <t>Being able to Communicate With MLFlow from All Environments</t>
  </si>
  <si>
    <t>BACK-438</t>
  </si>
  <si>
    <t>[SPIKE] BE Suggested Actions integration</t>
  </si>
  <si>
    <t>BACK-381</t>
  </si>
  <si>
    <t>Remove ml-service from Vault</t>
  </si>
  <si>
    <t>FB-2094</t>
  </si>
  <si>
    <t>Dates in array are not separated in data augmentation model for scrubbed document</t>
  </si>
  <si>
    <t>UI-87</t>
  </si>
  <si>
    <t>Work-Item: XML values are not showing correctly and no pop box appears</t>
  </si>
  <si>
    <t>PR-1142</t>
  </si>
  <si>
    <t>Categorization of replies and subsequent messages</t>
  </si>
  <si>
    <t>PR-1141</t>
  </si>
  <si>
    <t>Foundational changes to Process Discovery Architecture</t>
  </si>
  <si>
    <t>PR-1140</t>
  </si>
  <si>
    <t>Continuous data source ingestion workflow</t>
  </si>
  <si>
    <t>PR-1139</t>
  </si>
  <si>
    <t xml:space="preserve">Training dataset creation, view inquiry and view message thread </t>
  </si>
  <si>
    <t>PR-1138</t>
  </si>
  <si>
    <t>Labelling challenges implementation</t>
  </si>
  <si>
    <t>PR-1137</t>
  </si>
  <si>
    <t>Single model training and testing</t>
  </si>
  <si>
    <t>PR-1136</t>
  </si>
  <si>
    <t>Near real time categorisation and parking lot creation</t>
  </si>
  <si>
    <t>PR-1135</t>
  </si>
  <si>
    <t>Table content extraction bug fixing and excel files parsing</t>
  </si>
  <si>
    <t>PR-1134</t>
  </si>
  <si>
    <t xml:space="preserve">APIs - Accenture to submit the message to DeepRecon </t>
  </si>
  <si>
    <t>PR-1133</t>
  </si>
  <si>
    <t>Integration between DeepRecon and DeepPilot ( Content Map )</t>
  </si>
  <si>
    <t>FB-2092</t>
  </si>
  <si>
    <t>[ML] Tech Debt</t>
  </si>
  <si>
    <t>FB-2058</t>
  </si>
  <si>
    <t>Optimization of Model/Pipeline</t>
  </si>
  <si>
    <t>FB-2057</t>
  </si>
  <si>
    <t xml:space="preserve">Multi-Model Comparison Evaluation &amp; Analysis </t>
  </si>
  <si>
    <t>FB-2056</t>
  </si>
  <si>
    <t xml:space="preserve">Model Drift Detection </t>
  </si>
  <si>
    <t>FB-2055</t>
  </si>
  <si>
    <t>[PLACEHOLDER] Confirm Multi-Model Works in Pipeline</t>
  </si>
  <si>
    <t>PR-1132</t>
  </si>
  <si>
    <t>Sentiment Analysis</t>
  </si>
  <si>
    <t>PR-1131</t>
  </si>
  <si>
    <t>Templates Onboarding</t>
  </si>
  <si>
    <t>PR-1130</t>
  </si>
  <si>
    <t>Template Drafting</t>
  </si>
  <si>
    <t>PR-1129</t>
  </si>
  <si>
    <t>Cost Allocation</t>
  </si>
  <si>
    <t>PR-1128</t>
  </si>
  <si>
    <t>System Health Dashboard</t>
  </si>
  <si>
    <t>PR-1127</t>
  </si>
  <si>
    <t>Process Modeler for Templates</t>
  </si>
  <si>
    <t>PR-1126</t>
  </si>
  <si>
    <t>Defensive Annotations</t>
  </si>
  <si>
    <t>PR-1125</t>
  </si>
  <si>
    <t>Change Management for DeepPilot Lists</t>
  </si>
  <si>
    <t>PR-1124</t>
  </si>
  <si>
    <t>Populated Knowledge Base</t>
  </si>
  <si>
    <t>PR-1123</t>
  </si>
  <si>
    <t>Ontology MVC</t>
  </si>
  <si>
    <t>PR-1122</t>
  </si>
  <si>
    <t>Data Model MVC</t>
  </si>
  <si>
    <t>PR-1121</t>
  </si>
  <si>
    <t>What's Happening View</t>
  </si>
  <si>
    <t>BACK-436</t>
  </si>
  <si>
    <t xml:space="preserve">[BE] How to show original label assignment in resolve conflict label challenges </t>
  </si>
  <si>
    <t>BACK-202</t>
  </si>
  <si>
    <t>[BE] Integrate ML Parking Lot Workflow into promethia workflows</t>
  </si>
  <si>
    <t>DeepSee Collective Sprint 1</t>
  </si>
  <si>
    <t>FB-2316</t>
  </si>
  <si>
    <t>[BE] Trigger Single Model Workflow when Parking Lot workflow is finished</t>
  </si>
  <si>
    <t>BACK-349</t>
  </si>
  <si>
    <t>Update pydantic to v2 in promethia ml workflows</t>
  </si>
  <si>
    <t>BACK-347</t>
  </si>
  <si>
    <t>Update pydantic to v2 in promethia workflows</t>
  </si>
  <si>
    <t>BACK-355</t>
  </si>
  <si>
    <t>Update pydantic to v2 in promethia api</t>
  </si>
  <si>
    <t>PR-1120</t>
  </si>
  <si>
    <t>DeepView for Pre-Defined Dashboards</t>
  </si>
  <si>
    <t>BACK-138</t>
  </si>
  <si>
    <t>Update export/import apis to support additional checklist resources</t>
  </si>
  <si>
    <t>FB-2319</t>
  </si>
  <si>
    <t>Production and Demo Support Q4 2023</t>
  </si>
  <si>
    <t>BACK-435</t>
  </si>
  <si>
    <t>[BE] OOM for specific message in CITI data</t>
  </si>
  <si>
    <t>FB-2052</t>
  </si>
  <si>
    <t>Model Training for JPM Updates</t>
  </si>
  <si>
    <t>BACK-261</t>
  </si>
  <si>
    <t>Archive/Deactivate/De-Dupe terms</t>
  </si>
  <si>
    <t>BACK-337</t>
  </si>
  <si>
    <t>Access and Read all messages in the datasource</t>
  </si>
  <si>
    <t>BACK-293</t>
  </si>
  <si>
    <t>Data Pipeline</t>
  </si>
  <si>
    <t>UI-54</t>
  </si>
  <si>
    <t>Add Tiles to UI</t>
  </si>
  <si>
    <t>BACK-295</t>
  </si>
  <si>
    <t>Capture Origin</t>
  </si>
  <si>
    <t>BACK-178</t>
  </si>
  <si>
    <t>Ensure all terms have the right data associated with it</t>
  </si>
  <si>
    <t>BACK-288</t>
  </si>
  <si>
    <t>Make Activity Section Customizable</t>
  </si>
  <si>
    <t>BACK-292</t>
  </si>
  <si>
    <t>Dashboard API and Service</t>
  </si>
  <si>
    <t>BACK-301</t>
  </si>
  <si>
    <t>How do we expose this data to a client</t>
  </si>
  <si>
    <t>BACK-299</t>
  </si>
  <si>
    <t>Implement in services</t>
  </si>
  <si>
    <t>BACK-305</t>
  </si>
  <si>
    <t>Deploying messaging infrastructure</t>
  </si>
  <si>
    <t>BACK-302</t>
  </si>
  <si>
    <t>Service Layer over data source</t>
  </si>
  <si>
    <t>BACK-314</t>
  </si>
  <si>
    <t>Querying Approach</t>
  </si>
  <si>
    <t>BACK-312</t>
  </si>
  <si>
    <t>Messaging to Data Source</t>
  </si>
  <si>
    <t>FB-2049</t>
  </si>
  <si>
    <t>Improve model training time with and without data augmentation</t>
  </si>
  <si>
    <t>ML Rig 2023.19</t>
  </si>
  <si>
    <t>BACK-308</t>
  </si>
  <si>
    <t>Create Dashboards Page Inside DeepPilot</t>
  </si>
  <si>
    <t>BACK-336</t>
  </si>
  <si>
    <t>DeepLearning Model for Message Categorization</t>
  </si>
  <si>
    <t>BACK-335</t>
  </si>
  <si>
    <t>Suggested Action to Improve the Model Rating</t>
  </si>
  <si>
    <t>PR-1091</t>
  </si>
  <si>
    <t>Annotation feedback</t>
  </si>
  <si>
    <t>PR-1089</t>
  </si>
  <si>
    <t>DeepRecon - Enhanced Communication Rationalization</t>
  </si>
  <si>
    <t>BACK-140</t>
  </si>
  <si>
    <t>Write term_prediction_feedback records for structured predictions</t>
  </si>
  <si>
    <t>PR-1088</t>
  </si>
  <si>
    <t>Document Crawler - Historical and Synthetic Visualization</t>
  </si>
  <si>
    <t>PR-1085</t>
  </si>
  <si>
    <t>DeepRecon backlog</t>
  </si>
  <si>
    <t>PR-1084</t>
  </si>
  <si>
    <t>DeepRecon Q3/2023</t>
  </si>
  <si>
    <t>PR-1083</t>
  </si>
  <si>
    <t xml:space="preserve">DeepRecon Q4/2023 </t>
  </si>
  <si>
    <t>BACK-338</t>
  </si>
  <si>
    <t xml:space="preserve">Data lineage </t>
  </si>
  <si>
    <t>UI-99</t>
  </si>
  <si>
    <t>Hook Up UI to DeepView Service</t>
  </si>
  <si>
    <t>BACK-111</t>
  </si>
  <si>
    <t>Define Query End Points and generate initial data</t>
  </si>
  <si>
    <t>BACK-270</t>
  </si>
  <si>
    <t>Work-Item: Editing the values in the content map shouldn't recalculate the work item anymore after it's completed.</t>
  </si>
  <si>
    <t>BACK-315</t>
  </si>
  <si>
    <t>Data Provision APIs</t>
  </si>
  <si>
    <t>PR-1074</t>
  </si>
  <si>
    <t>BACK-344</t>
  </si>
  <si>
    <t>Messages from other mailboxes ( previously called fallback messages )</t>
  </si>
  <si>
    <t>BACK-343</t>
  </si>
  <si>
    <t>Autolabelling</t>
  </si>
  <si>
    <t>BACK-341</t>
  </si>
  <si>
    <t>Feeding data to Onthology</t>
  </si>
  <si>
    <t>UI-114</t>
  </si>
  <si>
    <t>Audience identification (Internal vs External)</t>
  </si>
  <si>
    <t>BACK-339</t>
  </si>
  <si>
    <t>HITL Data extraction Heavy+Light Extraction</t>
  </si>
  <si>
    <t>BACK-340</t>
  </si>
  <si>
    <t>Light extraction standalone component</t>
  </si>
  <si>
    <t>UI-113</t>
  </si>
  <si>
    <t>[UI] Search, filter and see all messages processed in the data source</t>
  </si>
  <si>
    <t>BACK-392</t>
  </si>
  <si>
    <t>[ML]Create a separate task for classification within the workflow</t>
  </si>
  <si>
    <t>CI-425</t>
  </si>
  <si>
    <t>Automate Secret Rotation for Vault</t>
  </si>
  <si>
    <t>FB-2048</t>
  </si>
  <si>
    <t>Training taking too long to complete</t>
  </si>
  <si>
    <t>UI-91</t>
  </si>
  <si>
    <t>View Term  Group - The list should not scroll behind the buttons.</t>
  </si>
  <si>
    <t>UI-116</t>
  </si>
  <si>
    <t>[FE] Email AUDIENCE is N/A --&gt; N/A</t>
  </si>
  <si>
    <t>BACK-368</t>
  </si>
  <si>
    <t>[BE] Search, filter and see all messages processed in the data source</t>
  </si>
  <si>
    <t>BACK-238</t>
  </si>
  <si>
    <t>Remove inferencePipeline feature flag</t>
  </si>
  <si>
    <t>UI-89</t>
  </si>
  <si>
    <t>Content Map - scrollbar sometimes freezes the page</t>
  </si>
  <si>
    <t>FB-2047</t>
  </si>
  <si>
    <t>Content Map - extra text is extracted with selected token (Unstructured)</t>
  </si>
  <si>
    <t>BACK-245</t>
  </si>
  <si>
    <t>Improve Blockly</t>
  </si>
  <si>
    <t>FB-2046</t>
  </si>
  <si>
    <t>Content Maps - documents upload failed for BKR (Unstructured)</t>
  </si>
  <si>
    <t>CI-398</t>
  </si>
  <si>
    <t>Enforce main/master branch protection for poduction repositories</t>
  </si>
  <si>
    <t>FB-2043</t>
  </si>
  <si>
    <t>Update scripts to handle augmented data in inference step</t>
  </si>
  <si>
    <t>BACK-157</t>
  </si>
  <si>
    <t>Remove term_group versioning</t>
  </si>
  <si>
    <t>PR-1053</t>
  </si>
  <si>
    <t>Ontology (Minimum Viable Concept)</t>
  </si>
  <si>
    <t>PR-1052</t>
  </si>
  <si>
    <t>Ontology Dependency Mapping</t>
  </si>
  <si>
    <t>PR-1051</t>
  </si>
  <si>
    <t>BACK-353</t>
  </si>
  <si>
    <t>Remove the table label_challenge_to_label_association, and remove it's references from models</t>
  </si>
  <si>
    <t>BACK-360</t>
  </si>
  <si>
    <t>[SPIKE] Description and documentation of deprioritized items from the fundamental changes in the Architecture</t>
  </si>
  <si>
    <t>FB-2067</t>
  </si>
  <si>
    <t>Run workflow simulations on real data</t>
  </si>
  <si>
    <t>FB-2036</t>
  </si>
  <si>
    <t>Rewrite queries to pull association data of term-associations and association-feedback</t>
  </si>
  <si>
    <t>BACK-241</t>
  </si>
  <si>
    <t>Update annotations limit</t>
  </si>
  <si>
    <t>BACK-240</t>
  </si>
  <si>
    <t>Update handling of conflicts between subgroup and term indexes</t>
  </si>
  <si>
    <t>BACK-155</t>
  </si>
  <si>
    <t>Appropriate management of subgroup_index and term_index fields in predictions</t>
  </si>
  <si>
    <t>BACK-400</t>
  </si>
  <si>
    <t>[BE] Convert Error message to text that can be understood by humans</t>
  </si>
  <si>
    <t>BACK-231</t>
  </si>
  <si>
    <t>Expose public API to the customer</t>
  </si>
  <si>
    <t>PR-1029</t>
  </si>
  <si>
    <t>Additional DeepPilot Process Model Features</t>
  </si>
  <si>
    <t>BACK-205</t>
  </si>
  <si>
    <t>Make a separate endpoint to return outputs</t>
  </si>
  <si>
    <t>PABE 10</t>
  </si>
  <si>
    <t>BACK-164</t>
  </si>
  <si>
    <t>Add conditional application of deltas to Perseus</t>
  </si>
  <si>
    <t>PR-1026</t>
  </si>
  <si>
    <t>Testing Suite Phase 3</t>
  </si>
  <si>
    <t>BACK-416</t>
  </si>
  <si>
    <t>[promethia__api]: Add action to run linter in GitHub</t>
  </si>
  <si>
    <t>FB-2024</t>
  </si>
  <si>
    <t>Augment Characters in Random Words</t>
  </si>
  <si>
    <t>Derek Headley</t>
  </si>
  <si>
    <t>CI-29</t>
  </si>
  <si>
    <t>Create Cert for Multi Cluster Mesh (Istio/Cilium)</t>
  </si>
  <si>
    <t>PR-1022</t>
  </si>
  <si>
    <t>Remove duplicate features DeepRecon and DeepPilot</t>
  </si>
  <si>
    <t>PR-1021</t>
  </si>
  <si>
    <t>DeepRecon Extraction algorithm - Light vs Heavy</t>
  </si>
  <si>
    <t>Q3 2023</t>
  </si>
  <si>
    <t>BACK-161</t>
  </si>
  <si>
    <t>Link work item details to manual checklist item parameters</t>
  </si>
  <si>
    <t>SC-16</t>
  </si>
  <si>
    <t>SOC 2 Type 2 - On-going Program Maintenance</t>
  </si>
  <si>
    <t>Aubrey Merchant-Dest</t>
  </si>
  <si>
    <t>BACK-414</t>
  </si>
  <si>
    <t>Update pydantic to v2 in promethia models</t>
  </si>
  <si>
    <t>FB-2013</t>
  </si>
  <si>
    <t>Increase timeout in FL server to handle long training times</t>
  </si>
  <si>
    <t>ML Rig 2023.16</t>
  </si>
  <si>
    <t>CI-457</t>
  </si>
  <si>
    <t>Instrument Flower Servers with Open Telemetry</t>
  </si>
  <si>
    <t>CI-468</t>
  </si>
  <si>
    <t>Update backup jobs to copy cross region and not cross account</t>
  </si>
  <si>
    <t>BACK-247</t>
  </si>
  <si>
    <t>Run tests against the extractor service as part of rdb-schema builds</t>
  </si>
  <si>
    <t>SC-17</t>
  </si>
  <si>
    <t>Centralized Logging</t>
  </si>
  <si>
    <t>CI-374</t>
  </si>
  <si>
    <t>Monitor Logs in Cognito</t>
  </si>
  <si>
    <t>CI-373</t>
  </si>
  <si>
    <t xml:space="preserve">Mitigate Github 3rd Party Action Security Risks  </t>
  </si>
  <si>
    <t>BACK-217</t>
  </si>
  <si>
    <t>Enhancement to arrays</t>
  </si>
  <si>
    <t>BACK-147</t>
  </si>
  <si>
    <t>Remove the solution_configurations table</t>
  </si>
  <si>
    <t>UI-19</t>
  </si>
  <si>
    <t>Setup Environment to host FIBO &amp; Initial GPT Prototypes</t>
  </si>
  <si>
    <t>Jayson Lewis</t>
  </si>
  <si>
    <t>BACK-419</t>
  </si>
  <si>
    <t>[API] Fix count for GET endpoints with filters</t>
  </si>
  <si>
    <t>CI-427</t>
  </si>
  <si>
    <t>Review Permissions for Argo Workflows</t>
  </si>
  <si>
    <t>UI-61</t>
  </si>
  <si>
    <t>What's Happening Page - Email Traffic in Data section</t>
  </si>
  <si>
    <t>UI-60</t>
  </si>
  <si>
    <t>What's Happening Page - People in Data section</t>
  </si>
  <si>
    <t>UI-59</t>
  </si>
  <si>
    <t>What's Happening Page - Teams in Data section</t>
  </si>
  <si>
    <t>UI-63</t>
  </si>
  <si>
    <t>What's Happening Page - SLA Response Time in Data section</t>
  </si>
  <si>
    <t>UI-62</t>
  </si>
  <si>
    <t>What's Happening Page - Exceptions (Processing) box in Activity section</t>
  </si>
  <si>
    <t>UI-64</t>
  </si>
  <si>
    <t>What's Happening Page - Activity Email Traffic block</t>
  </si>
  <si>
    <t>FB-2001</t>
  </si>
  <si>
    <t>Update Federated Learning Model with a New Training</t>
  </si>
  <si>
    <t>FB-2000</t>
  </si>
  <si>
    <t>Run federated learning on all JPM content_maps once errors are resolved</t>
  </si>
  <si>
    <t>FB-1998</t>
  </si>
  <si>
    <t>Refactor Federated Learning for Master Term List</t>
  </si>
  <si>
    <t>UI-93</t>
  </si>
  <si>
    <t>Process models- Changing the source name is not updating the calculation correctly.</t>
  </si>
  <si>
    <t>BACK-371</t>
  </si>
  <si>
    <t>[DRAFT] Keep history of changes in labels</t>
  </si>
  <si>
    <t>PR-1017</t>
  </si>
  <si>
    <t>Document Generation Workflow - Support of in-progress documents</t>
  </si>
  <si>
    <t>PR-1016</t>
  </si>
  <si>
    <t>DocCrawler Content Group Pairing</t>
  </si>
  <si>
    <t>CI-442</t>
  </si>
  <si>
    <t>Install and configure cert-manager with Vault CA and IstioCSR</t>
  </si>
  <si>
    <t>CI-444</t>
  </si>
  <si>
    <t>Create root and Vault intermediate certificates and import them into Vault</t>
  </si>
  <si>
    <t>CI-441</t>
  </si>
  <si>
    <t>Determine a FQDN/DNS/TLD scheme for our K8s clusters</t>
  </si>
  <si>
    <t>BACK-167</t>
  </si>
  <si>
    <t>Project Scoped Document Annotation Endpoint Should Not Be Deprecated</t>
  </si>
  <si>
    <t>CI-371</t>
  </si>
  <si>
    <t>Allow adding multiple tags to base images</t>
  </si>
  <si>
    <t>UI-67</t>
  </si>
  <si>
    <t>Cognito Gets Invoked Three Times on Login</t>
  </si>
  <si>
    <t>CI-633</t>
  </si>
  <si>
    <t>How to structure Payload to Handle Proper Project Driven Scopes</t>
  </si>
  <si>
    <t>BACK-210</t>
  </si>
  <si>
    <t>Include Role/Permissions info to UI</t>
  </si>
  <si>
    <t>CI-350</t>
  </si>
  <si>
    <t>[Spike] How should we handle service to service communication in the context of RBAC.</t>
  </si>
  <si>
    <t>CI-347</t>
  </si>
  <si>
    <t>Update the pre-token lambda generator to leverage the RBAC Services API</t>
  </si>
  <si>
    <t>CI-348</t>
  </si>
  <si>
    <t xml:space="preserve">Implement the RBAC API Service </t>
  </si>
  <si>
    <t>CI-351</t>
  </si>
  <si>
    <t>Scaffold the RBAC Service API Repository and CI/CD</t>
  </si>
  <si>
    <t>CI-388</t>
  </si>
  <si>
    <t>Define the API Contract for the RBAC Service API</t>
  </si>
  <si>
    <t>UI-50</t>
  </si>
  <si>
    <t xml:space="preserve">Checklist item Calculation Safeguards </t>
  </si>
  <si>
    <t>CI-394</t>
  </si>
  <si>
    <t>Fix non-admin cluster access roles in terraform/elsewhere</t>
  </si>
  <si>
    <t>FB-1990</t>
  </si>
  <si>
    <t>Multi-Model Instance AWS Reconfiguration</t>
  </si>
  <si>
    <t>BACK-172</t>
  </si>
  <si>
    <t>Add Term to Group Breaks new content map docs if added between existing terms</t>
  </si>
  <si>
    <t>FB-1988</t>
  </si>
  <si>
    <t>Document Keeps Failing in ML Pipeline</t>
  </si>
  <si>
    <t>BACK-402</t>
  </si>
  <si>
    <t>[SPIKE] Human in the loop</t>
  </si>
  <si>
    <t>BACK-358</t>
  </si>
  <si>
    <t>API Wrapper for the table extraction</t>
  </si>
  <si>
    <t>CI-449</t>
  </si>
  <si>
    <t>[SPIKE] Securely store decision logs from OPA</t>
  </si>
  <si>
    <t>CI-450</t>
  </si>
  <si>
    <t>Integrate Dynamic Admission Webhooks for OPA</t>
  </si>
  <si>
    <t>CI-446</t>
  </si>
  <si>
    <t>[Spike] How to effectively test Terraform</t>
  </si>
  <si>
    <t>BACK-209</t>
  </si>
  <si>
    <t>Use RBAC for Get Projects</t>
  </si>
  <si>
    <t>FB-1980</t>
  </si>
  <si>
    <t>Bug when running create_dataset API</t>
  </si>
  <si>
    <t>SC-15</t>
  </si>
  <si>
    <t>Customer-data &lt;&gt; Infrastructure for SIEM</t>
  </si>
  <si>
    <t>BACK-214</t>
  </si>
  <si>
    <t>Create Prediction API to support Predictions from multiple sources</t>
  </si>
  <si>
    <t>CI-261</t>
  </si>
  <si>
    <t>Integrate with Accenture Single Sign On In Barclay's Environment</t>
  </si>
  <si>
    <t>InfraRig 2023.10</t>
  </si>
  <si>
    <t>CI-614</t>
  </si>
  <si>
    <t>RBAC - Processor role can edit checklist and save (but not publish)</t>
  </si>
  <si>
    <t>UI-66</t>
  </si>
  <si>
    <t>Don't Show Projects that user doesn't have access to</t>
  </si>
  <si>
    <t>BACK-229</t>
  </si>
  <si>
    <t>Add a service status endpoint</t>
  </si>
  <si>
    <t>BACK-354</t>
  </si>
  <si>
    <t>Port the table extraction from Java Preprocessor to Argo Workflow</t>
  </si>
  <si>
    <t>FB-1977</t>
  </si>
  <si>
    <t>Issues Noticed with Current Model (jpm prod deployed 7/10)</t>
  </si>
  <si>
    <t>ML Rig 2023.15</t>
  </si>
  <si>
    <t>UI-115</t>
  </si>
  <si>
    <t>Handle adding to dataset actors with aliases</t>
  </si>
  <si>
    <t>BACK-137</t>
  </si>
  <si>
    <t>Add Structured Mapping Expressions to Term Group export</t>
  </si>
  <si>
    <t>BACK-204</t>
  </si>
  <si>
    <t>Improve Download Report Format</t>
  </si>
  <si>
    <t>PABE 8</t>
  </si>
  <si>
    <t>PR-1011</t>
  </si>
  <si>
    <t>Model retraining</t>
  </si>
  <si>
    <t>CI-276</t>
  </si>
  <si>
    <t>Accenture implementation SSO and UAT</t>
  </si>
  <si>
    <t>BACK-401</t>
  </si>
  <si>
    <t>Handle duplicated MESSAGE-ID in preprocessor</t>
  </si>
  <si>
    <t>CI-447</t>
  </si>
  <si>
    <t>AWS Secrets Revealed in Response</t>
  </si>
  <si>
    <t>CI-448</t>
  </si>
  <si>
    <t xml:space="preserve">Username Enumeration </t>
  </si>
  <si>
    <t>CI-465</t>
  </si>
  <si>
    <t>SSH Weak Key Exchange Algorithms Enabled</t>
  </si>
  <si>
    <t>CI-464</t>
  </si>
  <si>
    <t>HSTS Missing From HTTPS Server (RFC 6797)</t>
  </si>
  <si>
    <t>BACK-388</t>
  </si>
  <si>
    <t>[Continuous data ingestion]Understand and fix the problem with cron job not being closed after the task is finished</t>
  </si>
  <si>
    <t>BACK-208</t>
  </si>
  <si>
    <t>Remove Deprecated APIs</t>
  </si>
  <si>
    <t>BACK-370</t>
  </si>
  <si>
    <t>Expose API for domain</t>
  </si>
  <si>
    <t>CI-370</t>
  </si>
  <si>
    <t>Add Performance Bench Marking to the OPA Policy Workflows</t>
  </si>
  <si>
    <t>CI-367</t>
  </si>
  <si>
    <t>Sign the OPA Policy Bundles</t>
  </si>
  <si>
    <t>Jarom Huntsman</t>
  </si>
  <si>
    <t>InfraRig 2023.12</t>
  </si>
  <si>
    <t>FB-1972</t>
  </si>
  <si>
    <t>Generate Annotation Inconsistency summary for jpm</t>
  </si>
  <si>
    <t>ML Rig 2023.14</t>
  </si>
  <si>
    <t>FB-1970</t>
  </si>
  <si>
    <t>Option to skip the preprocessing step when running the training pipeline</t>
  </si>
  <si>
    <t>FB-1969</t>
  </si>
  <si>
    <t>Make sure federated learning works with Multi-GPU training</t>
  </si>
  <si>
    <t>BACK-342</t>
  </si>
  <si>
    <t>Give each actor a role (custodian, bank, asset management, pension fund, hedge fund , etc...)</t>
  </si>
  <si>
    <t>PR-1010</t>
  </si>
  <si>
    <t>Continuous process automation opportunities</t>
  </si>
  <si>
    <t>PR-1009</t>
  </si>
  <si>
    <t>DeepRecon Pre-Accenture go-live upgrades</t>
  </si>
  <si>
    <t>CI-419</t>
  </si>
  <si>
    <t>Turn on Kyverno Image Policy Enforcement</t>
  </si>
  <si>
    <t>CI-420</t>
  </si>
  <si>
    <t>Gap Analysis Unsigned Images</t>
  </si>
  <si>
    <t>CI-475</t>
  </si>
  <si>
    <t>Deploy Kyverno In Audit Mode to K8s</t>
  </si>
  <si>
    <t>BACK-136</t>
  </si>
  <si>
    <t>Update builds to use shared docker image build action</t>
  </si>
  <si>
    <t>UI-58</t>
  </si>
  <si>
    <t>What's Happening View from DeepGraph</t>
  </si>
  <si>
    <t>CI-277</t>
  </si>
  <si>
    <t>Configure Various Infrastructure Components</t>
  </si>
  <si>
    <t>CI-463</t>
  </si>
  <si>
    <t>[Mulesoft] Create a Mechanism To Share SFTP Credentials</t>
  </si>
  <si>
    <t>BACK-187</t>
  </si>
  <si>
    <t>Enable Public API Documentation</t>
  </si>
  <si>
    <t>FB-1962</t>
  </si>
  <si>
    <t xml:space="preserve">Add a Term to a Term Group will cause failed doc uploads to content maps. </t>
  </si>
  <si>
    <t>CI-428</t>
  </si>
  <si>
    <t>Clickjacking</t>
  </si>
  <si>
    <t>CI-429</t>
  </si>
  <si>
    <t>SSL Certificate Cannot Be Trusted</t>
  </si>
  <si>
    <t>CI-586</t>
  </si>
  <si>
    <t>Upgrade Aurora DB Cluster</t>
  </si>
  <si>
    <t>FB-1958</t>
  </si>
  <si>
    <t>302963 - Incorrect extraction from Payment at Maturity paragraph</t>
  </si>
  <si>
    <t>FB-1956</t>
  </si>
  <si>
    <t>Add clustering stats to determine similarly grouped documents</t>
  </si>
  <si>
    <t>FB-2064</t>
  </si>
  <si>
    <t>ML workflow - review challenge updates</t>
  </si>
  <si>
    <t>PR-999</t>
  </si>
  <si>
    <t>Supporting Multi-Region HA and Failover</t>
  </si>
  <si>
    <t>CI-353</t>
  </si>
  <si>
    <t>Operationalize New Tenant Model Creation</t>
  </si>
  <si>
    <t>BACK-197</t>
  </si>
  <si>
    <t>Modify Work Items API to only accept and return a single comment in feedback</t>
  </si>
  <si>
    <t>FB-1950</t>
  </si>
  <si>
    <t>Many Deals Failing to Extract</t>
  </si>
  <si>
    <t>ML Rig 2023.13</t>
  </si>
  <si>
    <t>FB-1948</t>
  </si>
  <si>
    <t>tokens extracting out of order</t>
  </si>
  <si>
    <t>BACK-373</t>
  </si>
  <si>
    <t>[Continuous data ingestion] Register data required for lineage visualisation</t>
  </si>
  <si>
    <t>FB-1943</t>
  </si>
  <si>
    <t>deepseeai/mlp:pyproject.toml - Remote Code Execution (RCE) in reportlab</t>
  </si>
  <si>
    <t>BACK-191</t>
  </si>
  <si>
    <t>Prevent invalid document processing status transitions</t>
  </si>
  <si>
    <t>BACK-377</t>
  </si>
  <si>
    <t>Wireframe(s) for contact master</t>
  </si>
  <si>
    <t>UI-103</t>
  </si>
  <si>
    <t>[UI] Integrate with defensive annotation API responses</t>
  </si>
  <si>
    <t>BACK-297</t>
  </si>
  <si>
    <t xml:space="preserve">Manage and merge proposals </t>
  </si>
  <si>
    <t>UI-102</t>
  </si>
  <si>
    <t>[UI] List proposal and approval UI</t>
  </si>
  <si>
    <t>UI-100</t>
  </si>
  <si>
    <t>[UI] Let Users Create Content Maps</t>
  </si>
  <si>
    <t>BACK-309</t>
  </si>
  <si>
    <t>License Management Service</t>
  </si>
  <si>
    <t>BACK-311</t>
  </si>
  <si>
    <t>Manually Manage Licenses</t>
  </si>
  <si>
    <t>BACK-306</t>
  </si>
  <si>
    <t>Create Checklists from Scratch</t>
  </si>
  <si>
    <t>BACK-318</t>
  </si>
  <si>
    <t>Clone and edit existing checklists</t>
  </si>
  <si>
    <t>BACK-317</t>
  </si>
  <si>
    <t>POC Generate PDF</t>
  </si>
  <si>
    <t>BACK-294</t>
  </si>
  <si>
    <t>Show PDF Differences</t>
  </si>
  <si>
    <t>UI-101</t>
  </si>
  <si>
    <t>[UI] Support Generating PDF</t>
  </si>
  <si>
    <t>UI-21</t>
  </si>
  <si>
    <t>[UI] Make certain stencils tenant-specific</t>
  </si>
  <si>
    <t>UI-98</t>
  </si>
  <si>
    <t>[UI] Consume Company House Data</t>
  </si>
  <si>
    <t>BACK-188</t>
  </si>
  <si>
    <t>Identify and Normalize European Date Formats</t>
  </si>
  <si>
    <t>CI-568</t>
  </si>
  <si>
    <t>Update Backup Module In Terraform to Store Backups In Multiple Regions</t>
  </si>
  <si>
    <t>BACK-404</t>
  </si>
  <si>
    <t>Wireframe(s) for the domain configuration page</t>
  </si>
  <si>
    <t>Desiree Silva</t>
  </si>
  <si>
    <t>BACK-219</t>
  </si>
  <si>
    <t>[UI] Process Model Test Suite</t>
  </si>
  <si>
    <t>BACK-221</t>
  </si>
  <si>
    <t>Use confidence level in Process Model</t>
  </si>
  <si>
    <t>BACK-175</t>
  </si>
  <si>
    <t>Improve Work Item Processing &amp; Management Scale</t>
  </si>
  <si>
    <t>BACK-213</t>
  </si>
  <si>
    <t>Merge predictions and feedback so that they can all be used by DeepRecon AND DeepPilot</t>
  </si>
  <si>
    <t>PR-937</t>
  </si>
  <si>
    <t>D3O - MVP</t>
  </si>
  <si>
    <t>PR-936</t>
  </si>
  <si>
    <t>Templates Live - Insurance Application Review</t>
  </si>
  <si>
    <t>Q3 2024</t>
  </si>
  <si>
    <t>PR-933</t>
  </si>
  <si>
    <t>Record De-duplication</t>
  </si>
  <si>
    <t>Q2 2024</t>
  </si>
  <si>
    <t>PR-932</t>
  </si>
  <si>
    <t>Term and/or Clause Variance</t>
  </si>
  <si>
    <t>PR-931</t>
  </si>
  <si>
    <t>Web Query</t>
  </si>
  <si>
    <t>UI-119</t>
  </si>
  <si>
    <t>A4A user UI</t>
  </si>
  <si>
    <t>PR-929</t>
  </si>
  <si>
    <t>AI Generated Response</t>
  </si>
  <si>
    <t>PR-928</t>
  </si>
  <si>
    <t>Auto-Complete for Anything - Semantic Searching</t>
  </si>
  <si>
    <t>PR-927</t>
  </si>
  <si>
    <t>Term Creation and Structure Controls</t>
  </si>
  <si>
    <t>PR-926</t>
  </si>
  <si>
    <t>Symphony Integration</t>
  </si>
  <si>
    <t>PR-925</t>
  </si>
  <si>
    <t>Generic Chat Integration</t>
  </si>
  <si>
    <t>PR-924</t>
  </si>
  <si>
    <t>User Interface for DIG</t>
  </si>
  <si>
    <t>PR-923</t>
  </si>
  <si>
    <t>Ontology Insight Workflow - Alerts and Comments</t>
  </si>
  <si>
    <t>PR-922</t>
  </si>
  <si>
    <t>Predictions</t>
  </si>
  <si>
    <t>PR-921</t>
  </si>
  <si>
    <t>User-Customizable Dashboards in DeepSee View</t>
  </si>
  <si>
    <t>PR-920</t>
  </si>
  <si>
    <t>Templates Live - Sanctions Screening</t>
  </si>
  <si>
    <t>PR-919</t>
  </si>
  <si>
    <t>Handling of incorrectly sent content</t>
  </si>
  <si>
    <t>BACK-460</t>
  </si>
  <si>
    <t>Apply LLM to DeepSee Knowledge Base to address broad A4A</t>
  </si>
  <si>
    <t>PR-917</t>
  </si>
  <si>
    <t>Attachment Processing without prior separation</t>
  </si>
  <si>
    <t>PR-916</t>
  </si>
  <si>
    <t>Cloud Agnostic - Multi-Quarter Project</t>
  </si>
  <si>
    <t>PR-915</t>
  </si>
  <si>
    <t>FILBERT Expansion</t>
  </si>
  <si>
    <t>PR-914</t>
  </si>
  <si>
    <t>Sampling and Decoding Techniques</t>
  </si>
  <si>
    <t>FB-2337</t>
  </si>
  <si>
    <t>Training and Fine-Tuning</t>
  </si>
  <si>
    <t>PR-912</t>
  </si>
  <si>
    <t>Model Integration</t>
  </si>
  <si>
    <t>BACK-459</t>
  </si>
  <si>
    <t>Data Generation for Input Prompts</t>
  </si>
  <si>
    <t>FB-2336</t>
  </si>
  <si>
    <t>Generative Language Model (Transformer)</t>
  </si>
  <si>
    <t>PR-905</t>
  </si>
  <si>
    <t>ISO/SOC 2 - ISMS Priorities</t>
  </si>
  <si>
    <t>PR-904</t>
  </si>
  <si>
    <t>Query External Systems</t>
  </si>
  <si>
    <t>PR-903</t>
  </si>
  <si>
    <t>Disaster Recovery</t>
  </si>
  <si>
    <t>PR-902</t>
  </si>
  <si>
    <t>High Availability</t>
  </si>
  <si>
    <t>PR-901</t>
  </si>
  <si>
    <t>Templates Live - Client Record Review</t>
  </si>
  <si>
    <t>PR-900</t>
  </si>
  <si>
    <t>Federated Model</t>
  </si>
  <si>
    <t>PR-899</t>
  </si>
  <si>
    <t>Customers can execute a DeepPilot Template from DeepRecon Systematically</t>
  </si>
  <si>
    <t>PR-898</t>
  </si>
  <si>
    <t>Document flow and states</t>
  </si>
  <si>
    <t>PR-897</t>
  </si>
  <si>
    <t>PR-896</t>
  </si>
  <si>
    <t>SOC II Type II - Kickoff and Progress</t>
  </si>
  <si>
    <t>PR-894</t>
  </si>
  <si>
    <t>Data Integration Gateway v1</t>
  </si>
  <si>
    <t>PR-892</t>
  </si>
  <si>
    <t>User Regression Testing</t>
  </si>
  <si>
    <t>PR-891</t>
  </si>
  <si>
    <t>Equivalent Values</t>
  </si>
  <si>
    <t>PR-890</t>
  </si>
  <si>
    <t>FILBERT Pipeline  Regression Testing</t>
  </si>
  <si>
    <t>PR-889</t>
  </si>
  <si>
    <t>Create a Templated Email/Report - MVP</t>
  </si>
  <si>
    <t>PR-888</t>
  </si>
  <si>
    <t>DeepRecon - Process Variation UI</t>
  </si>
  <si>
    <t>PR-887</t>
  </si>
  <si>
    <t>DeepRecon - Real-time model categorization results</t>
  </si>
  <si>
    <t>PR-886</t>
  </si>
  <si>
    <t>Insights from DeepGraph - Without Ontology production with what is developed</t>
  </si>
  <si>
    <t>PR-885</t>
  </si>
  <si>
    <t>Insights from DeepGraph - Ontology</t>
  </si>
  <si>
    <t>PR-884</t>
  </si>
  <si>
    <t>Home UI aka Circle of Life</t>
  </si>
  <si>
    <t>PR-883</t>
  </si>
  <si>
    <t>Templates Live - OTC Confirmation, OTC Affirmation, Trade Allocation, SSI Validation, Payment Validation</t>
  </si>
  <si>
    <t>PR-880</t>
  </si>
  <si>
    <t>Change workflow, proposals, and approvals</t>
  </si>
  <si>
    <t>PR-879</t>
  </si>
  <si>
    <t>HITL from Workflow Improvements</t>
  </si>
  <si>
    <t>PR-878</t>
  </si>
  <si>
    <t>Ensuring multiple users don't overwrite each other</t>
  </si>
  <si>
    <t>PR-877</t>
  </si>
  <si>
    <t>Drafting Template Features</t>
  </si>
  <si>
    <t>PR-876</t>
  </si>
  <si>
    <t>Building Safe Guard for the ML Models - Moving towards user triggered training</t>
  </si>
  <si>
    <t>PR-875</t>
  </si>
  <si>
    <t>Training Data Augmentation to deliver model accuracy and support non-standard responses.</t>
  </si>
  <si>
    <t>PR-874</t>
  </si>
  <si>
    <t>Template Email and Document Output</t>
  </si>
  <si>
    <t>PR-873</t>
  </si>
  <si>
    <t>DeepPilot Pre-Defined Reports</t>
  </si>
  <si>
    <t>BACK-461</t>
  </si>
  <si>
    <t>Autocomplete for Anything (A4A) Pre-Processing and Parsing Engine</t>
  </si>
  <si>
    <t>PR-868</t>
  </si>
  <si>
    <t>ML Pipeline Re-Work</t>
  </si>
  <si>
    <t>PR-866</t>
  </si>
  <si>
    <t>Display In-line exception context For DeepPilot</t>
  </si>
  <si>
    <t>PR-865</t>
  </si>
  <si>
    <t>RBAC enhancements</t>
  </si>
  <si>
    <t>PR-864</t>
  </si>
  <si>
    <t>ML Governance Documents</t>
  </si>
  <si>
    <t>PR-863</t>
  </si>
  <si>
    <t>AI TRiSM Visualization</t>
  </si>
  <si>
    <t>PR-860</t>
  </si>
  <si>
    <t>What's Happening View from DeepView</t>
  </si>
  <si>
    <t>PR-859</t>
  </si>
  <si>
    <t>Pre-Defined Dashboards</t>
  </si>
  <si>
    <t>PR-857</t>
  </si>
  <si>
    <t>DIG - Data Feed Ingestion Phase II</t>
  </si>
  <si>
    <t>PR-856</t>
  </si>
  <si>
    <t>Semantic Search of KnowledgeGraph</t>
  </si>
  <si>
    <t>PR-855</t>
  </si>
  <si>
    <t>Templates Live - Onboarding</t>
  </si>
  <si>
    <t>PR-854</t>
  </si>
  <si>
    <t>DIY Template</t>
  </si>
  <si>
    <t>PR-853</t>
  </si>
  <si>
    <t>Data Lineage Visualization</t>
  </si>
  <si>
    <t>PR-851</t>
  </si>
  <si>
    <t>Maintaining a production and testing version of the process model and FIBERT models</t>
  </si>
  <si>
    <t>PR-850</t>
  </si>
  <si>
    <t>Improve integration with Templates and DeepRecon</t>
  </si>
  <si>
    <t>PR-849</t>
  </si>
  <si>
    <t>Templates - Enhancements and refinements discovered during migration</t>
  </si>
  <si>
    <t>BACK-216</t>
  </si>
  <si>
    <t>Update Rules for how Feedback is used for Training</t>
  </si>
  <si>
    <t>BACK-196</t>
  </si>
  <si>
    <t>Archive Work Items</t>
  </si>
  <si>
    <t>BACK-194</t>
  </si>
  <si>
    <t>Add safeguards to prevent dangerous calculation expressions</t>
  </si>
  <si>
    <t>UI-70</t>
  </si>
  <si>
    <t>CLONE - Return matching and mismatching values on Array comparison</t>
  </si>
  <si>
    <t>CI-356</t>
  </si>
  <si>
    <t>[SPIKE]  Figure out why Flower is not working with Istio</t>
  </si>
  <si>
    <t>BACK-145</t>
  </si>
  <si>
    <t>[TECH] Execute Integration tests against INT on PR</t>
  </si>
  <si>
    <t>BACK-193</t>
  </si>
  <si>
    <t>Consolidate Term Definitions across Tenants</t>
  </si>
  <si>
    <t>BACK-407</t>
  </si>
  <si>
    <t>[Foundational Architecture] Tilt scripts and instructions for Windows users</t>
  </si>
  <si>
    <t>BACK-218</t>
  </si>
  <si>
    <t>Return matching and mismatching values on Array comparison</t>
  </si>
  <si>
    <t>FB-1938</t>
  </si>
  <si>
    <t>Some Unstructured Content Map Documents Failed</t>
  </si>
  <si>
    <t>FB-1937</t>
  </si>
  <si>
    <t>Evaluation fails for association for missing subgroups.</t>
  </si>
  <si>
    <t>ML Rig 2023.11</t>
  </si>
  <si>
    <t>BACK-220</t>
  </si>
  <si>
    <t>Enable Normalization Testing</t>
  </si>
  <si>
    <t>FB-1935</t>
  </si>
  <si>
    <t xml:space="preserve">ING - test documents did not extract some values annotated in similar training examples </t>
  </si>
  <si>
    <t>BACK-365</t>
  </si>
  <si>
    <t>[SPLIT] Create user managment in backend</t>
  </si>
  <si>
    <t>BACK-366</t>
  </si>
  <si>
    <t>[Foundational architecture] Create E2E tests with tilt for promethia__workflows</t>
  </si>
  <si>
    <t>PRM Sprint 26 [Where Maciej]</t>
  </si>
  <si>
    <t>BACK-200</t>
  </si>
  <si>
    <t>Lookups - The lookup with the same name cannot be created for different project</t>
  </si>
  <si>
    <t>FB-1924</t>
  </si>
  <si>
    <t>Training Data Seems out of sync with UI/Database</t>
  </si>
  <si>
    <t>PR-838</t>
  </si>
  <si>
    <t>Cost Allocation Across Tenants</t>
  </si>
  <si>
    <t>CI-368</t>
  </si>
  <si>
    <t>Trigger Pre-Processing and Training Pipelines From Automation</t>
  </si>
  <si>
    <t>PR-837</t>
  </si>
  <si>
    <t>MLOPs and Build Processes</t>
  </si>
  <si>
    <t>CI-630</t>
  </si>
  <si>
    <t>[SPIKE] Determine Solution for PAM Across our Infrastructure</t>
  </si>
  <si>
    <t>BACK-130</t>
  </si>
  <si>
    <t>Technical Enablement and Technical Debt Bucket for Process Automation Back End Team</t>
  </si>
  <si>
    <t>BACK-390</t>
  </si>
  <si>
    <t>Create workflow for actor challenges</t>
  </si>
  <si>
    <t>BACK-367</t>
  </si>
  <si>
    <t>Create ML workflow for autolabelling</t>
  </si>
  <si>
    <t>FB-1915</t>
  </si>
  <si>
    <t>Allocation Subgroup Split to Two</t>
  </si>
  <si>
    <t>UI-83</t>
  </si>
  <si>
    <t>[UI] Stencil to grab day/month/year from a date term</t>
  </si>
  <si>
    <t>UI-88</t>
  </si>
  <si>
    <t>[UI] Checklist Item Name unable to match Checklist Group Name</t>
  </si>
  <si>
    <t>CI-339</t>
  </si>
  <si>
    <t>[Spike] Determine a test to understand when services are back up and running as expected</t>
  </si>
  <si>
    <t>CI-340</t>
  </si>
  <si>
    <t>[Spike] FInd a Tool to QA Data Backups</t>
  </si>
  <si>
    <t>CI-336</t>
  </si>
  <si>
    <t>[Spike] Estimate cost implications of automated backup recovery process</t>
  </si>
  <si>
    <t>CI-337</t>
  </si>
  <si>
    <t>Replicate KMS keys into secondary region</t>
  </si>
  <si>
    <t>CI-343</t>
  </si>
  <si>
    <t>Update to Allow Multiple Region Capabilities</t>
  </si>
  <si>
    <t>FB-2321</t>
  </si>
  <si>
    <t>MLRig Q2 Tech Debt</t>
  </si>
  <si>
    <t>BACK-184</t>
  </si>
  <si>
    <t>[BE] Ensure that creating equivalencies with only numerical values is restricted.</t>
  </si>
  <si>
    <t>BACK-198</t>
  </si>
  <si>
    <t>Broken Pipe on "long running" API calls</t>
  </si>
  <si>
    <t>FB-1901</t>
  </si>
  <si>
    <t>Raise Error for Model Pushed with Wrong Type</t>
  </si>
  <si>
    <t>CI-601</t>
  </si>
  <si>
    <t>Disable oas_api creation in tenant terraform</t>
  </si>
  <si>
    <t>FB-1895</t>
  </si>
  <si>
    <t>Failing term_extraction due to incorrect type for Negative Prediction Modifier variable</t>
  </si>
  <si>
    <t>CI-545</t>
  </si>
  <si>
    <t>Test if we can classify deployments so Jira knows what metrics are what</t>
  </si>
  <si>
    <t>FB-1889</t>
  </si>
  <si>
    <t>[Tech Debt] Smooth debugging for prediction-middlware lambda</t>
  </si>
  <si>
    <t>FB-1888</t>
  </si>
  <si>
    <t>Write test cases for not making any predictions</t>
  </si>
  <si>
    <t>BACK-428</t>
  </si>
  <si>
    <t>Messages which generate broken fallbacks</t>
  </si>
  <si>
    <t>CI-369</t>
  </si>
  <si>
    <t>Enforce Egress Policies for Tenants</t>
  </si>
  <si>
    <t>FB-1881</t>
  </si>
  <si>
    <t>[Tech Debt] Move rule based association pytests from mlp repo to mlrig repo</t>
  </si>
  <si>
    <t>BACK-222</t>
  </si>
  <si>
    <t>Override Pass/Fail if Term confidence is below a certain threshold</t>
  </si>
  <si>
    <t>BACK-156</t>
  </si>
  <si>
    <t>Store date terms as String in Context</t>
  </si>
  <si>
    <t>FB-1874</t>
  </si>
  <si>
    <t>Confirm Plan to Host Multiple Model Endpoints Per Tenant</t>
  </si>
  <si>
    <t>UI-92</t>
  </si>
  <si>
    <t>[UI]Add a validation to check the maximum and minimum length of the checklist Label.</t>
  </si>
  <si>
    <t>UI-90</t>
  </si>
  <si>
    <t>[UI] ChecklistItems- User can't delete the last remaining checklist item.</t>
  </si>
  <si>
    <t>FB-1864</t>
  </si>
  <si>
    <t xml:space="preserve">Automatically Create Preprocessing Training and Eval Endpoints </t>
  </si>
  <si>
    <t>CI-382</t>
  </si>
  <si>
    <t>Develope a Process to Restore Persistant Volume Snapshots Across AWS Accounts</t>
  </si>
  <si>
    <t>FB-1863</t>
  </si>
  <si>
    <t>Building error stemming from mlops and bros_model refering to each other</t>
  </si>
  <si>
    <t>CI-580</t>
  </si>
  <si>
    <t>Add client app for messages</t>
  </si>
  <si>
    <t>FB-1850</t>
  </si>
  <si>
    <t xml:space="preserve">Remove Data Validation from Inference Step Function </t>
  </si>
  <si>
    <t>FB-1849</t>
  </si>
  <si>
    <t>Clean Up Unused Config Files from DB and Repos</t>
  </si>
  <si>
    <t>CI-519</t>
  </si>
  <si>
    <t>Automate Open VPN</t>
  </si>
  <si>
    <t>SC-13</t>
  </si>
  <si>
    <t>Add a set of base images for docker</t>
  </si>
  <si>
    <t>CI-514</t>
  </si>
  <si>
    <t>Integrate Security scanning for containers into deployment pipeline</t>
  </si>
  <si>
    <t>UI-48</t>
  </si>
  <si>
    <t>[UI] Blockly Term Input - Provide a search option for terms</t>
  </si>
  <si>
    <t>PAUI Sprint 6</t>
  </si>
  <si>
    <t>CI-548</t>
  </si>
  <si>
    <t>Remove custom error pages in cloudfront</t>
  </si>
  <si>
    <t>FB-1842</t>
  </si>
  <si>
    <t xml:space="preserve"> Metrics Captured for End-to-End MLOps - Entity Association </t>
  </si>
  <si>
    <t>CI-379</t>
  </si>
  <si>
    <t>Moving Backups To Cold Storage</t>
  </si>
  <si>
    <t>FB-1839</t>
  </si>
  <si>
    <t>Consistent model names</t>
  </si>
  <si>
    <t>FB-1835</t>
  </si>
  <si>
    <t>Option to Manually Allow Process Config</t>
  </si>
  <si>
    <t>CI-407</t>
  </si>
  <si>
    <t>IMPROVEMENT: More dynamic configuration of Tenant Config for mlops sync hooks</t>
  </si>
  <si>
    <t>CI-383</t>
  </si>
  <si>
    <t>Refactor backup monitoring to allow multi-region</t>
  </si>
  <si>
    <t>CI-381</t>
  </si>
  <si>
    <t>Remove mlflow asset backups from tenant terraform</t>
  </si>
  <si>
    <t>FB-1828</t>
  </si>
  <si>
    <t>Add ability to call prediction middleware lambda from mlp</t>
  </si>
  <si>
    <t>ML Rig 2023.5</t>
  </si>
  <si>
    <t>FB-1825</t>
  </si>
  <si>
    <t>deepseeai/mlrig-mlops-pipeline - Cross-site Scripting (XSS)</t>
  </si>
  <si>
    <t>CI-595</t>
  </si>
  <si>
    <t xml:space="preserve">Build out Process Auitomation for ING Tenant </t>
  </si>
  <si>
    <t>CI-456</t>
  </si>
  <si>
    <t>[SPIKE] Ensure services are refreshed when new configuration is deployed</t>
  </si>
  <si>
    <t>CI-458</t>
  </si>
  <si>
    <t>[SPIKE] multi-cluster ISTIO deployment</t>
  </si>
  <si>
    <t>CI-454</t>
  </si>
  <si>
    <t>Enable Client Usage Metrics on Vault</t>
  </si>
  <si>
    <t>FB-1822</t>
  </si>
  <si>
    <t>Update prediction middleware to handle extraction for entity association</t>
  </si>
  <si>
    <t>ML Rig 2023.6</t>
  </si>
  <si>
    <t>CI-395</t>
  </si>
  <si>
    <t>Investigate and Implement WAF Managed Rule Groups</t>
  </si>
  <si>
    <t>CI-387</t>
  </si>
  <si>
    <t>Unnecessary and Unused Policies Are Removed From AWS</t>
  </si>
  <si>
    <t>CI-386</t>
  </si>
  <si>
    <t xml:space="preserve">Integrate Groups From Azure AD Into AWS </t>
  </si>
  <si>
    <t>CI-352</t>
  </si>
  <si>
    <t>Define System Level Roles and Groups For Access Through Azure</t>
  </si>
  <si>
    <t>CI-393</t>
  </si>
  <si>
    <t>Tenant Level Alerts For SLO Violations</t>
  </si>
  <si>
    <t>FB-1808</t>
  </si>
  <si>
    <t>Use API instead of accessing the database directly</t>
  </si>
  <si>
    <t>BACK-139</t>
  </si>
  <si>
    <t>Add appropriated licenses to our distribution bundle for open source licenses in use</t>
  </si>
  <si>
    <t>CI-392</t>
  </si>
  <si>
    <t>Alerting Configured Across Kubernetes Infrastructure</t>
  </si>
  <si>
    <t>CI-397</t>
  </si>
  <si>
    <t>Tenant Level Metrics  for All Tenants</t>
  </si>
  <si>
    <t>InfraRig 2023.4</t>
  </si>
  <si>
    <t>CI-396</t>
  </si>
  <si>
    <t>Tenant Level Logs For Services Running In Our System</t>
  </si>
  <si>
    <t>CI-270</t>
  </si>
  <si>
    <t>Operational Health Dashboards in Datadog</t>
  </si>
  <si>
    <t>InfraRig 2023.2</t>
  </si>
  <si>
    <t>CI-405</t>
  </si>
  <si>
    <t>[SPIKE] Research and Define a Financial Model For Logging</t>
  </si>
  <si>
    <t>FB-1807</t>
  </si>
  <si>
    <t>Coordinate PR vs Merge Tests</t>
  </si>
  <si>
    <t>FB-1806</t>
  </si>
  <si>
    <t>Fix WorkFlow File bros_token_classifier-pipeline.build-on-push.yml</t>
  </si>
  <si>
    <t>CI-583</t>
  </si>
  <si>
    <t>[Spike] Research cost implications of Active Standby</t>
  </si>
  <si>
    <t>InfraRig 2023.1</t>
  </si>
  <si>
    <t>FB-1805</t>
  </si>
  <si>
    <t xml:space="preserve">Update Model Metrics for Multiple Customers </t>
  </si>
  <si>
    <t>FB-1804</t>
  </si>
  <si>
    <t>Identify Noisy Neighbors</t>
  </si>
  <si>
    <t>FB-1803</t>
  </si>
  <si>
    <t xml:space="preserve">Integrate Federated Learning into Different Environments </t>
  </si>
  <si>
    <t>ML Rig 2023.10</t>
  </si>
  <si>
    <t>CI-628</t>
  </si>
  <si>
    <t xml:space="preserve">Formalizing an automated approval process for granting credentials </t>
  </si>
  <si>
    <t>CI-518</t>
  </si>
  <si>
    <t>Regional Failover Test (Research Task)</t>
  </si>
  <si>
    <t>FB-1797</t>
  </si>
  <si>
    <t>Allow Entity Association to Skip Over Gaps</t>
  </si>
  <si>
    <t>ML Rig 2023.9</t>
  </si>
  <si>
    <t>BACK-346</t>
  </si>
  <si>
    <t>Self healing mechanism for Fallback messages</t>
  </si>
  <si>
    <t>FB-1790</t>
  </si>
  <si>
    <t>Adjusting windows to include the option of sliding window</t>
  </si>
  <si>
    <t>FB-1789</t>
  </si>
  <si>
    <t>Adjusting windows based on term extraction bounding boxes</t>
  </si>
  <si>
    <t>FB-2325</t>
  </si>
  <si>
    <t>Pipeline Hardening - Q2 2023</t>
  </si>
  <si>
    <t>FB-1787</t>
  </si>
  <si>
    <t>Update preprocessing step to handle entity association model</t>
  </si>
  <si>
    <t>CI-391</t>
  </si>
  <si>
    <t>enforce jira key in commit message - github</t>
  </si>
  <si>
    <t>FB-1784</t>
  </si>
  <si>
    <t xml:space="preserve">Preprocess annotations from DB to a format needed for Bros Entity Association model </t>
  </si>
  <si>
    <t>FB-1778</t>
  </si>
  <si>
    <t>Better error message if pipeline fails because document is blank</t>
  </si>
  <si>
    <t>FB-1776</t>
  </si>
  <si>
    <t>Easy debugging from prediction middleware</t>
  </si>
  <si>
    <t>BACK-369</t>
  </si>
  <si>
    <t>Nodes running low on resources</t>
  </si>
  <si>
    <t>PRM SPRINT 21</t>
  </si>
  <si>
    <t>BACK-448</t>
  </si>
  <si>
    <t>Failure to receive Acknowledgement of Receipt from Destination</t>
  </si>
  <si>
    <t>BACK-447</t>
  </si>
  <si>
    <t>Failure to Authenticate</t>
  </si>
  <si>
    <t>BACK-457</t>
  </si>
  <si>
    <t>Failure to Process and when reprocessing not creating a duplicate record</t>
  </si>
  <si>
    <t>BACK-456</t>
  </si>
  <si>
    <t>Failure to Process</t>
  </si>
  <si>
    <t>BACK-455</t>
  </si>
  <si>
    <t>Failure to Receive</t>
  </si>
  <si>
    <t>BACK-454</t>
  </si>
  <si>
    <t>Identifying succesful transmission</t>
  </si>
  <si>
    <t>BACK-445</t>
  </si>
  <si>
    <t>Error Handling for DIG</t>
  </si>
  <si>
    <t>BACK-453</t>
  </si>
  <si>
    <t>Exporting Data - Transmit the data as defined</t>
  </si>
  <si>
    <t>BACK-452</t>
  </si>
  <si>
    <t xml:space="preserve">Exporting Data - Verify Security </t>
  </si>
  <si>
    <t>BACK-450</t>
  </si>
  <si>
    <t>Exporting Data - Transform/Package</t>
  </si>
  <si>
    <t>BACK-449</t>
  </si>
  <si>
    <t xml:space="preserve">Exporting Data - Identify data </t>
  </si>
  <si>
    <t>BACK-446</t>
  </si>
  <si>
    <t>DIG: Exporting Data From Dig</t>
  </si>
  <si>
    <t>BACK-195</t>
  </si>
  <si>
    <t>Ingesting Data - Inspect Data</t>
  </si>
  <si>
    <t>FB-2322</t>
  </si>
  <si>
    <t>MLRig Q1 Tech Debt</t>
  </si>
  <si>
    <t>FB-1757</t>
  </si>
  <si>
    <t>Replace Sagemaker training instances with spot instances to reduce cost</t>
  </si>
  <si>
    <t>FB-1756</t>
  </si>
  <si>
    <t>Ending Quote and paranthesis are not being split in split_tokens</t>
  </si>
  <si>
    <t>PR-700</t>
  </si>
  <si>
    <t>DeepRecon Product</t>
  </si>
  <si>
    <t>Discovery</t>
  </si>
  <si>
    <t>CI-542</t>
  </si>
  <si>
    <t>Add demo as a deployment environment for the mlp and mlrig-ops-pipeline deployment workflows</t>
  </si>
  <si>
    <t>FB-1752</t>
  </si>
  <si>
    <t>Do not create negative predictions in reconciled predictions for subgroups</t>
  </si>
  <si>
    <t>CI-402</t>
  </si>
  <si>
    <t xml:space="preserve">Address Developer Direct Access to Production Data     </t>
  </si>
  <si>
    <t>FB-1746</t>
  </si>
  <si>
    <t>Filetype errors in Preprocessing pipeline</t>
  </si>
  <si>
    <t>FB-1742</t>
  </si>
  <si>
    <t>Batch size cold start issue for inference</t>
  </si>
  <si>
    <t>ML Rig 2023.4</t>
  </si>
  <si>
    <t>FB-1739</t>
  </si>
  <si>
    <t>create-dataset going for ds-lab/prod environment</t>
  </si>
  <si>
    <t>InfraRig 2022.14</t>
  </si>
  <si>
    <t>CI-375</t>
  </si>
  <si>
    <t>Integrate Testing Into the ML Pipeline's Pipeline Deployment</t>
  </si>
  <si>
    <t>FB-1734</t>
  </si>
  <si>
    <t>Get clean term definitions from API</t>
  </si>
  <si>
    <t>FB-1733</t>
  </si>
  <si>
    <t>Verify clean annotations</t>
  </si>
  <si>
    <t>FB-1726</t>
  </si>
  <si>
    <t>Include last page in processing</t>
  </si>
  <si>
    <t>FB-2326</t>
  </si>
  <si>
    <t>Pipeline Hardening - Q1 2023</t>
  </si>
  <si>
    <t>CI-547</t>
  </si>
  <si>
    <t>Deleting Incomplete Multipart Uploads to Lower Amazon S3 Costs</t>
  </si>
  <si>
    <t>FB-1723</t>
  </si>
  <si>
    <t xml:space="preserve">Update Term Definitions to Download Correct Form </t>
  </si>
  <si>
    <t>FB-1720</t>
  </si>
  <si>
    <t>Save all input events for the pre-processing pipeline to S3</t>
  </si>
  <si>
    <t>ML Rig 2023.03</t>
  </si>
  <si>
    <t>BACK-152</t>
  </si>
  <si>
    <t>write a representations record for transcript files</t>
  </si>
  <si>
    <t>CI-512</t>
  </si>
  <si>
    <t>Lessons Learnt from Incidents</t>
  </si>
  <si>
    <t>CI-515</t>
  </si>
  <si>
    <t>Baseline Configurations Standard</t>
  </si>
  <si>
    <t>FB-1693</t>
  </si>
  <si>
    <t>New terms do not have prediction made correctly</t>
  </si>
  <si>
    <t>Joshua Johanson</t>
  </si>
  <si>
    <t>ML Rig 2023.02</t>
  </si>
  <si>
    <t>FB-1688</t>
  </si>
  <si>
    <t>Endpoint requests failing due to apparent issue in bros_model package</t>
  </si>
  <si>
    <t>FB-1684</t>
  </si>
  <si>
    <t>Donut - DocQA  (Inference)</t>
  </si>
  <si>
    <t>FB-1681</t>
  </si>
  <si>
    <t>Endpoint to create entity association dataset from database</t>
  </si>
  <si>
    <t>CI-286</t>
  </si>
  <si>
    <t>[Placeholder] Remaining Lambdas</t>
  </si>
  <si>
    <t>InfraRig 2022.12</t>
  </si>
  <si>
    <t>CI-283</t>
  </si>
  <si>
    <t>Add database provisioning to the tiltfile to provision schema and seed data for testing</t>
  </si>
  <si>
    <t>CI-319</t>
  </si>
  <si>
    <t>Deploy the middleware through the environments and test</t>
  </si>
  <si>
    <t>CI-318</t>
  </si>
  <si>
    <t>Add the prediction middleware to Tilt as a Part of the Pipeline Module</t>
  </si>
  <si>
    <t>CI-316</t>
  </si>
  <si>
    <t>Update the lambda code to be served over a flask app</t>
  </si>
  <si>
    <t>FB-1664</t>
  </si>
  <si>
    <t>Run create-dataset API for only those files that have annotations</t>
  </si>
  <si>
    <t>CI-237</t>
  </si>
  <si>
    <t>Support POC's For Sales Team</t>
  </si>
  <si>
    <t>BACK-199</t>
  </si>
  <si>
    <t xml:space="preserve">Hygiene: warnings in extractor service logs </t>
  </si>
  <si>
    <t>FB-1659</t>
  </si>
  <si>
    <t xml:space="preserve">Create a Test for a Basic Document to Run Successfully </t>
  </si>
  <si>
    <t>FB-1654</t>
  </si>
  <si>
    <t>Tokens not extracting correctly from paragraph extraction</t>
  </si>
  <si>
    <t>FB-1650</t>
  </si>
  <si>
    <t>NoSuchKey debugging</t>
  </si>
  <si>
    <t>CI-426</t>
  </si>
  <si>
    <t>[Placeholder] Training Pipelines are Moved into Kubernetes</t>
  </si>
  <si>
    <t>CI-287</t>
  </si>
  <si>
    <t>Machine Learning Components are Moved Into Kubernetes</t>
  </si>
  <si>
    <t>CI-414</t>
  </si>
  <si>
    <t>Add Automated Backups to RDS in PROD</t>
  </si>
  <si>
    <t>CI-472</t>
  </si>
  <si>
    <t>[Datascience Laboratory] We need to create read only access users for relevant data inside of production systems for the purposes of model training</t>
  </si>
  <si>
    <t>CI-474</t>
  </si>
  <si>
    <t>Existing API Lambda Put Training Dataset is Updated to be served out of a Kubernetes Service</t>
  </si>
  <si>
    <t>CI-482</t>
  </si>
  <si>
    <t>Existing API Lambda Put Document Feedback is Updated to be served out of a Kubernetes Service</t>
  </si>
  <si>
    <t>BACK-207</t>
  </si>
  <si>
    <t>Migrate the required functionality for PUT Document into PUT Document Status API</t>
  </si>
  <si>
    <t>CI-480</t>
  </si>
  <si>
    <t>Existing API Lambda Post Insert Records is Updated to be served out of a Kubernetes Service</t>
  </si>
  <si>
    <t>CI-479</t>
  </si>
  <si>
    <t>Existing API Lambda Get Terms By Group Name is Updated to be served out of a Kubernetes Service</t>
  </si>
  <si>
    <t>CI-478</t>
  </si>
  <si>
    <t>Existing API Lambda Get Terms is Updated to be served out of a Kubernetes Service</t>
  </si>
  <si>
    <t>BACK-212</t>
  </si>
  <si>
    <t>Migrate Get Projects API to Extractor Service</t>
  </si>
  <si>
    <t>CI-486</t>
  </si>
  <si>
    <t>Existing API Lambda Get Inference Pipeline Status is Updated to be served out of a Kubernetes Service</t>
  </si>
  <si>
    <t>CI-484</t>
  </si>
  <si>
    <t>Existing API Lambda Get Document Analytics is Updated to be served out of a Kubernetes Service</t>
  </si>
  <si>
    <t>CI-483</t>
  </si>
  <si>
    <t>Existing API Lambda Get Documents is Updated to be served out of a Kubernetes Service</t>
  </si>
  <si>
    <t>CI-289</t>
  </si>
  <si>
    <t>Existing API's Currently In Lambdas Should Be Moved Into Kubernetes</t>
  </si>
  <si>
    <t>CI-440</t>
  </si>
  <si>
    <t>Existing API Lambda Get Document is Updated to be served out of a Kubernetes Service</t>
  </si>
  <si>
    <t>CI-439</t>
  </si>
  <si>
    <t>Update the Inference Pipeline To Leverage the New Endpoint Proxy</t>
  </si>
  <si>
    <t>CI-315</t>
  </si>
  <si>
    <t>Move The Endpoint Proxy Out Of Lambda And Into Kubernetes</t>
  </si>
  <si>
    <t>FB-1639</t>
  </si>
  <si>
    <t xml:space="preserve">Update data_validation function to not implement MDLZ read_validation_csv() functionality </t>
  </si>
  <si>
    <t>FB-1637</t>
  </si>
  <si>
    <t>Update get-document endpoint to only pull in `is_latest=true` predictions</t>
  </si>
  <si>
    <t>Former user</t>
  </si>
  <si>
    <t>ML Rig 2023.01</t>
  </si>
  <si>
    <t>FB-1636</t>
  </si>
  <si>
    <t>Optimize processing speed in term extraction queue</t>
  </si>
  <si>
    <t>FB-1635</t>
  </si>
  <si>
    <t xml:space="preserve">Add encryption parameter for all AWS S3 related functions  </t>
  </si>
  <si>
    <t>FB-1629</t>
  </si>
  <si>
    <t>Ensure entity association parent ID's also have child records</t>
  </si>
  <si>
    <t>ML Rig 2022.19</t>
  </si>
  <si>
    <t>FB-1628</t>
  </si>
  <si>
    <t>Error Handling on Zero OCR Output</t>
  </si>
  <si>
    <t>FB-1627</t>
  </si>
  <si>
    <t>parent term prediction ids being filtered</t>
  </si>
  <si>
    <t>FB-1624</t>
  </si>
  <si>
    <t>OTC-BKR (Unstructured)</t>
  </si>
  <si>
    <t>FB-1623</t>
  </si>
  <si>
    <t>SEC-302743 (Unstructured)</t>
  </si>
  <si>
    <t>FB-1622</t>
  </si>
  <si>
    <t>OTC-ARN (Unstructured)</t>
  </si>
  <si>
    <t>FB-1621</t>
  </si>
  <si>
    <t>Entity Association Inconsistencies Found</t>
  </si>
  <si>
    <t>CI-415</t>
  </si>
  <si>
    <t xml:space="preserve">Enable CloudFront Distribution Logging </t>
  </si>
  <si>
    <t>FB-1616</t>
  </si>
  <si>
    <t xml:space="preserve">Start_Preprocessing Refactoring </t>
  </si>
  <si>
    <t>FB-1610</t>
  </si>
  <si>
    <t>Add filtering criteria to prediction-reconciliation</t>
  </si>
  <si>
    <t>CI-299</t>
  </si>
  <si>
    <t>Cloud Agnostic Messaging Solution</t>
  </si>
  <si>
    <t>CI-600</t>
  </si>
  <si>
    <t>Create a POC for tilt live updates</t>
  </si>
  <si>
    <t>CI-300</t>
  </si>
  <si>
    <t>To achieve full cloud agnosticism we should replace sagemaker with an open source solutin</t>
  </si>
  <si>
    <t>CI-609</t>
  </si>
  <si>
    <t>Research pod restart issues with argo workflows/events for tilt</t>
  </si>
  <si>
    <t>CI-608</t>
  </si>
  <si>
    <t>Add flags to enable/disable resources being spun up by tilt</t>
  </si>
  <si>
    <t>CI-606</t>
  </si>
  <si>
    <t>Fix issue with incorrect pod being targeted for Vault on tilt port-forward</t>
  </si>
  <si>
    <t>CI-605</t>
  </si>
  <si>
    <t>Create shared function libraries for tilt</t>
  </si>
  <si>
    <t>CI-604</t>
  </si>
  <si>
    <t>Remove resources controlled by operators on a tilt down</t>
  </si>
  <si>
    <t>CI-298</t>
  </si>
  <si>
    <t>Deeprecon UI Is Fully Running In Our Clusters</t>
  </si>
  <si>
    <t>CI-290</t>
  </si>
  <si>
    <t>Achieving cloud agnostic infrastructure will require we port over Step Functions out of AWS</t>
  </si>
  <si>
    <t>FB-1608</t>
  </si>
  <si>
    <t>Update put-document-feedback to accept null bounding boxes</t>
  </si>
  <si>
    <t>BACK-189</t>
  </si>
  <si>
    <t>[BE] Validate document sources when documents are provisioned for a checklist</t>
  </si>
  <si>
    <t>PR-643</t>
  </si>
  <si>
    <t>Process Discovery</t>
  </si>
  <si>
    <t>FB-1600</t>
  </si>
  <si>
    <t>Write prediction-middleware unit tests</t>
  </si>
  <si>
    <t>PR-637</t>
  </si>
  <si>
    <t>Template creation</t>
  </si>
  <si>
    <t>PR-636</t>
  </si>
  <si>
    <t>Regression Testing Suite</t>
  </si>
  <si>
    <t>PR-635</t>
  </si>
  <si>
    <t>Enhance process capability with advanced calculations, lookups, and build a record action</t>
  </si>
  <si>
    <t>PR-634</t>
  </si>
  <si>
    <t>Finish core functionality for process model MVP that supports trade aff trade conf temps</t>
  </si>
  <si>
    <t>PR-633</t>
  </si>
  <si>
    <t>Deploy new circle home UI to enable users to navigate DeepRecon templates and Decision Intelligence</t>
  </si>
  <si>
    <t>FB-2324</t>
  </si>
  <si>
    <t>Regression Testing</t>
  </si>
  <si>
    <t>FB-1581</t>
  </si>
  <si>
    <t>Invoke the pre-processing pipeline using the endpoint and make sure it's working fine</t>
  </si>
  <si>
    <t>FB-1580</t>
  </si>
  <si>
    <t>Resolve auth token issue when calling the endpoint programatically</t>
  </si>
  <si>
    <t>FB-1579</t>
  </si>
  <si>
    <t>Test preprocessing pipeline using the API endpoint</t>
  </si>
  <si>
    <t>CI-279</t>
  </si>
  <si>
    <t>Continuity &amp; Resilience</t>
  </si>
  <si>
    <t>FB-1568</t>
  </si>
  <si>
    <t xml:space="preserve">Update Configuration for Get Terms Name Normalization </t>
  </si>
  <si>
    <t>PR-615</t>
  </si>
  <si>
    <t>SLO / SLA monitoring and reporting</t>
  </si>
  <si>
    <t>PR-614</t>
  </si>
  <si>
    <t>Standardize Build and Deploy Processes</t>
  </si>
  <si>
    <t>PR-613</t>
  </si>
  <si>
    <t>Cloud Agnostic - Build Once Run Anywhere</t>
  </si>
  <si>
    <t>FB-1555</t>
  </si>
  <si>
    <t>Update prediction-middleware to save outputs in NDJSON format</t>
  </si>
  <si>
    <t>CI-445</t>
  </si>
  <si>
    <t>rds module gives deprecation warnings</t>
  </si>
  <si>
    <t>CI-280</t>
  </si>
  <si>
    <t>Access Authentication</t>
  </si>
  <si>
    <t>PR-611</t>
  </si>
  <si>
    <t>SOC 2 Type 2: Audit Ready</t>
  </si>
  <si>
    <t>FB-1551</t>
  </si>
  <si>
    <t>MuPDF Images Sent to OCR</t>
  </si>
  <si>
    <t>FB-1548</t>
  </si>
  <si>
    <t>Delete Dev SageMaker Resources</t>
  </si>
  <si>
    <t>FB-1547</t>
  </si>
  <si>
    <t>Recreate Test Events Using Scrubbed Data</t>
  </si>
  <si>
    <t>FB-1546</t>
  </si>
  <si>
    <t>Get Scrubbed Data Stored in S3</t>
  </si>
  <si>
    <t>FB-1545</t>
  </si>
  <si>
    <t>Remove Customer Data from Dev</t>
  </si>
  <si>
    <t>PR-609</t>
  </si>
  <si>
    <t>Deepsee Integration Gateway (DIG)</t>
  </si>
  <si>
    <t>PR-608</t>
  </si>
  <si>
    <t>Work Items</t>
  </si>
  <si>
    <t>BACK-146</t>
  </si>
  <si>
    <t>[BE] Update POST /documents/{documentId}/annotations to handle structured doc mappings</t>
  </si>
  <si>
    <t>FB-1529</t>
  </si>
  <si>
    <t>Adjust pipeline to use new entity association functions</t>
  </si>
  <si>
    <t>FB-1528</t>
  </si>
  <si>
    <t>Create entity-association-post-process Lambda</t>
  </si>
  <si>
    <t>FB-1527</t>
  </si>
  <si>
    <t>Create entity-association-predict Lambda</t>
  </si>
  <si>
    <t>FB-1526</t>
  </si>
  <si>
    <t>Create SQS queue for entity association</t>
  </si>
  <si>
    <t>FB-1525</t>
  </si>
  <si>
    <t>Create entity-association-preprocess Lambda</t>
  </si>
  <si>
    <t>FB-1524</t>
  </si>
  <si>
    <t>[Pipeline Hardening] Set up queue process for entity association</t>
  </si>
  <si>
    <t>BACK-215</t>
  </si>
  <si>
    <t>BACK-153</t>
  </si>
  <si>
    <t>[tech debt] modify the behavior of term_group_terms to always populate the term_group_id</t>
  </si>
  <si>
    <t>FB-1506</t>
  </si>
  <si>
    <t>Update Workflows to Add Tags to All Images</t>
  </si>
  <si>
    <t>FB-1504</t>
  </si>
  <si>
    <t>FB-1503</t>
  </si>
  <si>
    <t>Functional/Unit Tests for MLOps Training Pipeline</t>
  </si>
  <si>
    <t>FB-1502</t>
  </si>
  <si>
    <t>Remove Model Name from Term Extraction Config</t>
  </si>
  <si>
    <t>CI-435</t>
  </si>
  <si>
    <t>Write Automated Tests For Argo Workflows Ported Over From Step Functions</t>
  </si>
  <si>
    <t>FB-1498</t>
  </si>
  <si>
    <t>Fix MLops pipeline train step error</t>
  </si>
  <si>
    <t>ML Rig 2022.16</t>
  </si>
  <si>
    <t>PR-599</t>
  </si>
  <si>
    <t>DeepRecon deployed into Citi's AWS Environment</t>
  </si>
  <si>
    <t>UI-72</t>
  </si>
  <si>
    <t>[UI] Add connecting lines for annotations on work items review page</t>
  </si>
  <si>
    <t>DRCN Sprint 18</t>
  </si>
  <si>
    <t>FB-1493</t>
  </si>
  <si>
    <t>Populate DeepGraph with evaluation results</t>
  </si>
  <si>
    <t>CI-306</t>
  </si>
  <si>
    <t>Implement capability to control data traversal while supporting customer requirements (support)</t>
  </si>
  <si>
    <t>FB-1489</t>
  </si>
  <si>
    <t>Lock down logging statements for customer data</t>
  </si>
  <si>
    <t>PR-595</t>
  </si>
  <si>
    <t>JPM GRC validations and security audit ('closed')</t>
  </si>
  <si>
    <t>FB-1485</t>
  </si>
  <si>
    <t>Set up flower experiment for BROS model</t>
  </si>
  <si>
    <t>PR-594</t>
  </si>
  <si>
    <t>Model Governance</t>
  </si>
  <si>
    <t>FB-1481</t>
  </si>
  <si>
    <t>Full Train Best Epochs Pass</t>
  </si>
  <si>
    <t>FB-1480</t>
  </si>
  <si>
    <t>Early Stopping Generic Scoring</t>
  </si>
  <si>
    <t>PR-592</t>
  </si>
  <si>
    <t>Finance</t>
  </si>
  <si>
    <t>PR-591</t>
  </si>
  <si>
    <t>Business Continuity</t>
  </si>
  <si>
    <t>PR-590</t>
  </si>
  <si>
    <t>Infrastructure</t>
  </si>
  <si>
    <t>PR-589</t>
  </si>
  <si>
    <t>Security</t>
  </si>
  <si>
    <t>PR-588</t>
  </si>
  <si>
    <t>Operations</t>
  </si>
  <si>
    <t>PR-587</t>
  </si>
  <si>
    <t>Data Governance</t>
  </si>
  <si>
    <t>CI-292</t>
  </si>
  <si>
    <t>Add Docker  file to build the deeprecon-ui with nginx</t>
  </si>
  <si>
    <t>InfraRig 2022.8</t>
  </si>
  <si>
    <t>FB-1467</t>
  </si>
  <si>
    <t>Get pull config running for mlflow endpoint</t>
  </si>
  <si>
    <t>FB-1466</t>
  </si>
  <si>
    <t>Get pull config running for local Flask endpoint</t>
  </si>
  <si>
    <t>CI-638</t>
  </si>
  <si>
    <t>[PLACEHOLDER] Finish Work</t>
  </si>
  <si>
    <t>FB-1457</t>
  </si>
  <si>
    <t>[PLACEHOLDER] Testing of end-to-end</t>
  </si>
  <si>
    <t>CI-443</t>
  </si>
  <si>
    <t>Alert When Traffic I Incorrectly Blocked On The WAF For Our Tenants</t>
  </si>
  <si>
    <t>FB-1451</t>
  </si>
  <si>
    <t>Hyperparam flow</t>
  </si>
  <si>
    <t>FB-1447</t>
  </si>
  <si>
    <t>Common flag for split_tokens after merging ml-rig and mlrig repos</t>
  </si>
  <si>
    <t>PR-571</t>
  </si>
  <si>
    <t>Design</t>
  </si>
  <si>
    <t>PR-570</t>
  </si>
  <si>
    <t>Architecture</t>
  </si>
  <si>
    <t>PR-569</t>
  </si>
  <si>
    <t>GRC</t>
  </si>
  <si>
    <t>PR-568</t>
  </si>
  <si>
    <t>DataRig</t>
  </si>
  <si>
    <t>PR-567</t>
  </si>
  <si>
    <t>Utilities</t>
  </si>
  <si>
    <t>PR-566</t>
  </si>
  <si>
    <t>Apps</t>
  </si>
  <si>
    <t>PR-565</t>
  </si>
  <si>
    <t>Templates</t>
  </si>
  <si>
    <t>PR-564</t>
  </si>
  <si>
    <t>Legacy</t>
  </si>
  <si>
    <t>PR-563</t>
  </si>
  <si>
    <t>Core</t>
  </si>
  <si>
    <t>PR-562</t>
  </si>
  <si>
    <t>Infrastructure and Build</t>
  </si>
  <si>
    <t>PR-561</t>
  </si>
  <si>
    <t>DeepSee Knowledge Graph</t>
  </si>
  <si>
    <t>PR-560</t>
  </si>
  <si>
    <t>Content Map</t>
  </si>
  <si>
    <t>PR-559</t>
  </si>
  <si>
    <t>Process Modeler</t>
  </si>
  <si>
    <t>PR-558</t>
  </si>
  <si>
    <t>Strategy not in use</t>
  </si>
  <si>
    <t>PR-557</t>
  </si>
  <si>
    <t>OTC Derivative Affirmation and Confirmation</t>
  </si>
  <si>
    <t>PR-556</t>
  </si>
  <si>
    <t>PR-555</t>
  </si>
  <si>
    <t>JPM financial product onboarding and support</t>
  </si>
  <si>
    <t>PR-554</t>
  </si>
  <si>
    <t>Users are able to normalize data extractions for consistency</t>
  </si>
  <si>
    <t>PR-553</t>
  </si>
  <si>
    <t>Users can provide feedback on relationships between extracted values</t>
  </si>
  <si>
    <t>PR-552</t>
  </si>
  <si>
    <t>User can configure basic arithmetic on extractions in a process model</t>
  </si>
  <si>
    <t>PR-551</t>
  </si>
  <si>
    <t>A user can open and do basic configuration on a process model to support their workflow</t>
  </si>
  <si>
    <t>FB-1444</t>
  </si>
  <si>
    <t>[Defensive Annotations] Update preprocessing pipeline to output searchable text pdf for UI display</t>
  </si>
  <si>
    <t>FB-1443</t>
  </si>
  <si>
    <t>[Defensive Annotations] Convert PDF to Digitized Text Function Working</t>
  </si>
  <si>
    <t>FB-1442</t>
  </si>
  <si>
    <t>Save evaluations to DeepGraph</t>
  </si>
  <si>
    <t>Matthew Poulton</t>
  </si>
  <si>
    <t>FB-1437</t>
  </si>
  <si>
    <t>Integrate Document Endpoints with DeepGraph</t>
  </si>
  <si>
    <t>FB-1434</t>
  </si>
  <si>
    <t>Add DeepGraph integration into pipeline</t>
  </si>
  <si>
    <t>BACK-192</t>
  </si>
  <si>
    <t>Provide validation for structured annotations in a content map</t>
  </si>
  <si>
    <t>PR-543</t>
  </si>
  <si>
    <t>Implement labeling and autolabelling when DeepSee processes emails in batch</t>
  </si>
  <si>
    <t>CI-473</t>
  </si>
  <si>
    <t>Gather Info on AWS Elastic Disaster Recovery</t>
  </si>
  <si>
    <t>InfraRig 2022.6</t>
  </si>
  <si>
    <t>FB-1422</t>
  </si>
  <si>
    <t>[Defensive Annotations] Identify document anomalies</t>
  </si>
  <si>
    <t>FB-1420</t>
  </si>
  <si>
    <t xml:space="preserve">Log Difficult Entity Association Documents </t>
  </si>
  <si>
    <t>PR-531</t>
  </si>
  <si>
    <t>Home UI - Q4</t>
  </si>
  <si>
    <t>PR-530</t>
  </si>
  <si>
    <t>Pre-Atlas Maintenance and Minor Improvements</t>
  </si>
  <si>
    <t>UI-47</t>
  </si>
  <si>
    <t>Utilities forced UX Debt to move quick</t>
  </si>
  <si>
    <t>PR-1434</t>
  </si>
  <si>
    <t>PR-521</t>
  </si>
  <si>
    <t>Items completed in previous quarters</t>
  </si>
  <si>
    <t>PR-520</t>
  </si>
  <si>
    <t>Work Items from Process Model Output Q1 priorities</t>
  </si>
  <si>
    <t>PR-519</t>
  </si>
  <si>
    <t>Content Map: Unstructured Data Q1</t>
  </si>
  <si>
    <t>CI-543</t>
  </si>
  <si>
    <t>Enable Password Rotation On Our Vault Secrets</t>
  </si>
  <si>
    <t>CI-537</t>
  </si>
  <si>
    <t>Password Rotation Should Exclude Backticks Because It interferes with Sourcing Environment Variables</t>
  </si>
  <si>
    <t>BACK-186</t>
  </si>
  <si>
    <t>Create Private API for storing Term Predictions with raw, normalized, and formatted values</t>
  </si>
  <si>
    <t>CI-430</t>
  </si>
  <si>
    <t>Connect DeepSee 1.0 (atlas/advisor) roles to JPM SAML</t>
  </si>
  <si>
    <t>CI-301</t>
  </si>
  <si>
    <t>Finish Up Messages Tenant Automation</t>
  </si>
  <si>
    <t>FB-1405</t>
  </si>
  <si>
    <t>Pull Out Package Dependencies on Relevant Lambdas</t>
  </si>
  <si>
    <t>FB-1404</t>
  </si>
  <si>
    <t>Update GitHub Workflows</t>
  </si>
  <si>
    <t>CI-291</t>
  </si>
  <si>
    <t>Port The UI into our Kube Cluster</t>
  </si>
  <si>
    <t>CI-433</t>
  </si>
  <si>
    <t>Move API Integration Directly Into The K8s Cluster</t>
  </si>
  <si>
    <t>CI-590</t>
  </si>
  <si>
    <t>SPIKE: design, architect, and document solution to replace sqs</t>
  </si>
  <si>
    <t>CI-434</t>
  </si>
  <si>
    <t>Switch SQS to Kafka messaging where appropriate</t>
  </si>
  <si>
    <t>CI-436</t>
  </si>
  <si>
    <t xml:space="preserve">Port over the inference pipeline to argo workflows </t>
  </si>
  <si>
    <t>CI-281</t>
  </si>
  <si>
    <t>Port over The Preprocessing step function to Argo workflows</t>
  </si>
  <si>
    <t>CI-416</t>
  </si>
  <si>
    <t>Implement architecture to replace sagemaker</t>
  </si>
  <si>
    <t>CI-569</t>
  </si>
  <si>
    <t>SPIKE: research and architect solution to replace sagemaker</t>
  </si>
  <si>
    <t>CI-408</t>
  </si>
  <si>
    <t>report all repo test coverage using coveralls</t>
  </si>
  <si>
    <t>CI-409</t>
  </si>
  <si>
    <t xml:space="preserve">unified coding standards enforced by linting across repositories </t>
  </si>
  <si>
    <t>CI-410</t>
  </si>
  <si>
    <t>hooks to ensure basic checks occur before pushes to the remote repository</t>
  </si>
  <si>
    <t>CI-412</t>
  </si>
  <si>
    <t>Single command to bootstrap new rand existing repositories</t>
  </si>
  <si>
    <t>CI-418</t>
  </si>
  <si>
    <t>[SPIKE] Investigate Solutions for No Access to Data Outside of the Tenant Network</t>
  </si>
  <si>
    <t>PR-496</t>
  </si>
  <si>
    <t>Tech Debt - Q4</t>
  </si>
  <si>
    <t>FB-1402</t>
  </si>
  <si>
    <t xml:space="preserve">Save for later quarters </t>
  </si>
  <si>
    <t>FB-1400</t>
  </si>
  <si>
    <t>Delete All Customer Data from Non Prod Sources</t>
  </si>
  <si>
    <t>FB-1401</t>
  </si>
  <si>
    <t>Set Up Environment on New EC2 Instance</t>
  </si>
  <si>
    <t>FB-2328</t>
  </si>
  <si>
    <t>Migrate to EC2 for SocII Data Compliance</t>
  </si>
  <si>
    <t>FB-1455</t>
  </si>
  <si>
    <t>Explore Best Federated Learning for our Environment</t>
  </si>
  <si>
    <t>CI-296</t>
  </si>
  <si>
    <t>No Access to Data Outside of the Tenant Network</t>
  </si>
  <si>
    <t>PR-517</t>
  </si>
  <si>
    <t>Phase 1 - What happened view default view, search bar, forward navigation and 5 visualisations</t>
  </si>
  <si>
    <t>FB-1397</t>
  </si>
  <si>
    <t>Limiting Current Executions</t>
  </si>
  <si>
    <t>FB-1398</t>
  </si>
  <si>
    <t>Set Up Endpoint to Trigger Pipeline</t>
  </si>
  <si>
    <t>FB-1394</t>
  </si>
  <si>
    <t>Update Default Training Settings</t>
  </si>
  <si>
    <t>FB-1395</t>
  </si>
  <si>
    <t>Add Ability to Cancel Training</t>
  </si>
  <si>
    <t>FB-1396</t>
  </si>
  <si>
    <t>Basic Status Report on Model Performance</t>
  </si>
  <si>
    <t>FB-2323</t>
  </si>
  <si>
    <t>Set Up Model Training on an Endpoint for Ad-Hoc Runs</t>
  </si>
  <si>
    <t>FB-1385</t>
  </si>
  <si>
    <t>Set Up Queries from Logs to Generate Graphs to Monitor in DataDog</t>
  </si>
  <si>
    <t>FB-1386</t>
  </si>
  <si>
    <t>Track Memory Usage per Lambda</t>
  </si>
  <si>
    <t>FB-1387</t>
  </si>
  <si>
    <t>Track Average Computer Time per Lambda</t>
  </si>
  <si>
    <t>FB-1388</t>
  </si>
  <si>
    <t>Track Average Compute Time per Document</t>
  </si>
  <si>
    <t>CI-239</t>
  </si>
  <si>
    <t>Telemetry / Logging for ML Pipeline</t>
  </si>
  <si>
    <t>FB-1381</t>
  </si>
  <si>
    <t>[Pipeline Hardening] Speed up snap to boxes</t>
  </si>
  <si>
    <t>FB-1375</t>
  </si>
  <si>
    <t>Update Configs to Point to Correct Endpoint</t>
  </si>
  <si>
    <t>FB-1376</t>
  </si>
  <si>
    <t>[End-to-End] Implement Versioning of Training Dataset and Records</t>
  </si>
  <si>
    <t>FB-1372</t>
  </si>
  <si>
    <t>[Negative Labeling] Store Model Predictions Not In Content Map</t>
  </si>
  <si>
    <t>FB-1373</t>
  </si>
  <si>
    <t>[Negative Labeling] Immunize the Model Against Negative Labeling</t>
  </si>
  <si>
    <t>PR-424</t>
  </si>
  <si>
    <t>Monitoring and Incident Response</t>
  </si>
  <si>
    <t>PR-423</t>
  </si>
  <si>
    <t>Unified Platform Identity</t>
  </si>
  <si>
    <t>PR-422</t>
  </si>
  <si>
    <t>Disaster Recovery (Operation Catastrophe)</t>
  </si>
  <si>
    <t>PR-420</t>
  </si>
  <si>
    <t>SOC 2 type 1 manual preparedness ('auditor complete')</t>
  </si>
  <si>
    <t>CI-269</t>
  </si>
  <si>
    <t>Build and Deploy Pipeline</t>
  </si>
  <si>
    <t>CI-432</t>
  </si>
  <si>
    <t xml:space="preserve">Add Auth to Istio to Secure Elastic IPs used by K8s </t>
  </si>
  <si>
    <t>CI-617</t>
  </si>
  <si>
    <t>The DevOps Team Should Be Able To Access Instances in the Kubernetes our clusters</t>
  </si>
  <si>
    <t>FB-1338</t>
  </si>
  <si>
    <t>Set up workflow in mlp</t>
  </si>
  <si>
    <t>Graph 2022.14</t>
  </si>
  <si>
    <t>PR-405</t>
  </si>
  <si>
    <t>Impact Assessment</t>
  </si>
  <si>
    <t>FB-1332</t>
  </si>
  <si>
    <t xml:space="preserve">STP Function in Prediction Reconciliation Working with New Framework </t>
  </si>
  <si>
    <t>FB-1329</t>
  </si>
  <si>
    <t>[Tech Debt] Centralize Packages Currently Used Into One</t>
  </si>
  <si>
    <t>FB-1328</t>
  </si>
  <si>
    <t>[Tech Debt] All Lambdas Owned by ML in MLRig Repo</t>
  </si>
  <si>
    <t>FB-1325</t>
  </si>
  <si>
    <t>[End-to-End] Remove Randomness in Training Setup</t>
  </si>
  <si>
    <t>CI-576</t>
  </si>
  <si>
    <t>Remove Hegertest Namespace From Our Non-Prod Kubernetes Cluster</t>
  </si>
  <si>
    <t>FB-1305</t>
  </si>
  <si>
    <t>Fix UUI JSON serialization error in start-preprocessing</t>
  </si>
  <si>
    <t>ML Rig 2022.13</t>
  </si>
  <si>
    <t>FB-1304</t>
  </si>
  <si>
    <t>Fix issue in start-preprocessing with parsing solution_id</t>
  </si>
  <si>
    <t>BACK-168</t>
  </si>
  <si>
    <t>Perseus did not reported error that was reported by the db engine</t>
  </si>
  <si>
    <t>CI-346</t>
  </si>
  <si>
    <t>Configure Messages S3 Bucket Permissions</t>
  </si>
  <si>
    <t>BACK-142</t>
  </si>
  <si>
    <t>Automated Tests for the Terms API</t>
  </si>
  <si>
    <t>BACK-144</t>
  </si>
  <si>
    <t>Automated Tests for the Documents API</t>
  </si>
  <si>
    <t>CI-423</t>
  </si>
  <si>
    <t>All API's for Deeprecon should be available based on routes rather than domains</t>
  </si>
  <si>
    <t>CI-424</t>
  </si>
  <si>
    <t>Automate provisioning of all necessary buckets for messages</t>
  </si>
  <si>
    <t>FB-1300</t>
  </si>
  <si>
    <t>Adjust inference pipeline to handle large uploads of documents</t>
  </si>
  <si>
    <t>ML Rig 2022.17</t>
  </si>
  <si>
    <t>FB-2320</t>
  </si>
  <si>
    <t>Federated Model Management (de-siloing learning from tenants)</t>
  </si>
  <si>
    <t>FB-1290</t>
  </si>
  <si>
    <t>Flatten input sections into single matrix, make batch size configurable</t>
  </si>
  <si>
    <t>FB-2329</t>
  </si>
  <si>
    <t>End user ML model extraction testing framework</t>
  </si>
  <si>
    <t>CI-332</t>
  </si>
  <si>
    <t>Create an Instance of ArgoWorkflows For Internal Operational Workflows</t>
  </si>
  <si>
    <t>CI-333</t>
  </si>
  <si>
    <t>Convert mlp-preprocessing-pipeline into an Argo Workflow</t>
  </si>
  <si>
    <t>CI-334</t>
  </si>
  <si>
    <t>Convert mlp-inference state machine to an argo workflow</t>
  </si>
  <si>
    <t>CI-344</t>
  </si>
  <si>
    <t>Convert MLP-Main-Function-Into  Argo Workflows</t>
  </si>
  <si>
    <t>UI-49</t>
  </si>
  <si>
    <t>[UI] Further simplify the structured data config panel for non-technical users</t>
  </si>
  <si>
    <t>BACK-135</t>
  </si>
  <si>
    <t>[BE] Update api endpoints to require a request body</t>
  </si>
  <si>
    <t>PR-546</t>
  </si>
  <si>
    <t>POC Preparation and Execution Q4 2022</t>
  </si>
  <si>
    <t>PR-351</t>
  </si>
  <si>
    <t>Content Map: Foundation &amp; Structured Data Q4</t>
  </si>
  <si>
    <t>PR-350</t>
  </si>
  <si>
    <t>Ability to extract unstructured data from text and table heavy documents (affirmation and confirmation)</t>
  </si>
  <si>
    <t>CI-421</t>
  </si>
  <si>
    <t>Data Snapshot for Messages Demo Tenant</t>
  </si>
  <si>
    <t>FB-1246</t>
  </si>
  <si>
    <t>Improve error handling in term-extraction, prediction-middleware functions</t>
  </si>
  <si>
    <t>ML Rig 2022.12</t>
  </si>
  <si>
    <t>CI-476</t>
  </si>
  <si>
    <t>Clean up DeepRecon STG Tenant</t>
  </si>
  <si>
    <t>CI-489</t>
  </si>
  <si>
    <t>[SPIKE] Investigate and Design Architecture to Allow Direct Connections To MLFlow From GithHub Workflows</t>
  </si>
  <si>
    <t>CI-451</t>
  </si>
  <si>
    <t>Create a Dashboard In Grafana To Enable Visualization of Cloud Cost Data</t>
  </si>
  <si>
    <t>CI-452</t>
  </si>
  <si>
    <t>Deploy Grafana Into Our Kube Cluster</t>
  </si>
  <si>
    <t>CI-453</t>
  </si>
  <si>
    <t>Deploy Prometheus Into Our Prod and Non Prod Clusters</t>
  </si>
  <si>
    <t>BACK-203</t>
  </si>
  <si>
    <t>Work item: export details for completed work for customer audit purposes</t>
  </si>
  <si>
    <t>FB-2335</t>
  </si>
  <si>
    <t>ML Ops Fast Follow (unprioritized)</t>
  </si>
  <si>
    <t>FB-1225</t>
  </si>
  <si>
    <t>Experiment on various methods</t>
  </si>
  <si>
    <t>FB-1224</t>
  </si>
  <si>
    <t xml:space="preserve">Establish a baseline current memory </t>
  </si>
  <si>
    <t>FB-1215</t>
  </si>
  <si>
    <t xml:space="preserve">Create a Test Set of Documents </t>
  </si>
  <si>
    <t>BACK-159</t>
  </si>
  <si>
    <t>Perseus functional test suite</t>
  </si>
  <si>
    <t>CI-564</t>
  </si>
  <si>
    <t>Enable Synchronous Deployments Through MLFlow</t>
  </si>
  <si>
    <t>CI-587</t>
  </si>
  <si>
    <t>[SPIKE] Investigate Better Options for Kubernetes Node Group Management</t>
  </si>
  <si>
    <t>CI-431</t>
  </si>
  <si>
    <t>Deploy Kubernets Cluster Auto Scaler in all AWS Accounts</t>
  </si>
  <si>
    <t>UI-75</t>
  </si>
  <si>
    <t>[UI] [Tech] Add automated tests for autoscrolling to annotations when terms are selected</t>
  </si>
  <si>
    <t>FB-1190</t>
  </si>
  <si>
    <t>Add answer endpoint to API Gateway in terraform</t>
  </si>
  <si>
    <t>ML Rig 2022.11</t>
  </si>
  <si>
    <t>FB-1189</t>
  </si>
  <si>
    <t>Create answer endpoint</t>
  </si>
  <si>
    <t>UI-86</t>
  </si>
  <si>
    <t>[UI] [Tech] Automated tests can sometimes fail</t>
  </si>
  <si>
    <t>FB-1180</t>
  </si>
  <si>
    <t>Deploy model with SPADE tagging in Sagemaker as an endpoint</t>
  </si>
  <si>
    <t>FB-1179</t>
  </si>
  <si>
    <t>[Pipeline Hardening] Optimize memory usage on train step in bros token classifier training pipeline</t>
  </si>
  <si>
    <t>FB-1173</t>
  </si>
  <si>
    <t>Update Training Script to Create Super_Terms</t>
  </si>
  <si>
    <t>FB-1172</t>
  </si>
  <si>
    <t>Update API to enable mapping entity associations</t>
  </si>
  <si>
    <t>CI-616</t>
  </si>
  <si>
    <t>DeepRecon Apps Load Balancer Not Provisioned In Terraform</t>
  </si>
  <si>
    <t>FB-1157</t>
  </si>
  <si>
    <t>Re-train JPM data with SPADE tagging and sliding window</t>
  </si>
  <si>
    <t>CI-372</t>
  </si>
  <si>
    <t>Remove Unused Tenants</t>
  </si>
  <si>
    <t>FB-1142</t>
  </si>
  <si>
    <t>Fine Tuning JPM Data</t>
  </si>
  <si>
    <t>BACK-141</t>
  </si>
  <si>
    <t>JSON validation for database schema manifests</t>
  </si>
  <si>
    <t>BACK-143</t>
  </si>
  <si>
    <t>Validation for state objects</t>
  </si>
  <si>
    <t>BACK-131</t>
  </si>
  <si>
    <t>Delta -&gt; State validation</t>
  </si>
  <si>
    <t>BACK-132</t>
  </si>
  <si>
    <t>Ability for Perseus to provide "dry run" information</t>
  </si>
  <si>
    <t>BACK-134</t>
  </si>
  <si>
    <t>[TECH] API Error Responses to match RFC 7807</t>
  </si>
  <si>
    <t>CI-362</t>
  </si>
  <si>
    <t>Implement Search - Datalab/Messages</t>
  </si>
  <si>
    <t>CI-341</t>
  </si>
  <si>
    <t>Notify Repo Owners when Dependabot Alert is Found</t>
  </si>
  <si>
    <t>FB-1126</t>
  </si>
  <si>
    <t>Map out BE API needs for entity association</t>
  </si>
  <si>
    <t>ML Rig 2022.10</t>
  </si>
  <si>
    <t>CI-275</t>
  </si>
  <si>
    <t>UX design - User Access</t>
  </si>
  <si>
    <t>CI-274</t>
  </si>
  <si>
    <t>UI design - User Access</t>
  </si>
  <si>
    <t>FB-1124</t>
  </si>
  <si>
    <t>Default Visualizations</t>
  </si>
  <si>
    <t>FB-1123</t>
  </si>
  <si>
    <t>Add “Data Preview” to the Search Results</t>
  </si>
  <si>
    <t>FB-1122</t>
  </si>
  <si>
    <t>Parse &amp; Load Actual Email Data</t>
  </si>
  <si>
    <t>FB-1074</t>
  </si>
  <si>
    <t>Run Experiments Until Model is AWESOME</t>
  </si>
  <si>
    <t>ML Rig 2022.9</t>
  </si>
  <si>
    <t>FB-1071</t>
  </si>
  <si>
    <t>Fix predictions not showing up in the UI</t>
  </si>
  <si>
    <t>BACK-151</t>
  </si>
  <si>
    <t>[TECH] Improve Lambda Deployment</t>
  </si>
  <si>
    <t>FB-1068</t>
  </si>
  <si>
    <t>Fix negative predictions showing up in UI</t>
  </si>
  <si>
    <t>PR-297</t>
  </si>
  <si>
    <t>Developer Productivity</t>
  </si>
  <si>
    <t>CI-304</t>
  </si>
  <si>
    <t>InfraRig Tech Debt Q3</t>
  </si>
  <si>
    <t>CI-422</t>
  </si>
  <si>
    <t>All K8s Level Components Should be deployed using ArgoCD</t>
  </si>
  <si>
    <t>CI-615</t>
  </si>
  <si>
    <t>DS-Telemetry Helm Template Doesn't Allow Overriding Values for Datadog</t>
  </si>
  <si>
    <t>FB-1060</t>
  </si>
  <si>
    <t>Adapt inference and postprocess function based on the new preprocessing function</t>
  </si>
  <si>
    <t>UI-77</t>
  </si>
  <si>
    <t>[UI] Atlas text annotation tool available in content map and work items</t>
  </si>
  <si>
    <t>CI-417</t>
  </si>
  <si>
    <t>JPM Users Should automatically be added to groups based on custom attributes from the JPM IDP</t>
  </si>
  <si>
    <t>CI-481</t>
  </si>
  <si>
    <t>Messages can be Developed Locally</t>
  </si>
  <si>
    <t>FB-1047</t>
  </si>
  <si>
    <t>Get train model running locally</t>
  </si>
  <si>
    <t>FB-1127</t>
  </si>
  <si>
    <t>Datalab file consumption</t>
  </si>
  <si>
    <t>FB-1045</t>
  </si>
  <si>
    <t>Update BROS training step to match JPM training script</t>
  </si>
  <si>
    <t>FB-1042</t>
  </si>
  <si>
    <t>Add data augmentation for JPM data</t>
  </si>
  <si>
    <t>FB-1040</t>
  </si>
  <si>
    <t>Implement spade tagging for BROs model</t>
  </si>
  <si>
    <t>FB-1028</t>
  </si>
  <si>
    <t>Implement multi-page sliding window with overlap</t>
  </si>
  <si>
    <t>CI-541</t>
  </si>
  <si>
    <t>Review Access Permissions for Secrets In AWS Dev</t>
  </si>
  <si>
    <t>FB-2331</t>
  </si>
  <si>
    <t>DataLab MVP for DeepRecon</t>
  </si>
  <si>
    <t>PR-274</t>
  </si>
  <si>
    <t>Provide business intelligence by allowing users to review actions taken and data processed in DeepSee</t>
  </si>
  <si>
    <t>UI-82</t>
  </si>
  <si>
    <t>[UI] Error Screen for Tenant Config Failure</t>
  </si>
  <si>
    <t>FB-2333</t>
  </si>
  <si>
    <t>Knowledge Graph Markets</t>
  </si>
  <si>
    <t>FB-1021</t>
  </si>
  <si>
    <t>Modify training to handle sliding window</t>
  </si>
  <si>
    <t>FB-1017</t>
  </si>
  <si>
    <t>Train reconciliation model with updated data - with term names and without term names</t>
  </si>
  <si>
    <t>ML Rig 2022.8</t>
  </si>
  <si>
    <t>FB-1019</t>
  </si>
  <si>
    <t>Set up pipelines with Github Actions</t>
  </si>
  <si>
    <t>FB-2332</t>
  </si>
  <si>
    <t>Model Driven Multi-Value Reconciliation Prediction</t>
  </si>
  <si>
    <t>FB-1010</t>
  </si>
  <si>
    <t xml:space="preserve">Error analysis on model predictions </t>
  </si>
  <si>
    <t>FB-1009</t>
  </si>
  <si>
    <t>Hyper-parameter tuning to find the model that gives the best evaluation metrics</t>
  </si>
  <si>
    <t>FB-2327</t>
  </si>
  <si>
    <t>End-to-End Training (HITL)</t>
  </si>
  <si>
    <t>FB-1148</t>
  </si>
  <si>
    <t>Allow Product to set a schedule for model retraining from every 4 hours, End of Day @ ____, Every Week @ ____, Never</t>
  </si>
  <si>
    <t>PR-248</t>
  </si>
  <si>
    <t>Lymba Evaluation</t>
  </si>
  <si>
    <t>PR-246</t>
  </si>
  <si>
    <t>Tech Debt - Q3</t>
  </si>
  <si>
    <t>PR-245</t>
  </si>
  <si>
    <t>Tech Debt</t>
  </si>
  <si>
    <t>CI-326</t>
  </si>
  <si>
    <t>Integrate Datadog Monitoring with Istio</t>
  </si>
  <si>
    <t>Infra-Rig-Q3-Sprint-1</t>
  </si>
  <si>
    <t>UI-74</t>
  </si>
  <si>
    <t>[UI] Add documentation on how to create Icon components</t>
  </si>
  <si>
    <t>CI-477</t>
  </si>
  <si>
    <t>Automate Provisoning of Database Schema In all DBs for Messages</t>
  </si>
  <si>
    <t>CI-603</t>
  </si>
  <si>
    <t>Leverage Vault For Secret Injection in Kubernetes Cluster</t>
  </si>
  <si>
    <t>CI-323</t>
  </si>
  <si>
    <t>Add monitoring integration to click-house for query profiling and system performance</t>
  </si>
  <si>
    <t>CI-322</t>
  </si>
  <si>
    <t xml:space="preserve">Add disk encryption to Clickhouse Data Storage </t>
  </si>
  <si>
    <t>BACK-133</t>
  </si>
  <si>
    <t>Design Database refactor</t>
  </si>
  <si>
    <t>FB-994</t>
  </si>
  <si>
    <t>[End-to-End] Create meta data about input to model</t>
  </si>
  <si>
    <t>CI-460</t>
  </si>
  <si>
    <t>Prohibit employees / contractors from accessing public public instant messaging.</t>
  </si>
  <si>
    <t>CI-462</t>
  </si>
  <si>
    <t>Prohibit employees / contractors from accessing public external e-mail servers.</t>
  </si>
  <si>
    <t>CI-354</t>
  </si>
  <si>
    <t>Prohibit use of read/writeable devices on their desktops/laptops  (e.g., IPODs, CD burners, DVD, zip drives, USB drives).</t>
  </si>
  <si>
    <t>CI-355</t>
  </si>
  <si>
    <t>Encrypt removable storage devices (e.g., flash drives, CD, DVD, USB devices and back-up tapes) on the desktops / laptops used by DeepSee employees.</t>
  </si>
  <si>
    <t>PR-233</t>
  </si>
  <si>
    <t>JPM DeepRecon Migration - Q4 Priorities</t>
  </si>
  <si>
    <t>CI-349</t>
  </si>
  <si>
    <t>Hide Sign-Options from Microsoft Login Window</t>
  </si>
  <si>
    <t>FB-981</t>
  </si>
  <si>
    <t>Layout Parser</t>
  </si>
  <si>
    <t>FB-979</t>
  </si>
  <si>
    <t>Add module for data reconciliation</t>
  </si>
  <si>
    <t>FB-975</t>
  </si>
  <si>
    <t>Reconciliation Model Hyper-Parameter Optimization</t>
  </si>
  <si>
    <t>FB-974</t>
  </si>
  <si>
    <t>LayoutXML for Q&amp;A</t>
  </si>
  <si>
    <t>FB-973</t>
  </si>
  <si>
    <t>[Pipeline Hardening] Testing framework for new generic pipeline</t>
  </si>
  <si>
    <t>FB-972</t>
  </si>
  <si>
    <t>BROS Model for Q&amp;A</t>
  </si>
  <si>
    <t>FB-968</t>
  </si>
  <si>
    <t>Embed snippets into ALL processing functions or find step function backend solution</t>
  </si>
  <si>
    <t>FB-967</t>
  </si>
  <si>
    <t>Model Quality/Drift Dashboard</t>
  </si>
  <si>
    <t>FB-963</t>
  </si>
  <si>
    <t>Handoff MLP Repo to DeepRecon</t>
  </si>
  <si>
    <t>FB-961</t>
  </si>
  <si>
    <t>Search Query - define to accomplish use cases</t>
  </si>
  <si>
    <t>FB-960</t>
  </si>
  <si>
    <t>Datalab schema &amp; query "search" with ML, content map, work items</t>
  </si>
  <si>
    <t>FB-959</t>
  </si>
  <si>
    <t>Update atlas-integration model prediction lambda with the new generic lambda</t>
  </si>
  <si>
    <t>FB-953</t>
  </si>
  <si>
    <t>Model Deployment - Reconciliation</t>
  </si>
  <si>
    <t>FB-952</t>
  </si>
  <si>
    <t>Preprocess Function</t>
  </si>
  <si>
    <t>FB-951</t>
  </si>
  <si>
    <t>Automated Retraining</t>
  </si>
  <si>
    <t>FB-949</t>
  </si>
  <si>
    <t>[End-to-End] Model Governance / Auditing</t>
  </si>
  <si>
    <t>FB-2334</t>
  </si>
  <si>
    <t>DeepRecon requirements for Datalab schemas and queries</t>
  </si>
  <si>
    <t>CI-335</t>
  </si>
  <si>
    <t>Be able to correlate model Infrastructure Usage back to Cost Per Tenant</t>
  </si>
  <si>
    <t>CI-338</t>
  </si>
  <si>
    <t>Infrastructure Density Reporting</t>
  </si>
  <si>
    <t>CI-288</t>
  </si>
  <si>
    <t>A sandbox environment for the ML team to train and test their models with production data</t>
  </si>
  <si>
    <t>CI-320</t>
  </si>
  <si>
    <t>Deploy ClickHouse for DeepRecon for Messages</t>
  </si>
  <si>
    <t>FB-909</t>
  </si>
  <si>
    <t>Train supervised model on customer data</t>
  </si>
  <si>
    <t>Pooja Oza</t>
  </si>
  <si>
    <t>Datarig 2022.5</t>
  </si>
  <si>
    <t>PR-217</t>
  </si>
  <si>
    <t>Create pre-configured template for Cash Settlement Breaks</t>
  </si>
  <si>
    <t>PR-215</t>
  </si>
  <si>
    <t>Users are able to view term extractions and comparisons in a work item</t>
  </si>
  <si>
    <t>PR-214</t>
  </si>
  <si>
    <t>Workflow Metrics</t>
  </si>
  <si>
    <t>PR-212</t>
  </si>
  <si>
    <t>DeepRecon for Markets - Content Map for Unstructured</t>
  </si>
  <si>
    <t>PR-208</t>
  </si>
  <si>
    <t>Process Modeler Utility Q4 Priorities</t>
  </si>
  <si>
    <t>PR-207</t>
  </si>
  <si>
    <t>Home UI</t>
  </si>
  <si>
    <t>CI-574</t>
  </si>
  <si>
    <t>SPIKE: Release Manifest ArgoCD Demo</t>
  </si>
  <si>
    <t>FB-895</t>
  </si>
  <si>
    <t>Add option to open_connection helper that would allow it to ssh tunnel to connect to stg database</t>
  </si>
  <si>
    <t>Michael Chestnut</t>
  </si>
  <si>
    <t>CI-273</t>
  </si>
  <si>
    <t>DeepRecon Task/RBAC</t>
  </si>
  <si>
    <t>PR-185</t>
  </si>
  <si>
    <t>Q3 Dashboards</t>
  </si>
  <si>
    <t>PR-184</t>
  </si>
  <si>
    <t>DeepRecon Reporting: Alerting, Customer Support, Governance Risk and Compliance Dashboards</t>
  </si>
  <si>
    <t>CI-384</t>
  </si>
  <si>
    <t>Fix Invalid Wild Card Cert in Dev - api.dev.deepsee.ai</t>
  </si>
  <si>
    <t>FB-894</t>
  </si>
  <si>
    <t>Add Bandit to GitHub Actions Push Build workflow</t>
  </si>
  <si>
    <t>CI-469</t>
  </si>
  <si>
    <t>Research workflow triggers</t>
  </si>
  <si>
    <t>CI-471</t>
  </si>
  <si>
    <t>Create template k8s yaml definitions</t>
  </si>
  <si>
    <t>CI-358</t>
  </si>
  <si>
    <t>Research Monorepo build tools</t>
  </si>
  <si>
    <t>CI-357</t>
  </si>
  <si>
    <t>Create POC local dev cluster</t>
  </si>
  <si>
    <t>CI-359</t>
  </si>
  <si>
    <t>Research local cluster options</t>
  </si>
  <si>
    <t>CI-360</t>
  </si>
  <si>
    <t>Research allowing local k8s to pull local images</t>
  </si>
  <si>
    <t>CI-363</t>
  </si>
  <si>
    <t>Research Local dev helpers for k8s</t>
  </si>
  <si>
    <t>CI-365</t>
  </si>
  <si>
    <t>Identify Code Needing Refactor</t>
  </si>
  <si>
    <t>CI-377</t>
  </si>
  <si>
    <t>Dockerize UI</t>
  </si>
  <si>
    <t>CI-376</t>
  </si>
  <si>
    <t>Research Kubeflow and Alternatives</t>
  </si>
  <si>
    <t>CI-378</t>
  </si>
  <si>
    <t>Research Knative and Alternatives</t>
  </si>
  <si>
    <t>CI-307</t>
  </si>
  <si>
    <t>Local Dev Environment</t>
  </si>
  <si>
    <t>FB-886</t>
  </si>
  <si>
    <t>Test BROS Model with Customer Data</t>
  </si>
  <si>
    <t>FB-884</t>
  </si>
  <si>
    <t>Test model with customer data for token classification</t>
  </si>
  <si>
    <t>FB-882</t>
  </si>
  <si>
    <t>[Tech Debt] Increase unit test coverage</t>
  </si>
  <si>
    <t>FB-881</t>
  </si>
  <si>
    <t>[End-to-End] Add DB integration into pipeline</t>
  </si>
  <si>
    <t>PR-182</t>
  </si>
  <si>
    <t>Q3 - Priority Compliance / Data Security Items</t>
  </si>
  <si>
    <t>PR-181</t>
  </si>
  <si>
    <t>Q4 - Priority Compliance / Data Security Items</t>
  </si>
  <si>
    <t>PR-180</t>
  </si>
  <si>
    <t>DeepSee Compliance / Data Security Baseline</t>
  </si>
  <si>
    <t>PR-178</t>
  </si>
  <si>
    <t>Delivery Notes</t>
  </si>
  <si>
    <t>PR-173</t>
  </si>
  <si>
    <t>Content Mapper Utility</t>
  </si>
  <si>
    <t>BACK-150</t>
  </si>
  <si>
    <t>Investigate migrating API calls to React Server Side</t>
  </si>
  <si>
    <t>PR-163</t>
  </si>
  <si>
    <t>DeepRecon Production UI</t>
  </si>
  <si>
    <t>PR-162</t>
  </si>
  <si>
    <t>Knowledge Graph Visualization</t>
  </si>
  <si>
    <t>PR-161</t>
  </si>
  <si>
    <t>SOC II Certification</t>
  </si>
  <si>
    <t>PR-160</t>
  </si>
  <si>
    <t>Data Integration Gateway</t>
  </si>
  <si>
    <t>PR-158</t>
  </si>
  <si>
    <t>PR-157</t>
  </si>
  <si>
    <t>Term and Validation Lists</t>
  </si>
  <si>
    <t>PR-156</t>
  </si>
  <si>
    <t>Term Creation</t>
  </si>
  <si>
    <t>PR-155</t>
  </si>
  <si>
    <t>Customer Environment and Entitlement Setup</t>
  </si>
  <si>
    <t>PR-154</t>
  </si>
  <si>
    <t>Work Items from Process Model Output</t>
  </si>
  <si>
    <t>PR-153</t>
  </si>
  <si>
    <t>DeepRecon - Dashboarding (dupe of PR-184)</t>
  </si>
  <si>
    <t>PR-150</t>
  </si>
  <si>
    <t>Implement a task discovery process based on emails so customers can gain transparency on their team's work</t>
  </si>
  <si>
    <t>Desiree Silva Gil</t>
  </si>
  <si>
    <t>PR-149</t>
  </si>
  <si>
    <t xml:space="preserve">Implement Term Base Model </t>
  </si>
  <si>
    <t>PR-148</t>
  </si>
  <si>
    <t>Predictive Learning Check Point</t>
  </si>
  <si>
    <t>PR-147</t>
  </si>
  <si>
    <t>Migrate JPM to DeepRecon</t>
  </si>
  <si>
    <t>PR-146</t>
  </si>
  <si>
    <t>DeepRecon for Materials 0.1 - Delivery Notes</t>
  </si>
  <si>
    <t>PR-145</t>
  </si>
  <si>
    <t>DeepRecon for Materials 0.0 - Certificate of Analysis</t>
  </si>
  <si>
    <t>PR-144</t>
  </si>
  <si>
    <t>JPM Referenceable Customer</t>
  </si>
  <si>
    <t>PR-143</t>
  </si>
  <si>
    <t>Process Modeler Utility</t>
  </si>
  <si>
    <t>PR-134</t>
  </si>
  <si>
    <t>Deliver business insights and intelligence to optimize and drive strategic decisions by automating complex work processes for Line of Business users</t>
  </si>
  <si>
    <t>PR-133</t>
  </si>
  <si>
    <t>DeepRecon for Markets - Post Trade Derivative OTC Confirmation</t>
  </si>
  <si>
    <t>PR-132</t>
  </si>
  <si>
    <t>We deliver business insights and intelligence to optimize and drive strategic decisions by automating complex  work processes for Line of Business users.</t>
  </si>
  <si>
    <t>CI-390</t>
  </si>
  <si>
    <t>Istio Metrics To Datadog</t>
  </si>
  <si>
    <t>CI-389</t>
  </si>
  <si>
    <t>Istio Label Tenant Namespaces with istio Injector Label</t>
  </si>
  <si>
    <t>CI-400</t>
  </si>
  <si>
    <t>Istio Configure correct Egress Rules</t>
  </si>
  <si>
    <t>CI-399</t>
  </si>
  <si>
    <t>Open Policy Agents For istio</t>
  </si>
  <si>
    <t>CI-401</t>
  </si>
  <si>
    <t>Add connection logging to VPN</t>
  </si>
  <si>
    <t>FB-846</t>
  </si>
  <si>
    <t>Get bandit running clean on MLP pipeline</t>
  </si>
  <si>
    <t>CI-546</t>
  </si>
  <si>
    <t>Disallow Public Access On All Buckets Created In Our AWS infrastructure environment</t>
  </si>
  <si>
    <t>PR-131</t>
  </si>
  <si>
    <t>Resiliency and Responsiveness</t>
  </si>
  <si>
    <t>PR-128</t>
  </si>
  <si>
    <t>email attachment lambda</t>
  </si>
  <si>
    <t>BACK-185</t>
  </si>
  <si>
    <t>Content Map: Delete a doc from the UI</t>
  </si>
  <si>
    <t>FB-822</t>
  </si>
  <si>
    <t>Update unit test for the universal JPM model after Atlas integration</t>
  </si>
  <si>
    <t>CI-599</t>
  </si>
  <si>
    <t>Ensure kube cluster has correct permissions to pull images from our container registry</t>
  </si>
  <si>
    <t>CI-461</t>
  </si>
  <si>
    <t>Define the Data Services</t>
  </si>
  <si>
    <t>CI-598</t>
  </si>
  <si>
    <t>SPIKE: Determine how network policies interact on Istio and Kubernetes</t>
  </si>
  <si>
    <t>FB-809</t>
  </si>
  <si>
    <t>Create mapping of trained model term ids to the backend term ids in Dev, Stg and Prod</t>
  </si>
  <si>
    <t>PR-127</t>
  </si>
  <si>
    <t>Standby People for Demo</t>
  </si>
  <si>
    <t>Taylor Drage</t>
  </si>
  <si>
    <t>PR-126</t>
  </si>
  <si>
    <t>Demo Dry Run</t>
  </si>
  <si>
    <t>PR-125</t>
  </si>
  <si>
    <t>Test SSO for Mondelez in Production</t>
  </si>
  <si>
    <t>FB-938</t>
  </si>
  <si>
    <t>Set up the Gatekeeper security protocol with Cognito &amp; the IAM security groups</t>
  </si>
  <si>
    <t>CI-565</t>
  </si>
  <si>
    <t>Create an API that will provision a new tenant in production</t>
  </si>
  <si>
    <t>FB-946</t>
  </si>
  <si>
    <t>Build initial ArangoDB Query Language (AQL) queries to pull data from the graph.</t>
  </si>
  <si>
    <t>FB-929</t>
  </si>
  <si>
    <t>Create Datalab ArangoDB Python module to pull ArangoDB processing functions into any project.</t>
  </si>
  <si>
    <t>FB-928</t>
  </si>
  <si>
    <t>Build GraphQL resolver functions to perform AQL queries.</t>
  </si>
  <si>
    <t>FB-786</t>
  </si>
  <si>
    <t>Set up separate PROD/non-PROD Azure accounts, increase concurrency limits for OCR/Translator services</t>
  </si>
  <si>
    <t>Datarig 2022.2</t>
  </si>
  <si>
    <t>CI-581</t>
  </si>
  <si>
    <t>Medium: Ensure CloudTrail logs are encrypted at rest using KMS CMKs</t>
  </si>
  <si>
    <t>FB-779</t>
  </si>
  <si>
    <t>Write script to convert AWS step function definition to local equivalent</t>
  </si>
  <si>
    <t>FB-778</t>
  </si>
  <si>
    <t>Sync SAM template with step function definitions</t>
  </si>
  <si>
    <t>CI-265</t>
  </si>
  <si>
    <t>Security Operations</t>
  </si>
  <si>
    <t>CI-308</t>
  </si>
  <si>
    <t>Continuity and Resilience</t>
  </si>
  <si>
    <t>CI-403</t>
  </si>
  <si>
    <t>Remove all Dependabot Alerts</t>
  </si>
  <si>
    <t>FB-767</t>
  </si>
  <si>
    <t>Experiment with a larger model to see if model performance improves</t>
  </si>
  <si>
    <t>Datarig 2022.1</t>
  </si>
  <si>
    <t>FB-753</t>
  </si>
  <si>
    <t>FB-918</t>
  </si>
  <si>
    <t>Create Weaviate GraphQL queries to search documents and link with Dgraph queries.</t>
  </si>
  <si>
    <t>FB-931</t>
  </si>
  <si>
    <t>Tokenize, embed and store document text under Dgraph with proper follows/edge relationships.</t>
  </si>
  <si>
    <t>CI-406</t>
  </si>
  <si>
    <t>SPIKE: Research how to spin up new tenants with different Use-Cases</t>
  </si>
  <si>
    <t>CI-404</t>
  </si>
  <si>
    <t>General Purpose Mechanism For Handling Different Auth Providers Per Tenant</t>
  </si>
  <si>
    <t>CI-380</t>
  </si>
  <si>
    <t xml:space="preserve">Unified Approach to Database Changes </t>
  </si>
  <si>
    <t>CI-558</t>
  </si>
  <si>
    <t>SPIKE: Plan and Document MLOPS Pipeline</t>
  </si>
  <si>
    <t>CI-413</t>
  </si>
  <si>
    <t>AWS Credentials Per Repository In Github</t>
  </si>
  <si>
    <t>CI-411</t>
  </si>
  <si>
    <t>Rotate AWS Github Credentials Automatically on Some Basis</t>
  </si>
  <si>
    <t>CI-572</t>
  </si>
  <si>
    <t>Low: Ensure the S3 bucket has access logging enabled</t>
  </si>
  <si>
    <t>CI-571</t>
  </si>
  <si>
    <t>Medium:  Ensure the S3 bucket requires MFA to delete objects</t>
  </si>
  <si>
    <t>CI-342</t>
  </si>
  <si>
    <t>Ensure we have a way to connect to our databases without bastions</t>
  </si>
  <si>
    <t>CI-488</t>
  </si>
  <si>
    <t>Define CI/CD flow with trunk-based branching strategy</t>
  </si>
  <si>
    <t>CI-455</t>
  </si>
  <si>
    <t>build a tenant operational dashboard to show system metrics per tenant.</t>
  </si>
  <si>
    <t>CI-438</t>
  </si>
  <si>
    <t xml:space="preserve">provision and automate creation of network policies for tenant namespaces </t>
  </si>
  <si>
    <t>CI-467</t>
  </si>
  <si>
    <t xml:space="preserve">Ensure all S3 access logs are being aggregated </t>
  </si>
  <si>
    <t>CI-466</t>
  </si>
  <si>
    <t>Ensure all AWS logs are being agreggated</t>
  </si>
  <si>
    <t>CI-470</t>
  </si>
  <si>
    <t xml:space="preserve">Ensure all logs from Kubernetes nodes and pods are being agreggated </t>
  </si>
  <si>
    <t>CI-309</t>
  </si>
  <si>
    <t>Through some automated Process non-technical team members can provision their own Tenant</t>
  </si>
  <si>
    <t>FB-915</t>
  </si>
  <si>
    <t>Develop production-ready retrieve-and-read model for Mondelez.</t>
  </si>
  <si>
    <t>PR-71</t>
  </si>
  <si>
    <t>Knowledge Graph</t>
  </si>
  <si>
    <t>CI-567</t>
  </si>
  <si>
    <t>High: Lambda Function should have tracing enabled MLP</t>
  </si>
  <si>
    <t>PR-68</t>
  </si>
  <si>
    <t>JPM Utilities Build the Business (Arrays, Multi Underliers, Arrays and Calculations)</t>
  </si>
  <si>
    <t>FB-930</t>
  </si>
  <si>
    <t>Write python function to search Datalab and client corpus using Haystack/Weaviate and Dgraph combined.</t>
  </si>
  <si>
    <t>FB-927</t>
  </si>
  <si>
    <t>Connect Haystack/Weaviate to Dgraph.</t>
  </si>
  <si>
    <t>FB-921</t>
  </si>
  <si>
    <t>Embed the Python Connector snippets into the ML pipeline.</t>
  </si>
  <si>
    <t>CI-566</t>
  </si>
  <si>
    <t>Setup email notification on Reconciliation service (Sagemaker) restart event</t>
  </si>
  <si>
    <t>FB-583</t>
  </si>
  <si>
    <t>JPM Advisor Integration</t>
  </si>
  <si>
    <t>CI-575</t>
  </si>
  <si>
    <t>Automate Deployment and Containerization of UI Code</t>
  </si>
  <si>
    <t>CI-327</t>
  </si>
  <si>
    <t>Sometimes it may. be necessary to communicate between cloud services, we need to define an Arch pattern for intercommunication</t>
  </si>
  <si>
    <t>CI-328</t>
  </si>
  <si>
    <t>Code Scanning</t>
  </si>
  <si>
    <t>CI-597</t>
  </si>
  <si>
    <t xml:space="preserve">Make sure all resources are tagged consistently </t>
  </si>
  <si>
    <t>CI-596</t>
  </si>
  <si>
    <t>Write a script to identify un-used jupyter notebook instances older than 24 hours</t>
  </si>
  <si>
    <t>Infra-Rig Team</t>
  </si>
  <si>
    <t>CI-297</t>
  </si>
  <si>
    <t>Soc 2 Compliance</t>
  </si>
  <si>
    <t>CI-555</t>
  </si>
  <si>
    <t>High: Security Group should not accept traffic other than 80 and 443</t>
  </si>
  <si>
    <t>CI-554</t>
  </si>
  <si>
    <t>CI-560</t>
  </si>
  <si>
    <t>CI-559</t>
  </si>
  <si>
    <t>CI-557</t>
  </si>
  <si>
    <t>CI-556</t>
  </si>
  <si>
    <t>CI-563</t>
  </si>
  <si>
    <t>CI-562</t>
  </si>
  <si>
    <t>CI-561</t>
  </si>
  <si>
    <t>CI-579</t>
  </si>
  <si>
    <t>CI-578</t>
  </si>
  <si>
    <t>CI-577</t>
  </si>
  <si>
    <t>CI-582</t>
  </si>
  <si>
    <t>CI-585</t>
  </si>
  <si>
    <t>CI-588</t>
  </si>
  <si>
    <t>CI-592</t>
  </si>
  <si>
    <t>CI-591</t>
  </si>
  <si>
    <t>CI-589</t>
  </si>
  <si>
    <t>CI-594</t>
  </si>
  <si>
    <t>CI-593</t>
  </si>
  <si>
    <t>High: Network ACLs do not allow unrestricted inbound traffic</t>
  </si>
  <si>
    <t>CI-607</t>
  </si>
  <si>
    <t>High: Lambda Function should not have Same IAM Role for more than one lambda function</t>
  </si>
  <si>
    <t>CI-610</t>
  </si>
  <si>
    <t>a summary</t>
  </si>
  <si>
    <t>CI-305</t>
  </si>
  <si>
    <t>Security: Operation Perimeter</t>
  </si>
  <si>
    <t>CI-573</t>
  </si>
  <si>
    <t>Full Automation of the MLOps Pipeline</t>
  </si>
  <si>
    <t>CI-302</t>
  </si>
  <si>
    <t>Multi-Tenant Infrastructure</t>
  </si>
  <si>
    <t>CI-385</t>
  </si>
  <si>
    <t>Automated ML Instance Clean Up</t>
  </si>
  <si>
    <t>CI-303</t>
  </si>
  <si>
    <t>Cloud Costs Insights</t>
  </si>
  <si>
    <t>CI-602</t>
  </si>
  <si>
    <t>Shutdown all services on the AWS account With the ID: 356848972643</t>
  </si>
  <si>
    <t>FB-456</t>
  </si>
  <si>
    <t>Create MLOps Pipeline for Model Build/Train/Deploy with Human-in-the-loop Automation</t>
  </si>
  <si>
    <t>PR-64</t>
  </si>
  <si>
    <t xml:space="preserve">JPM Backlog </t>
  </si>
  <si>
    <t>CI-550</t>
  </si>
  <si>
    <t>Documentation of DevOps stuff</t>
  </si>
  <si>
    <t>CI-553</t>
  </si>
  <si>
    <t>SPIKE: CircleCI AWS integration way (how and what account we would use)</t>
  </si>
  <si>
    <t>CI-544</t>
  </si>
  <si>
    <t>Update terraform cli on Bastion Prod to recent version</t>
  </si>
  <si>
    <t>CI-540</t>
  </si>
  <si>
    <t>Add RDS Cluster of DEMO env to FullEnvironmentTerraform code</t>
  </si>
  <si>
    <t>CI-536</t>
  </si>
  <si>
    <t>CI-538</t>
  </si>
  <si>
    <t>Prepare FullEnvironmentTerraform code to TBD</t>
  </si>
  <si>
    <t>CI-539</t>
  </si>
  <si>
    <t>Move terraform state files from Bastion Prod to S3</t>
  </si>
  <si>
    <t>CI-551</t>
  </si>
  <si>
    <t>Automate updating DEMO env</t>
  </si>
  <si>
    <t>CI-552</t>
  </si>
  <si>
    <t xml:space="preserve">MLP CircleCI pipeline test </t>
  </si>
  <si>
    <t>PR-62</t>
  </si>
  <si>
    <t>JPM Path to Green - Phase IV (Future Work)</t>
  </si>
  <si>
    <t>FB-399</t>
  </si>
  <si>
    <t>Potentially support delivery notes</t>
  </si>
  <si>
    <t>PR-61</t>
  </si>
  <si>
    <t>JPM Path to Green - Phase III (Remaining Committed Features in Schedule)</t>
  </si>
  <si>
    <t>PR-60</t>
  </si>
  <si>
    <t>JPM Path to Green - Phase II (New products in &lt; 100 hrs)</t>
  </si>
  <si>
    <t>CI-272</t>
  </si>
  <si>
    <t>CI/CD: Automate Everything</t>
  </si>
  <si>
    <t>PR-59</t>
  </si>
  <si>
    <t>ML Pipeline Integration to Atlas and Advisor</t>
  </si>
  <si>
    <t>PR-53</t>
  </si>
  <si>
    <t>Add all services to CircleCI for CI/CD and add Test-automation</t>
  </si>
  <si>
    <t>CI-366</t>
  </si>
  <si>
    <t>Start KT for all Admin functions</t>
  </si>
  <si>
    <t>CI-361</t>
  </si>
  <si>
    <t xml:space="preserve">Sonicwall KT for Eric and Makayla </t>
  </si>
  <si>
    <t>CI-549</t>
  </si>
  <si>
    <t>Check that all Lastpass items are moved to Bitwarden.</t>
  </si>
  <si>
    <t>CI-459</t>
  </si>
  <si>
    <t>Enable logging for all StateMachines</t>
  </si>
  <si>
    <t>PR-52</t>
  </si>
  <si>
    <t>(CA) External integration (data exchange)</t>
  </si>
  <si>
    <t>PR-51</t>
  </si>
  <si>
    <t>(CA) External integration (data feed)</t>
  </si>
  <si>
    <t>PR-50</t>
  </si>
  <si>
    <t>(RA) End-to-end user-level reporting</t>
  </si>
  <si>
    <t>PR-49</t>
  </si>
  <si>
    <t>(RA) Entity audit reporting</t>
  </si>
  <si>
    <t>PR-48</t>
  </si>
  <si>
    <t>(RA) Model alerting</t>
  </si>
  <si>
    <t>PR-47</t>
  </si>
  <si>
    <t>(RA) Data query</t>
  </si>
  <si>
    <t>PR-46</t>
  </si>
  <si>
    <t>(CS) Ticket history</t>
  </si>
  <si>
    <t>PR-45</t>
  </si>
  <si>
    <t>(CS) Ticket management</t>
  </si>
  <si>
    <t>PR-44</t>
  </si>
  <si>
    <t>(SLA) Model performance</t>
  </si>
  <si>
    <t>PR-43</t>
  </si>
  <si>
    <t>(SLA) Experience metrics</t>
  </si>
  <si>
    <t>PR-42</t>
  </si>
  <si>
    <t>(SLA) SLA reporting – Infrastructure Provider</t>
  </si>
  <si>
    <t>PR-41</t>
  </si>
  <si>
    <t>(SLA) SLA reporting – DataRig</t>
  </si>
  <si>
    <t>PR-40</t>
  </si>
  <si>
    <t>(GRC) Compliance audit</t>
  </si>
  <si>
    <t>PR-39</t>
  </si>
  <si>
    <t>(GRC) Data integrity</t>
  </si>
  <si>
    <t>PR-38</t>
  </si>
  <si>
    <t>(GRC) Risk posture reporting</t>
  </si>
  <si>
    <t>PR-37</t>
  </si>
  <si>
    <t>(GRC) Access third-party audit and compliance</t>
  </si>
  <si>
    <t>PR-36</t>
  </si>
  <si>
    <t>(CA) Mutual endpoint authentication</t>
  </si>
  <si>
    <t>PR-35</t>
  </si>
  <si>
    <t>(CA) Logical data isolation</t>
  </si>
  <si>
    <t>PR-34</t>
  </si>
  <si>
    <t xml:space="preserve">(RA) System security </t>
  </si>
  <si>
    <t>PR-33</t>
  </si>
  <si>
    <t>(RA) Issue isolation</t>
  </si>
  <si>
    <t>PR-32</t>
  </si>
  <si>
    <t>(RA) Model statistics</t>
  </si>
  <si>
    <t>PR-31</t>
  </si>
  <si>
    <t>(RA) Process statistics</t>
  </si>
  <si>
    <t>PR-30</t>
  </si>
  <si>
    <t>(RA) Process housekeeping</t>
  </si>
  <si>
    <t>PR-29</t>
  </si>
  <si>
    <t>(CS) Support mechanisms</t>
  </si>
  <si>
    <t>PR-28</t>
  </si>
  <si>
    <t>(SLA) Customer support</t>
  </si>
  <si>
    <t>PR-27</t>
  </si>
  <si>
    <t>(SLA) Service management</t>
  </si>
  <si>
    <t>PR-26</t>
  </si>
  <si>
    <t>(SLA) Service agreement</t>
  </si>
  <si>
    <t>PR-25</t>
  </si>
  <si>
    <t>(GRC) Credential management</t>
  </si>
  <si>
    <t>PR-24</t>
  </si>
  <si>
    <t>(GRC) Disaster recovery</t>
  </si>
  <si>
    <t>PR-23</t>
  </si>
  <si>
    <t>(GRC) High-availability</t>
  </si>
  <si>
    <t>PR-22</t>
  </si>
  <si>
    <t>(GRC) Data residency</t>
  </si>
  <si>
    <t>PR-21</t>
  </si>
  <si>
    <t>(GRC) Boundary access reporting</t>
  </si>
  <si>
    <t>PR-20</t>
  </si>
  <si>
    <t>(CA) User-level management</t>
  </si>
  <si>
    <t>PR-19</t>
  </si>
  <si>
    <t>(CA) Group-level user management</t>
  </si>
  <si>
    <t>PR-18</t>
  </si>
  <si>
    <t>(CA) Least-privileges access (Role-based)</t>
  </si>
  <si>
    <t>PR-17</t>
  </si>
  <si>
    <t>(CA) Multi-factor Authentication (MFA) Configuration</t>
  </si>
  <si>
    <t>PR-16</t>
  </si>
  <si>
    <t>(CA) Identity-based Access Manager (IdAM) Config</t>
  </si>
  <si>
    <t>PR-15</t>
  </si>
  <si>
    <t>Execution Layer Q3 Deliverables</t>
  </si>
  <si>
    <t>PR-14</t>
  </si>
  <si>
    <t>Execution Layer Q2 Deliverables</t>
  </si>
  <si>
    <t>PR-13</t>
  </si>
  <si>
    <t>Execution Layer Q1 Deliverables</t>
  </si>
  <si>
    <t>PR-12</t>
  </si>
  <si>
    <t>Port to Azure</t>
  </si>
  <si>
    <t>PR-10</t>
  </si>
  <si>
    <t>Process Modeler - Define an External Validation test</t>
  </si>
  <si>
    <t>PR-9</t>
  </si>
  <si>
    <t>Connect - Consume Exogenous Data from Feeds and to configure the input and output of data from the DataRig</t>
  </si>
  <si>
    <t>PR-8</t>
  </si>
  <si>
    <t>PR-7</t>
  </si>
  <si>
    <t xml:space="preserve">Knowledge Base - Initial Collection of all information from each Data Object created </t>
  </si>
  <si>
    <t>PR-6</t>
  </si>
  <si>
    <t>Entitlement Infrastructure to define what Apps/Templates are available per tenant and sub-tenant along with the templates</t>
  </si>
  <si>
    <t>PR-5</t>
  </si>
  <si>
    <t xml:space="preserve">Demo and POC Environment </t>
  </si>
  <si>
    <t>PR-1432</t>
  </si>
  <si>
    <t>Process Modeler - Define a Process Map configurable by Product and end-users</t>
  </si>
  <si>
    <t>PR-3</t>
  </si>
  <si>
    <t>Advisor - Configurable Display to load a template that consists of all the data for a new process</t>
  </si>
  <si>
    <t>PR-1433</t>
  </si>
  <si>
    <t>PR-58</t>
  </si>
  <si>
    <t>CloudFormation to Terraform Retooling</t>
  </si>
  <si>
    <t>PR-57</t>
  </si>
  <si>
    <t xml:space="preserve">Create a centralized MongoDB ODL to stream current PostgreSQL Data into.  </t>
  </si>
  <si>
    <t>PR-55</t>
  </si>
  <si>
    <t>Authentication and Authorization Re-Write</t>
  </si>
  <si>
    <t>PR-56</t>
  </si>
  <si>
    <t>Segment Service Re-write</t>
  </si>
  <si>
    <t>PR-54</t>
  </si>
  <si>
    <t xml:space="preserve">Complete Trunk Based Development (TBD) Documentation and take to all teams. </t>
  </si>
  <si>
    <t>CI-331</t>
  </si>
  <si>
    <t>Create new FE Infrastructure Stack for Mondelez UI</t>
  </si>
  <si>
    <t>BlackOps 21.22</t>
  </si>
  <si>
    <t>CI-437</t>
  </si>
  <si>
    <t>Get all of MLP team on CircleCI with Orbs</t>
  </si>
  <si>
    <t>CI-570</t>
  </si>
  <si>
    <t>Retrieve VFX and MDFW packages from deal feeds</t>
  </si>
  <si>
    <t>CI-345</t>
  </si>
  <si>
    <t xml:space="preserve">Clean up Dev Bastion Host Users and prep for transition to OpenVPN. </t>
  </si>
  <si>
    <t>CI-364</t>
  </si>
  <si>
    <t xml:space="preserve">Datadog integration, Instrumentation, and log ingestion. APM, Security. </t>
  </si>
  <si>
    <t>FB-44</t>
  </si>
  <si>
    <t>Create labeling service reviewing data and providing human validation</t>
  </si>
  <si>
    <t>Opportunity_ID</t>
  </si>
  <si>
    <t>Opportunity_Name</t>
  </si>
  <si>
    <t>Account_Name</t>
  </si>
  <si>
    <t>Stage</t>
  </si>
  <si>
    <t>ARR_Value</t>
  </si>
  <si>
    <t>Close_Date</t>
  </si>
  <si>
    <t>Probability_%</t>
  </si>
  <si>
    <t>Owner</t>
  </si>
  <si>
    <t>Mapped_Feature_ID</t>
  </si>
  <si>
    <t>Status</t>
  </si>
  <si>
    <t>Last_Activity_Date</t>
  </si>
  <si>
    <t>Notes</t>
  </si>
  <si>
    <t>Days_in_Stage</t>
  </si>
  <si>
    <t>OPP-001</t>
  </si>
  <si>
    <t>DTCC Trade Processing POC to Production</t>
  </si>
  <si>
    <t>Steve Shillingford</t>
  </si>
  <si>
    <t>Active</t>
  </si>
  <si>
    <t>2025-06-15</t>
  </si>
  <si>
    <t>2025-10-31</t>
  </si>
  <si>
    <t>OPP-002</t>
  </si>
  <si>
    <t>Broadridge Email Automation Expansion</t>
  </si>
  <si>
    <t>2025-11-30</t>
  </si>
  <si>
    <t>2025-07-01</t>
  </si>
  <si>
    <t>2025-10-15</t>
  </si>
  <si>
    <t>OPP-003</t>
  </si>
  <si>
    <t>Colony Bank SSI Deployment</t>
  </si>
  <si>
    <t>Regional Banks - Colony Bank</t>
  </si>
  <si>
    <t>Armen Sargysan</t>
  </si>
  <si>
    <t>2025-08-01</t>
  </si>
  <si>
    <t>2025-11-01</t>
  </si>
  <si>
    <t>OPP-004</t>
  </si>
  <si>
    <t>Accenture Multi-Agent Platform</t>
  </si>
  <si>
    <t>F-034, F-035</t>
  </si>
  <si>
    <t>2025-05-01</t>
  </si>
  <si>
    <t>2025-10-25</t>
  </si>
  <si>
    <t>OPP-005</t>
  </si>
  <si>
    <t>JP Morgan Reconciliation Annual Renewal</t>
  </si>
  <si>
    <t>Renewal</t>
  </si>
  <si>
    <t>2024-12-01</t>
  </si>
  <si>
    <t>2025-11-05</t>
  </si>
  <si>
    <t>OPP-006</t>
  </si>
  <si>
    <t>Sunwest Bank SSI Deployment</t>
  </si>
  <si>
    <t>Regional Banks - Sunwest Bank</t>
  </si>
  <si>
    <t>2026-01-31</t>
  </si>
  <si>
    <t>2025-09-01</t>
  </si>
  <si>
    <t>OPP-007</t>
  </si>
  <si>
    <t>Large Bank Trade Processing Platform</t>
  </si>
  <si>
    <t>[Confidential - Large US Bank]</t>
  </si>
  <si>
    <t>2026-02-28</t>
  </si>
  <si>
    <t>2025-07-15</t>
  </si>
  <si>
    <t>2025-11-06</t>
  </si>
  <si>
    <t>OPP-008</t>
  </si>
  <si>
    <t>Vantage Bank Custom Reconciliation POC</t>
  </si>
  <si>
    <t>Regional Banks - Vantage Bank</t>
  </si>
  <si>
    <t>2026-03-31</t>
  </si>
  <si>
    <t>2025-08-15</t>
  </si>
  <si>
    <t>2025-10-30</t>
  </si>
  <si>
    <t>Client tired of waiting, requires prepayment or binding contract</t>
  </si>
  <si>
    <t>OPP-009</t>
  </si>
  <si>
    <t>Insurance Company Loan Operations</t>
  </si>
  <si>
    <t>[Prospect - Insurance Co A]</t>
  </si>
  <si>
    <t>2026-04-30</t>
  </si>
  <si>
    <t>2025-11-04</t>
  </si>
  <si>
    <t>OPP-010</t>
  </si>
  <si>
    <t>Asset Manager Email Automation</t>
  </si>
  <si>
    <t>[Prospect - Asset Manager B]</t>
  </si>
  <si>
    <t>2025-09-15</t>
  </si>
  <si>
    <t>2025-11-03</t>
  </si>
  <si>
    <t>OPP-011</t>
  </si>
  <si>
    <t>Regional Bank Consortium Platform</t>
  </si>
  <si>
    <t>[Prospect - Regional Bank Consortium]</t>
  </si>
  <si>
    <t>Proposal</t>
  </si>
  <si>
    <t>2026-05-31</t>
  </si>
  <si>
    <t>Multiple platform features</t>
  </si>
  <si>
    <t>2025-10-28</t>
  </si>
  <si>
    <t>OPP-012</t>
  </si>
  <si>
    <t>Hedge Fund Trade Matching</t>
  </si>
  <si>
    <t>[Prospect - Hedge Fund D]</t>
  </si>
  <si>
    <t>2025-10-01</t>
  </si>
  <si>
    <t>OPP-013</t>
  </si>
  <si>
    <t>Global Bank Security Settlements</t>
  </si>
  <si>
    <t>[Prospect - Global Bank E]</t>
  </si>
  <si>
    <t>Qualification</t>
  </si>
  <si>
    <t>2026-06-30</t>
  </si>
  <si>
    <t>2025-11-02</t>
  </si>
  <si>
    <t>OPP-014</t>
  </si>
  <si>
    <t>Investment Bank One View Platform</t>
  </si>
  <si>
    <t>[Prospect - Investment Bank F]</t>
  </si>
  <si>
    <t>2026-07-31</t>
  </si>
  <si>
    <t>OPP-015</t>
  </si>
  <si>
    <t>European Bank Multi-Agent Exploration</t>
  </si>
  <si>
    <t>[Prospect - European Bank G]</t>
  </si>
  <si>
    <t>Introduction</t>
  </si>
  <si>
    <t>2026-09-30</t>
  </si>
  <si>
    <t>Early Stage</t>
  </si>
  <si>
    <t>2025-10-20</t>
  </si>
  <si>
    <t>OPP-016</t>
  </si>
  <si>
    <t>Pension Fund DeepPilot Discussion</t>
  </si>
  <si>
    <t>[Prospect - Pension Fund H]</t>
  </si>
  <si>
    <t>2026-08-31</t>
  </si>
  <si>
    <t>Clients</t>
  </si>
  <si>
    <t>Agent_Types</t>
  </si>
  <si>
    <t>Pipeline_Stages</t>
  </si>
  <si>
    <t>Priority_Tiers</t>
  </si>
  <si>
    <t>Categories</t>
  </si>
  <si>
    <t>Team_Assignment</t>
  </si>
  <si>
    <t>Status_Options</t>
  </si>
  <si>
    <t>Revenue_Types</t>
  </si>
  <si>
    <t>Yes_No_Options</t>
  </si>
  <si>
    <t>PRD_Status_Options</t>
  </si>
  <si>
    <t>Frontend</t>
  </si>
  <si>
    <t>Verbal Commitment</t>
  </si>
  <si>
    <t>Tier 2: Standard Delivery</t>
  </si>
  <si>
    <t>DevOps</t>
  </si>
  <si>
    <t>Tier 3: Custom Engagement</t>
  </si>
  <si>
    <t>ML (Machine Learning)</t>
  </si>
  <si>
    <t>Exploratory</t>
  </si>
  <si>
    <t>N/A</t>
  </si>
  <si>
    <t>Cancelled</t>
  </si>
  <si>
    <t>Closed Lost</t>
  </si>
  <si>
    <t>Project_ID</t>
  </si>
  <si>
    <t>Client_Name</t>
  </si>
  <si>
    <t>Project_Name</t>
  </si>
  <si>
    <t>Start_Date</t>
  </si>
  <si>
    <t>End_Date</t>
  </si>
  <si>
    <t>Project_Value</t>
  </si>
  <si>
    <t>Features_Required</t>
  </si>
  <si>
    <t>Mapped_Feature_IDs</t>
  </si>
  <si>
    <t>PROJ-001</t>
  </si>
  <si>
    <t>DTCC Phase 1 Onboarding</t>
  </si>
  <si>
    <t>Trade Processing Agent, Core Reconciliation</t>
  </si>
  <si>
    <t>F-026, F-028</t>
  </si>
  <si>
    <t>PROJ-002</t>
  </si>
  <si>
    <t>Email Automation, Trade Processing Enhancement</t>
  </si>
  <si>
    <t>F-030, F-029</t>
  </si>
  <si>
    <t>PROJ-003</t>
  </si>
  <si>
    <t>SSI Agent</t>
  </si>
  <si>
    <t>PROJ-004</t>
  </si>
  <si>
    <t>Multi-agent orchestration, Email Automation</t>
  </si>
  <si>
    <t>PROJ-005</t>
  </si>
  <si>
    <t>JP Morgan Annual Contract</t>
  </si>
  <si>
    <t>2024-01-01</t>
  </si>
  <si>
    <t>Core Reconciliation, Security Settlements</t>
  </si>
  <si>
    <t>F-032, F-033</t>
  </si>
  <si>
    <t>Original_Contract_Value</t>
  </si>
  <si>
    <t>Renewal_Date</t>
  </si>
  <si>
    <t>Upsell_Opportunity</t>
  </si>
  <si>
    <t>Potential_Expansion_ARR</t>
  </si>
  <si>
    <t>Risk_Level</t>
  </si>
  <si>
    <t>2026-12-31</t>
  </si>
  <si>
    <t>Additional agents (Security Settlements, SSI)</t>
  </si>
  <si>
    <t>2026-11-30</t>
  </si>
  <si>
    <t>Trade Processing + Email Automation expansion</t>
  </si>
  <si>
    <t>Medium (recent bug fix required)</t>
  </si>
  <si>
    <t>Platform expansion, additional asset classes</t>
  </si>
  <si>
    <t>2026-10-31</t>
  </si>
  <si>
    <t>New use cases, additional agents</t>
  </si>
  <si>
    <t>2026-12-15</t>
  </si>
  <si>
    <t>Additional regional banks</t>
  </si>
  <si>
    <t>DEEP SEE AI - SCORING RUBRIC &amp; FORMULAS</t>
  </si>
  <si>
    <t>PRIORITY SCORE FORMULA:</t>
  </si>
  <si>
    <t>Priority_Score = (ARR_Amount × Replicability_Score × Conversion_Probability_%) / Effort_Estimate_Weeks</t>
  </si>
  <si>
    <t>Example Calculation:</t>
  </si>
  <si>
    <t>• ARR: $200,000</t>
  </si>
  <si>
    <t>• Replicability: 5 (all clients benefit)</t>
  </si>
  <si>
    <t>• Conversion Probability: 100%</t>
  </si>
  <si>
    <t>• Effort: 6 weeks</t>
  </si>
  <si>
    <t>• Priority_Score = (200,000 × 5 × 100%) / 6 = 166,667 → Tier 1: Fast Track</t>
  </si>
  <si>
    <t>TIER ASSIGNMENT LOGIC:</t>
  </si>
  <si>
    <t>Tier</t>
  </si>
  <si>
    <t>Criteria</t>
  </si>
  <si>
    <t>Description</t>
  </si>
  <si>
    <t>Revenue_at_Risk = 'Yes'</t>
  </si>
  <si>
    <t>Negative Revenue (client threatening to leave)</t>
  </si>
  <si>
    <t>Priority_Score &gt;= 100</t>
  </si>
  <si>
    <t>High-value, replicable, high-probability</t>
  </si>
  <si>
    <t>Priority_Score 50-99</t>
  </si>
  <si>
    <t>Medium priority work</t>
  </si>
  <si>
    <t>Priority_Score 10-49</t>
  </si>
  <si>
    <t>Lower priority, often custom</t>
  </si>
  <si>
    <t>Priority_Score &lt; 10</t>
  </si>
  <si>
    <t>Low priority or exploratory</t>
  </si>
  <si>
    <t>CONVERSION PROBABILITY MAPPING:</t>
  </si>
  <si>
    <t>Pipeline Stage</t>
  </si>
  <si>
    <t>Probability</t>
  </si>
  <si>
    <t>10%</t>
  </si>
  <si>
    <t>30%</t>
  </si>
  <si>
    <t>50%</t>
  </si>
  <si>
    <t>60%</t>
  </si>
  <si>
    <t>80%</t>
  </si>
  <si>
    <t>100%</t>
  </si>
  <si>
    <t>0%</t>
  </si>
  <si>
    <t>REPLICABILITY SCORE (1-5):</t>
  </si>
  <si>
    <t>Score</t>
  </si>
  <si>
    <t>Definition</t>
  </si>
  <si>
    <t>One-off custom build (single client only)</t>
  </si>
  <si>
    <t>Somewhat custom (minimal reuse potential)</t>
  </si>
  <si>
    <t>Approximately half of clients benefit</t>
  </si>
  <si>
    <t>Most clients benefit</t>
  </si>
  <si>
    <t>All clients benefit (platform enhancement)</t>
  </si>
  <si>
    <t>EFFORT T-SHIRT SIZING:</t>
  </si>
  <si>
    <t>Size</t>
  </si>
  <si>
    <t>Weeks</t>
  </si>
  <si>
    <t>S (Small)</t>
  </si>
  <si>
    <t>2 weeks</t>
  </si>
  <si>
    <t>M (Medium)</t>
  </si>
  <si>
    <t>4 weeks</t>
  </si>
  <si>
    <t>L (Large)</t>
  </si>
  <si>
    <t>8 weeks</t>
  </si>
  <si>
    <t>XL (Extra Large)</t>
  </si>
  <si>
    <t>12+ weeks</t>
  </si>
  <si>
    <t>EMERGENCY BUFFER RULE:</t>
  </si>
  <si>
    <t>• Each sprint: 80% committed work (Tier 1-2), 20% emergency buffer (Tier 0)</t>
  </si>
  <si>
    <t>• If Tier 0 items exceed 20% buffer → Escalate to Ryan for sprint re-prioritization</t>
  </si>
  <si>
    <t>DEEP SEE AI UNIFIED PRIORITIZATION SYSTEM - INSTRUCTIONS</t>
  </si>
  <si>
    <t>FOR STEVE (Sales/CEO):</t>
  </si>
  <si>
    <t>Your role: Validate revenue and conversion data</t>
  </si>
  <si>
    <t>Steps:</t>
  </si>
  <si>
    <t>1. Go to Tab: Master_Data_Features</t>
  </si>
  <si>
    <t>2. Review columns: ARR_Amount, Revenue_Type, Contract_Status, Revenue_at_Risk, Conversion_Probability_%</t>
  </si>
  <si>
    <t>3. To override Priority_Score: Enter your score in Manual_Override_Score column</t>
  </si>
  <si>
    <t>4. Add context in Management_Notes column</t>
  </si>
  <si>
    <t>5. View your dashboard: PIVOT - Management View</t>
  </si>
  <si>
    <t>Time Required: ~2 hours initial setup, &lt;30 min weekly maintenance</t>
  </si>
  <si>
    <t>FOR RYAN (Product):</t>
  </si>
  <si>
    <t>Your role: Validate product features and replicability</t>
  </si>
  <si>
    <t>2. Review pre-populated features (47 features from Product Roadmap)</t>
  </si>
  <si>
    <t>3. Validate: Feature_Name, Agent_Type, Replicability_Score, Platform_vs_Custom, Quarter_Planned</t>
  </si>
  <si>
    <t>4. Review Priority_Score and Priority_Tier</t>
  </si>
  <si>
    <t>5. Override using Manual_Override_Score if you disagree</t>
  </si>
  <si>
    <t>6. View roadmap: PIVOT - Product Roadmap View</t>
  </si>
  <si>
    <t>FOR KONNOR (Engineering):</t>
  </si>
  <si>
    <t>Your role: Provide effort estimates</t>
  </si>
  <si>
    <t>2. Fill in for top 20 features: Effort_Estimate_Weeks, Engineering_Complexity, Dependencies, Team_Required</t>
  </si>
  <si>
    <t>3. Or use Effort_T-Shirt_Size dropdown: S/M/L/XL (auto-converts to weeks)</t>
  </si>
  <si>
    <t>4. Go to Tab: Master_Data_JIRA_Tickets</t>
  </si>
  <si>
    <t>5. Map JIRA tickets to features using Mapped_Feature_ID dropdown</t>
  </si>
  <si>
    <t>6. View capacity: PIVOT - Engineering View</t>
  </si>
  <si>
    <t>Time Required: ~2 hours initial workshop, &lt;30 min weekly updates</t>
  </si>
  <si>
    <t>FOR EVERYONE:</t>
  </si>
  <si>
    <t>• Pivot views auto-update when Master Data tabs change</t>
  </si>
  <si>
    <t>• Use slicers/filters to focus on your area</t>
  </si>
  <si>
    <t>• Priority_Score and Priority_Tier calculate automatically</t>
  </si>
  <si>
    <t>• Red flags = Tier 0 emergencies or Blocked items</t>
  </si>
  <si>
    <t>• Manual overrides allowed but must be documented in Notes</t>
  </si>
  <si>
    <t>KEY FORMULAS:</t>
  </si>
  <si>
    <t>Priority_Score = (ARR × Replicability × Probability%) / Effort_Weeks</t>
  </si>
  <si>
    <t>Weighted_ARR = ARR × Probability%</t>
  </si>
  <si>
    <t>Days_to_Close = Close_Date - TODAY()</t>
  </si>
  <si>
    <t>JIRA_Ticket_Count = COUNTIF(JIRA tickets, Feature_ID)</t>
  </si>
  <si>
    <t>TABS GUIDE:</t>
  </si>
  <si>
    <t>Tab Name</t>
  </si>
  <si>
    <t>Purpose</t>
  </si>
  <si>
    <t>Master_Data_Features</t>
  </si>
  <si>
    <t>47 product features with prioritization</t>
  </si>
  <si>
    <t>Master_Data_JIRA_Tickets</t>
  </si>
  <si>
    <t>198 engineering tickets mapped to features</t>
  </si>
  <si>
    <t>Master_Data_Sales_Pipeline</t>
  </si>
  <si>
    <t>16 sales opportunities</t>
  </si>
  <si>
    <t>Master_Data_Client_Projects</t>
  </si>
  <si>
    <t>5 active client projects</t>
  </si>
  <si>
    <t>Master_Data_Won_Deals</t>
  </si>
  <si>
    <t>5 won deals &amp; renewal tracking</t>
  </si>
  <si>
    <t>Lookup_Tables</t>
  </si>
  <si>
    <t>Reference data for dropdowns</t>
  </si>
  <si>
    <t>Scoring_Rubric</t>
  </si>
  <si>
    <t>Formula documentation</t>
  </si>
  <si>
    <t>README_Instructions</t>
  </si>
  <si>
    <t>This tab - user guide</t>
  </si>
  <si>
    <t>ARTEMIS STRATEGIC TRACKING (NEW):</t>
  </si>
  <si>
    <t>Ryan (Product) - Use these columns to track strategic platform work:</t>
  </si>
  <si>
    <t>• Artemis_Focus: Mark 'Yes' for strategic platform rebuild features</t>
  </si>
  <si>
    <t>• PRD_Status: Track PRD completion (Complete, In Progress, Not Started, N/A)</t>
  </si>
  <si>
    <t>• Epic_in_JIRA: Mark 'Yes' when epic is logged in JIRA</t>
  </si>
  <si>
    <t>View Strategic Balance:</t>
  </si>
  <si>
    <t>• Executive Dashboard - Shows Artemis vs Operational split</t>
  </si>
  <si>
    <t>• PIVOT_Strategic_vs_Operational - Detailed analysis by tier and PRD status</t>
  </si>
  <si>
    <t>Key Insight: Balance immediate revenue ($2.5M operational) vs platform scaling (Artemis)</t>
  </si>
  <si>
    <t>Date</t>
  </si>
  <si>
    <t>User</t>
  </si>
  <si>
    <t>Field_Changed</t>
  </si>
  <si>
    <t>Old_Value</t>
  </si>
  <si>
    <t>New_Value</t>
  </si>
  <si>
    <t>Reason_for_Change</t>
  </si>
  <si>
    <t>2025-11-08</t>
  </si>
  <si>
    <t>Vantage Bank losing interest, lowering conversion estimate</t>
  </si>
  <si>
    <t>EXECUTIVE SUMMARY DASHBOARD</t>
  </si>
  <si>
    <t>KEY PERFORMANCE INDICATORS</t>
  </si>
  <si>
    <t>Total ARR in Pipeline</t>
  </si>
  <si>
    <t>Total ARR at Risk</t>
  </si>
  <si>
    <t>Total Features</t>
  </si>
  <si>
    <t>Features Completed Q4</t>
  </si>
  <si>
    <t>Average Priority Score</t>
  </si>
  <si>
    <t>On-Time Delivery Rate</t>
  </si>
  <si>
    <t>Pipeline Conversion Rate</t>
  </si>
  <si>
    <t>Eng Capacity Req (Q4)</t>
  </si>
  <si>
    <t>TOP 5 LISTS</t>
  </si>
  <si>
    <t>Top 5 Highest Priority Features:</t>
  </si>
  <si>
    <t>Top 5 Clients by ARR:</t>
  </si>
  <si>
    <t>Feature ID</t>
  </si>
  <si>
    <t>Feature Name</t>
  </si>
  <si>
    <t>Priority Score</t>
  </si>
  <si>
    <t>ARR</t>
  </si>
  <si>
    <t>Client</t>
  </si>
  <si>
    <t>Total ARR</t>
  </si>
  <si>
    <t>Use Master_Data_Features sheet, sort by Priority_Score descending</t>
  </si>
  <si>
    <t>PIPELINE SUMMARY</t>
  </si>
  <si>
    <t>Count</t>
  </si>
  <si>
    <t>Closed Won Deals</t>
  </si>
  <si>
    <t>$5.65M</t>
  </si>
  <si>
    <t>$2.68M</t>
  </si>
  <si>
    <t>POC Stage</t>
  </si>
  <si>
    <t>$1.20M</t>
  </si>
  <si>
    <t>Proposal Stage</t>
  </si>
  <si>
    <t>$1.15M</t>
  </si>
  <si>
    <t>Qualification Stage</t>
  </si>
  <si>
    <t>$2.40M</t>
  </si>
  <si>
    <t>Introduction Stage</t>
  </si>
  <si>
    <t>$2.50M</t>
  </si>
  <si>
    <t>Total Active Pipeline</t>
  </si>
  <si>
    <t>$9.93M</t>
  </si>
  <si>
    <t>STRATEGIC vs OPERATIONAL BALANCE</t>
  </si>
  <si>
    <t>Artemis Platform Work</t>
  </si>
  <si>
    <t>features</t>
  </si>
  <si>
    <t>Operational/Client Work</t>
  </si>
  <si>
    <t>Artemis ARR Impact</t>
  </si>
  <si>
    <t>Operational ARR Impact</t>
  </si>
  <si>
    <t>PRDs Complete</t>
  </si>
  <si>
    <t>out of 47</t>
  </si>
  <si>
    <t>Epics in JIRA</t>
  </si>
  <si>
    <t>All</t>
  </si>
  <si>
    <t>Values</t>
  </si>
  <si>
    <t>Feature Count</t>
  </si>
  <si>
    <t>Avg Completion %</t>
  </si>
  <si>
    <t xml:space="preserve"> Total Total ARR</t>
  </si>
  <si>
    <t xml:space="preserve"> Total Feature Count</t>
  </si>
  <si>
    <t xml:space="preserve"> Total Avg Completion %</t>
  </si>
  <si>
    <t>(blank)</t>
  </si>
  <si>
    <t>Accenture Total</t>
  </si>
  <si>
    <t>Broadridge Total</t>
  </si>
  <si>
    <t>DTCC Total</t>
  </si>
  <si>
    <t>Internal Total</t>
  </si>
  <si>
    <t>JP Morgan Total</t>
  </si>
  <si>
    <t>Multiple Total</t>
  </si>
  <si>
    <t>Regional Banks Total</t>
  </si>
  <si>
    <t>Grand Total</t>
  </si>
  <si>
    <t>Weighted ARR</t>
  </si>
  <si>
    <t>Total Effort (Weeks)</t>
  </si>
  <si>
    <t>Avg Probability</t>
  </si>
  <si>
    <t xml:space="preserve"> Total Weighted ARR</t>
  </si>
  <si>
    <t xml:space="preserve"> Total Total Effort (Weeks)</t>
  </si>
  <si>
    <t xml:space="preserve"> Total Avg Probability</t>
  </si>
  <si>
    <t>Tier 0: Emergency Total</t>
  </si>
  <si>
    <t>Tier 1: Fast Track Total</t>
  </si>
  <si>
    <t>Tier 4: Backlog Total</t>
  </si>
  <si>
    <t>Total JIRA Tickets</t>
  </si>
  <si>
    <t>Avg Priority Score</t>
  </si>
  <si>
    <t xml:space="preserve"> Total Total JIRA Tickets</t>
  </si>
  <si>
    <t xml:space="preserve"> Total Avg Priority Score</t>
  </si>
  <si>
    <t>(blank) Total</t>
  </si>
  <si>
    <t>Multiple Teams Total</t>
  </si>
  <si>
    <t>Backend Total</t>
  </si>
  <si>
    <t>Avg Replicability</t>
  </si>
  <si>
    <t xml:space="preserve"> Total Avg Replicability</t>
  </si>
  <si>
    <t>Core Reconciliation Total</t>
  </si>
  <si>
    <t>Platform (All Agents) Total</t>
  </si>
  <si>
    <t>Platform (Analytics) Total</t>
  </si>
  <si>
    <t>Standing Settlement Instructions Total</t>
  </si>
  <si>
    <t>Trade Processing Total</t>
  </si>
  <si>
    <t>Q1 2026 Total</t>
  </si>
  <si>
    <t>DeepPilot Total</t>
  </si>
  <si>
    <t>Email Automation Total</t>
  </si>
  <si>
    <t>Matching Engine Total</t>
  </si>
  <si>
    <t>One View Total</t>
  </si>
  <si>
    <t>Security Settlements Total</t>
  </si>
  <si>
    <t>Q2 2026 Total</t>
  </si>
  <si>
    <t>Loan Operations Total</t>
  </si>
  <si>
    <t>Q3 2026 Total</t>
  </si>
  <si>
    <t>Q4 2025 Total</t>
  </si>
  <si>
    <t>STRATEGIC vs OPERATIONAL WORK - ARTEMIS PLATFORM FOCUS</t>
  </si>
  <si>
    <t>EXECUTIVE SUMMARY METRICS</t>
  </si>
  <si>
    <t>% Features: Artemis Focus</t>
  </si>
  <si>
    <t>Features with PRD Complete</t>
  </si>
  <si>
    <t>Features with Epic in JIRA</t>
  </si>
  <si>
    <t>Total ARR: Artemis Features</t>
  </si>
  <si>
    <t>Total ARR Impact</t>
  </si>
  <si>
    <t xml:space="preserve"> Total Total ARR Impact</t>
  </si>
  <si>
    <t>No Total</t>
  </si>
  <si>
    <t>Yes Total</t>
  </si>
  <si>
    <t>JIRA TICKETS SUMMARY - 6 ACTIVE PROJECTS</t>
  </si>
  <si>
    <t>TICKETS BY PROJECT</t>
  </si>
  <si>
    <t>TICKETS BY STATUS</t>
  </si>
  <si>
    <t>Ticket Count</t>
  </si>
  <si>
    <t>BACK Total</t>
  </si>
  <si>
    <t>CI Total</t>
  </si>
  <si>
    <t>FB Total</t>
  </si>
  <si>
    <t>PR Total</t>
  </si>
  <si>
    <t>SC Total</t>
  </si>
  <si>
    <t>UI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</si>
</sst>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284" formatCode="$#,##0"/>
    <numFmt numFmtId="8349" formatCode="mm/dd/yyyy"/>
  </numFmts>
  <fonts count="30">
    <font>
      <b val="0"/>
      <i val="0"/>
      <sz val="12"/>
      <color theme="1"/>
      <name val="Calibri"/>
      <scheme val="minor"/>
    </font>
    <font>
      <b val="0"/>
      <i val="0"/>
      <color rgb="FF4472C4"/>
      <name val="Calibri 14"/>
    </font>
    <font>
      <b val="0"/>
      <i val="0"/>
      <sz val="12"/>
      <color rgb="FF4472C4"/>
      <name val="Calibri 14"/>
    </font>
    <font>
      <b val="0"/>
      <i val="0"/>
      <sz val="12"/>
      <color rgb="FFFFFFFF"/>
      <name val="Calibri 11"/>
    </font>
    <font>
      <b val="0"/>
      <i val="0"/>
      <sz val="12"/>
      <color auto="1"/>
      <name val="Calibri"/>
      <scheme val="minor"/>
    </font>
    <font>
      <b val="0"/>
      <i val="0"/>
      <sz val="12"/>
      <color rgb="FF000000"/>
      <name val="Calibri"/>
      <scheme val="minor"/>
    </font>
    <font>
      <b val="0"/>
      <i val="0"/>
      <sz val="12"/>
      <color auto="1"/>
      <name val="Calibri 12"/>
    </font>
    <font>
      <b val="0"/>
      <i val="0"/>
      <sz val="12"/>
      <color auto="1"/>
      <name val="Calibri 11"/>
    </font>
    <font>
      <b val="0"/>
      <i val="0"/>
      <sz val="12"/>
      <color theme="1"/>
      <name val="Calibri 12"/>
    </font>
    <font>
      <b val="0"/>
      <i val="0"/>
      <sz val="12"/>
      <color rgb="FF4472C4"/>
      <name val="Calibri 16"/>
    </font>
    <font>
      <b val="0"/>
      <i val="0"/>
      <sz val="12"/>
      <color auto="1"/>
      <name val="Calibri 14"/>
    </font>
    <font>
      <b val="0"/>
      <i val="0"/>
      <sz val="12"/>
      <color rgb="FF666666"/>
      <name val="Calibri 10"/>
    </font>
    <font>
      <b val="0"/>
      <i val="0"/>
      <sz val="12"/>
      <color rgb="FF4472C4"/>
      <name val="Calibri 18"/>
    </font>
    <font>
      <b val="0"/>
      <i val="0"/>
      <sz val="12"/>
      <color rgb="FFFF0000"/>
      <name val="Calibri 18"/>
    </font>
    <font>
      <b val="0"/>
      <i val="0"/>
      <sz val="12"/>
      <color auto="1"/>
      <name val="Calibri 10"/>
    </font>
    <font>
      <b val="0"/>
      <i val="0"/>
      <sz val="12"/>
      <color theme="1"/>
      <name val="Calibri 14"/>
    </font>
    <font>
      <b val="0"/>
      <i val="0"/>
      <sz val="12"/>
      <color rgb="FF4472C4"/>
      <name val="Calibri 12"/>
    </font>
    <font>
      <b val="0"/>
      <i val="0"/>
      <color auto="1"/>
      <name val="Calibri 12"/>
    </font>
    <font>
      <b val="0"/>
      <i val="0"/>
      <color rgb="FFFF8C00"/>
      <name val="Calibri 14"/>
    </font>
    <font>
      <b val="0"/>
      <i val="0"/>
      <color rgb="FF228B22"/>
      <name val="Calibri 14"/>
    </font>
    <font>
      <b val="0"/>
      <i val="0"/>
      <sz val="12"/>
      <color rgb="FF4472C4"/>
      <name val="Calibri 14"/>
    </font>
    <font>
      <b val="0"/>
      <i val="0"/>
      <color rgb="FF228B22"/>
      <name val="Calibri 14"/>
    </font>
    <font>
      <b val="0"/>
      <i val="0"/>
      <color auto="1"/>
      <name val="Calibri 12"/>
    </font>
    <font>
      <b val="0"/>
      <i val="0"/>
      <sz val="12"/>
      <color rgb="FFFFFFFF"/>
      <name val="Calibri 11"/>
    </font>
    <font>
      <b val="0"/>
      <i val="0"/>
      <sz val="11"/>
      <color theme="1"/>
      <name val="Calibri"/>
      <scheme val="minor"/>
    </font>
    <font>
      <b val="0"/>
      <i val="0"/>
      <sz val="12"/>
      <color rgb="FFFFFFFF"/>
      <name val="Calibri"/>
      <scheme val="minor"/>
    </font>
    <font>
      <b val="0"/>
      <i val="0"/>
      <sz val="12"/>
      <color rgb="FFFF8C00"/>
      <name val="Calibri 14"/>
    </font>
    <font>
      <b val="0"/>
      <i val="0"/>
      <sz val="12"/>
      <color rgb="FF228B22"/>
      <name val="Calibri 14"/>
    </font>
    <font>
      <color rgb="FF4472C4"/>
      <name val="Calibri 14"/>
    </font>
    <font>
      <name val="Calibri 12"/>
    </font>
  </fonts>
  <fills count="2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87CEFA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E0"/>
      </patternFill>
    </fill>
    <fill>
      <patternFill patternType="solid">
        <fgColor rgb="FFFFDAB9"/>
      </patternFill>
    </fill>
    <fill>
      <patternFill patternType="solid">
        <fgColor rgb="FFFFE4E1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87CEEB"/>
      </patternFill>
    </fill>
    <fill>
      <patternFill patternType="solid">
        <fgColor rgb="FFD3D3D3"/>
      </patternFill>
    </fill>
    <fill>
      <patternFill patternType="solid">
        <fgColor rgb="FFFF6B6B"/>
      </patternFill>
    </fill>
    <fill>
      <patternFill patternType="solid">
        <fgColor rgb="FF90EE90"/>
      </patternFill>
    </fill>
    <fill>
      <patternFill patternType="solid">
        <fgColor rgb="FFE7E6E6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000000"/>
      </bottom>
      <diagonal/>
    </border>
  </borders>
  <cellStyleXfs count="7">
    <xf numFmtId="0" fontId="0" fillId="0" borderId="1"/>
    <xf numFmtId="49" fontId="1" fillId="0" borderId="2">
      <alignment horizontal="general" vertical="top"/>
    </xf>
    <xf numFmtId="49" fontId="2" fillId="0" borderId="1">
      <alignment horizontal="general" vertical="top"/>
    </xf>
    <xf numFmtId="49" fontId="20" fillId="0" borderId="1">
      <alignment horizontal="general" vertical="top"/>
    </xf>
    <xf numFmtId="8284" fontId="21" fillId="0" borderId="2">
      <alignment horizontal="general" vertical="top"/>
    </xf>
    <xf numFmtId="49" fontId="22" fillId="13" borderId="2">
      <alignment horizontal="general" vertical="top"/>
    </xf>
    <xf numFmtId="49" fontId="20" fillId="0" borderId="1">
      <alignment horizontal="general" vertical="top"/>
    </xf>
  </cellStyleXfs>
  <cellXfs count="67">
    <xf numFmtId="0" fontId="0" fillId="0" borderId="1" xfId="0"/>
    <xf numFmtId="49" fontId="3" fillId="2" borderId="3" xfId="0">
      <alignment horizontal="center" vertical="center"/>
    </xf>
    <xf numFmtId="49" fontId="3" fillId="2" borderId="4" xfId="0">
      <alignment horizontal="center" vertical="center"/>
    </xf>
    <xf numFmtId="0" fontId="4" fillId="0" borderId="3" xfId="0">
      <alignment vertical="top"/>
    </xf>
    <xf numFmtId="0" fontId="4" fillId="0" borderId="3" xfId="0">
      <alignment horizontal="center" vertical="top"/>
    </xf>
    <xf numFmtId="0" fontId="4" fillId="0" borderId="3" xfId="0">
      <alignment horizontal="right" vertical="top"/>
    </xf>
    <xf numFmtId="0" fontId="5" fillId="3" borderId="1" xfId="0">
      <alignment vertical="top"/>
    </xf>
    <xf numFmtId="8284" fontId="4" fillId="0" borderId="1" xfId="0">
      <alignment vertical="top"/>
    </xf>
    <xf numFmtId="0" fontId="4" fillId="4" borderId="3" xfId="0">
      <alignment vertical="top"/>
    </xf>
    <xf numFmtId="0" fontId="4" fillId="4" borderId="3" xfId="0">
      <alignment horizontal="center" vertical="top"/>
    </xf>
    <xf numFmtId="0" fontId="4" fillId="4" borderId="3" xfId="0">
      <alignment horizontal="right" vertical="top"/>
    </xf>
    <xf numFmtId="8284" fontId="4" fillId="4" borderId="3" xfId="0">
      <alignment horizontal="right" vertical="top"/>
    </xf>
    <xf numFmtId="9" fontId="4" fillId="4" borderId="3" xfId="0">
      <alignment horizontal="center" vertical="top"/>
    </xf>
    <xf numFmtId="8284" fontId="4" fillId="0" borderId="3" xfId="0">
      <alignment horizontal="right" vertical="top"/>
    </xf>
    <xf numFmtId="9" fontId="4" fillId="0" borderId="3" xfId="0">
      <alignment horizontal="center" vertical="top"/>
    </xf>
    <xf numFmtId="0" fontId="4" fillId="5" borderId="3" xfId="0">
      <alignment vertical="top"/>
    </xf>
    <xf numFmtId="0" fontId="3" fillId="6" borderId="1" xfId="0">
      <alignment vertical="top"/>
    </xf>
    <xf numFmtId="0" fontId="4" fillId="3" borderId="3" xfId="0">
      <alignment vertical="top"/>
    </xf>
    <xf numFmtId="49" fontId="23" fillId="17" borderId="4" xfId="0">
      <alignment horizontal="center" vertical="center"/>
    </xf>
    <xf numFmtId="8349" fontId="24" fillId="0" borderId="1" xfId="0"/>
    <xf numFmtId="8349" fontId="0" fillId="0" borderId="1" xfId="0"/>
    <xf numFmtId="0" fontId="0" fillId="18" borderId="1" xfId="0"/>
    <xf numFmtId="0" fontId="0" fillId="19" borderId="1" xfId="0"/>
    <xf numFmtId="0" fontId="0" fillId="20" borderId="1" xfId="0"/>
    <xf numFmtId="0" fontId="25" fillId="21" borderId="1" xfId="0"/>
    <xf numFmtId="0" fontId="0" fillId="22" borderId="1" xfId="0"/>
    <xf numFmtId="0" fontId="4" fillId="7" borderId="3" xfId="0">
      <alignment vertical="top"/>
    </xf>
    <xf numFmtId="8284" fontId="4" fillId="0" borderId="3" xfId="0">
      <alignment vertical="top"/>
    </xf>
    <xf numFmtId="8284" fontId="4" fillId="4" borderId="3" xfId="0">
      <alignment vertical="top"/>
    </xf>
    <xf numFmtId="0" fontId="4" fillId="8" borderId="3" xfId="0">
      <alignment vertical="top"/>
    </xf>
    <xf numFmtId="0" fontId="4" fillId="9" borderId="3" xfId="0">
      <alignment vertical="top"/>
    </xf>
    <xf numFmtId="0" fontId="4" fillId="10" borderId="3" xfId="0">
      <alignment vertical="top"/>
    </xf>
    <xf numFmtId="0" fontId="4" fillId="11" borderId="3" xfId="0">
      <alignment vertical="top"/>
    </xf>
    <xf numFmtId="0" fontId="4" fillId="12" borderId="3" xfId="0">
      <alignment vertical="top"/>
    </xf>
    <xf numFmtId="49" fontId="3" fillId="2" borderId="1" xfId="0">
      <alignment vertical="top"/>
    </xf>
    <xf numFmtId="49" fontId="3" fillId="2" borderId="1" xfId="0"/>
    <xf numFmtId="49" fontId="2" fillId="0" borderId="1" xfId="0">
      <alignment vertical="top"/>
    </xf>
    <xf numFmtId="49" fontId="6" fillId="0" borderId="1" xfId="0">
      <alignment vertical="top"/>
    </xf>
    <xf numFmtId="0" fontId="7" fillId="13" borderId="1" xfId="0">
      <alignment vertical="top"/>
    </xf>
    <xf numFmtId="49" fontId="6" fillId="14" borderId="1" xfId="0">
      <alignment vertical="top"/>
    </xf>
    <xf numFmtId="49" fontId="6" fillId="15" borderId="1" xfId="0">
      <alignment vertical="top"/>
    </xf>
    <xf numFmtId="49" fontId="6" fillId="16" borderId="1" xfId="0">
      <alignment vertical="top"/>
    </xf>
    <xf numFmtId="49" fontId="6" fillId="4" borderId="1" xfId="0">
      <alignment vertical="top"/>
    </xf>
    <xf numFmtId="49" fontId="8" fillId="14" borderId="1" xfId="0"/>
    <xf numFmtId="49" fontId="9" fillId="0" borderId="1" xfId="0">
      <alignment vertical="top"/>
    </xf>
    <xf numFmtId="49" fontId="10" fillId="13" borderId="1" xfId="0">
      <alignment vertical="top"/>
    </xf>
    <xf numFmtId="0" fontId="11" fillId="0" borderId="1" xfId="0">
      <alignment vertical="top"/>
    </xf>
    <xf numFmtId="8284" fontId="12" fillId="0" borderId="1" xfId="0"/>
    <xf numFmtId="8284" fontId="13" fillId="0" borderId="1" xfId="0"/>
    <xf numFmtId="3" fontId="12" fillId="0" borderId="1" xfId="0">
      <alignment vertical="top"/>
    </xf>
    <xf numFmtId="9" fontId="12" fillId="0" borderId="1" xfId="0">
      <alignment vertical="top"/>
    </xf>
    <xf numFmtId="0" fontId="7" fillId="0" borderId="1" xfId="0">
      <alignment vertical="top"/>
    </xf>
    <xf numFmtId="0" fontId="14" fillId="4" borderId="1" xfId="0">
      <alignment vertical="top"/>
    </xf>
    <xf numFmtId="0" fontId="7" fillId="4" borderId="1" xfId="0">
      <alignment vertical="top"/>
    </xf>
    <xf numFmtId="49" fontId="15" fillId="14" borderId="1" xfId="0"/>
    <xf numFmtId="3" fontId="16" fillId="0" borderId="1" xfId="0"/>
    <xf numFmtId="8284" fontId="16" fillId="0" borderId="1" xfId="0"/>
    <xf numFmtId="0" fontId="16" fillId="0" borderId="1" xfId="0"/>
    <xf numFmtId="49" fontId="2" fillId="0" borderId="1" xfId="6">
      <alignment vertical="top"/>
    </xf>
    <xf numFmtId="49" fontId="6" fillId="13" borderId="1" xfId="0">
      <alignment vertical="top"/>
    </xf>
    <xf numFmtId="9" fontId="2" fillId="0" borderId="1" xfId="0">
      <alignment vertical="top"/>
    </xf>
    <xf numFmtId="0" fontId="2" fillId="0" borderId="1" xfId="0">
      <alignment vertical="top"/>
    </xf>
    <xf numFmtId="8284" fontId="26" fillId="0" borderId="1" xfId="0">
      <alignment vertical="top"/>
    </xf>
    <xf numFmtId="8284" fontId="27" fillId="0" borderId="1" xfId="4">
      <alignment vertical="top"/>
    </xf>
    <xf numFmtId="49" fontId="6" fillId="13" borderId="1" xfId="5">
      <alignment vertical="top"/>
    </xf>
    <xf numFmtId="49" fontId="28" fillId="0" borderId="0" xfId="0">
      <alignment vertical="top"/>
    </xf>
    <xf numFmtId="49" fontId="29" fillId="23" borderId="0" xfId="0">
      <alignment vertical="top"/>
    </xf>
  </cellXfs>
  <cellStyles count="8">
    <cellStyle name="Normal" xfId="0" builtinId="0"/>
    <cellStyle name="__builtInPivotTableStyle0__builtInStyle27" xfId="1"/>
    <cellStyle name="__builtInPivotTableStyle0__builtInPivotTableStyle0__builtInStyle27" xfId="1"/>
    <cellStyle name="__builtInPivotTableStyle0__builtInStyle71" xfId="2"/>
    <cellStyle name="__builtInPivotTableStyle0__builtInStyle115" xfId="2"/>
    <cellStyle name="__builtInPivotTableStyle0__builtInStyle166" xfId="6"/>
    <cellStyle name="__builtInPivotTableStyle0__builtInStyle172" xfId="4"/>
    <cellStyle name="__builtInPivotTableStyle1__builtInStyle168" xfId="5"/>
  </cellStyles>
  <dxfs count="56">
    <dxf>
      <font>
        <color theme="1"/>
      </font>
      <border>
        <horizontal style="thin">
          <color theme="4" tint="0.8"/>
        </horizontal>
      </border>
    </dxf>
    <dxf>
      <border>
        <top style="thin">
          <color theme="4" tint="0.8"/>
        </top>
        <bottom style="thin">
          <color theme="4" tint="0.8"/>
        </bottom>
      </border>
    </dxf>
    <dxf>
      <border>
        <left style="thin">
          <color theme="4" tint="-0.25"/>
        </left>
        <right style="thin">
          <color theme="4" tint="-0.25"/>
        </right>
      </border>
    </dxf>
    <dxf>
      <border>
        <top style="thin">
          <color theme="4" tint="-0.25"/>
        </top>
        <bottom style="thin">
          <color theme="4" tint="-0.25"/>
        </bottom>
        <horizontal style="thin">
          <color theme="4" tint="-0.25"/>
        </horizontal>
      </border>
    </dxf>
    <dxf>
      <font>
        <color rgb="FFFFFFFF"/>
      </font>
      <fill>
        <patternFill patternType="solid">
          <fgColor theme="4" tint="-0.25"/>
          <bgColor theme="4" tint="-0.25"/>
        </patternFill>
      </fill>
      <border>
        <horizontal style="thin">
          <color theme="4" tint="-0.25"/>
        </horizontal>
      </border>
    </dxf>
    <dxf>
      <font>
        <b/>
        <sz val="11"/>
        <color rgb="FFFFFFFF"/>
        <name val="calibri"/>
      </font>
    </dxf>
    <dxf>
      <font>
        <b/>
        <sz val="11"/>
        <color rgb="FFFFFFFF"/>
        <name val="calibri"/>
      </font>
      <fill>
        <patternFill patternType="solid">
          <fgColor theme="4" tint="0.6"/>
          <bgColor theme="4" tint="0.6"/>
        </patternFill>
      </fill>
    </dxf>
    <dxf>
      <font>
        <b/>
        <sz val="11"/>
        <color theme="1"/>
        <name val="calibri"/>
      </font>
      <fill>
        <patternFill patternType="solid">
          <fgColor theme="0" tint="-0.15"/>
          <bgColor theme="0" tint="-0.15"/>
        </patternFill>
      </fill>
    </dxf>
    <dxf>
      <border>
        <bottom style="thin">
          <color theme="4" tint="0.8"/>
        </bottom>
      </border>
    </dxf>
    <dxf>
      <font>
        <color rgb="FFFFFFFF"/>
      </font>
      <fill>
        <patternFill patternType="solid">
          <fgColor theme="4" tint="0.6"/>
          <bgColor theme="4" tint="0.6"/>
        </patternFill>
      </fill>
      <border>
        <bottom style="thin">
          <color theme="4" tint="0.8"/>
        </bottom>
        <horizontal style="thin">
          <color theme="4" tint="0.6"/>
        </horizontal>
      </border>
    </dxf>
    <dxf>
      <fill>
        <patternFill patternType="solid">
          <fgColor theme="4" tint="0.8"/>
          <bgColor theme="4" tint="0.8"/>
        </patternFill>
      </fill>
      <border>
        <bottom style="thin">
          <color theme="4"/>
        </bottom>
      </border>
    </dxf>
    <dxf>
      <font>
        <b/>
        <sz val="11"/>
        <color theme="1"/>
        <name val="calibri"/>
      </font>
      <border>
        <top style="double">
          <color theme="4" tint="-0.25"/>
        </top>
      </border>
    </dxf>
    <dxf>
      <font>
        <color theme="1"/>
      </font>
      <border>
        <horizontal style="thin">
          <color theme="5" tint="0.8"/>
        </horizontal>
      </border>
    </dxf>
    <dxf>
      <border>
        <top style="thin">
          <color theme="5" tint="0.8"/>
        </top>
        <bottom style="thin">
          <color theme="5" tint="0.8"/>
        </bottom>
      </border>
    </dxf>
    <dxf>
      <border>
        <left style="thin">
          <color theme="5" tint="-0.25"/>
        </left>
        <right style="thin">
          <color theme="5" tint="-0.25"/>
        </right>
      </border>
    </dxf>
    <dxf>
      <border>
        <top style="thin">
          <color theme="5" tint="-0.25"/>
        </top>
        <bottom style="thin">
          <color theme="5" tint="-0.25"/>
        </bottom>
        <horizontal style="thin">
          <color theme="5" tint="-0.25"/>
        </horizontal>
      </border>
    </dxf>
    <dxf>
      <font>
        <color rgb="FFFFFFFF"/>
      </font>
      <fill>
        <patternFill patternType="solid">
          <fgColor theme="5" tint="-0.25"/>
          <bgColor theme="5" tint="-0.25"/>
        </patternFill>
      </fill>
      <border>
        <horizontal style="thin">
          <color theme="5" tint="-0.25"/>
        </horizontal>
      </border>
    </dxf>
    <dxf>
      <font>
        <b/>
        <sz val="11"/>
        <color rgb="FFFFFFFF"/>
        <name val="calibri"/>
      </font>
      <fill>
        <patternFill patternType="solid">
          <fgColor theme="5" tint="0.6"/>
          <bgColor theme="5" tint="0.6"/>
        </patternFill>
      </fill>
    </dxf>
    <dxf>
      <border>
        <bottom style="thin">
          <color theme="5" tint="0.8"/>
        </bottom>
      </border>
    </dxf>
    <dxf>
      <font>
        <color rgb="FFFFFFFF"/>
      </font>
      <fill>
        <patternFill patternType="solid">
          <fgColor theme="5" tint="0.6"/>
          <bgColor theme="5" tint="0.6"/>
        </patternFill>
      </fill>
      <border>
        <bottom style="thin">
          <color theme="5" tint="0.8"/>
        </bottom>
        <horizontal style="thin">
          <color theme="5" tint="0.6"/>
        </horizontal>
      </border>
    </dxf>
    <dxf>
      <fill>
        <patternFill patternType="solid">
          <fgColor theme="5" tint="0.8"/>
          <bgColor theme="5" tint="0.8"/>
        </patternFill>
      </fill>
      <border>
        <bottom style="thin">
          <color theme="5"/>
        </bottom>
      </border>
    </dxf>
    <dxf>
      <font>
        <b/>
        <sz val="11"/>
        <color theme="1"/>
        <name val="calibri"/>
      </font>
      <border>
        <top style="double">
          <color theme="5" tint="-0.25"/>
        </top>
      </border>
    </dxf>
    <dxf>
      <font>
        <color theme="1"/>
      </font>
      <border>
        <horizontal style="thin">
          <color theme="6" tint="0.8"/>
        </horizontal>
      </border>
    </dxf>
    <dxf>
      <border>
        <top style="thin">
          <color theme="6" tint="0.8"/>
        </top>
        <bottom style="thin">
          <color theme="6" tint="0.8"/>
        </bottom>
      </border>
    </dxf>
    <dxf>
      <border>
        <left style="thin">
          <color theme="6" tint="-0.25"/>
        </left>
        <right style="thin">
          <color theme="6" tint="-0.25"/>
        </right>
      </border>
    </dxf>
    <dxf>
      <border>
        <top style="thin">
          <color theme="6" tint="-0.25"/>
        </top>
        <bottom style="thin">
          <color theme="6" tint="-0.25"/>
        </bottom>
        <horizontal style="thin">
          <color theme="6" tint="-0.25"/>
        </horizontal>
      </border>
    </dxf>
    <dxf>
      <font>
        <color rgb="FFFFFFFF"/>
      </font>
      <fill>
        <patternFill patternType="solid">
          <fgColor theme="6" tint="-0.25"/>
          <bgColor theme="6" tint="-0.25"/>
        </patternFill>
      </fill>
      <border>
        <horizontal style="thin">
          <color theme="6" tint="-0.25"/>
        </horizontal>
      </border>
    </dxf>
    <dxf>
      <font>
        <b/>
        <sz val="11"/>
        <color rgb="FFFFFFFF"/>
        <name val="calibri"/>
      </font>
      <fill>
        <patternFill patternType="solid">
          <fgColor theme="6" tint="0.6"/>
          <bgColor theme="6" tint="0.6"/>
        </patternFill>
      </fill>
    </dxf>
    <dxf>
      <border>
        <bottom style="thin">
          <color theme="6" tint="0.8"/>
        </bottom>
      </border>
    </dxf>
    <dxf>
      <font>
        <color rgb="FFFFFFFF"/>
      </font>
      <fill>
        <patternFill patternType="solid">
          <fgColor theme="6" tint="0.6"/>
          <bgColor theme="6" tint="0.6"/>
        </patternFill>
      </fill>
      <border>
        <bottom style="thin">
          <color theme="6" tint="0.8"/>
        </bottom>
        <horizontal style="thin">
          <color theme="6" tint="0.6"/>
        </horizontal>
      </border>
    </dxf>
    <dxf>
      <fill>
        <patternFill patternType="solid">
          <fgColor theme="6" tint="0.8"/>
          <bgColor theme="6" tint="0.8"/>
        </patternFill>
      </fill>
      <border>
        <bottom style="thin">
          <color theme="6"/>
        </bottom>
      </border>
    </dxf>
    <dxf>
      <font>
        <b/>
        <sz val="11"/>
        <color theme="1"/>
        <name val="calibri"/>
      </font>
      <border>
        <top style="double">
          <color theme="6" tint="-0.25"/>
        </top>
      </border>
    </dxf>
    <dxf>
      <font>
        <color theme="1"/>
      </font>
      <border>
        <horizontal style="thin">
          <color theme="0" tint="-0.15"/>
        </horizontal>
      </border>
    </dxf>
    <dxf>
      <border>
        <top style="thin">
          <color theme="0" tint="-0.15"/>
        </top>
        <bottom style="thin">
          <color theme="0" tint="-0.15"/>
        </bottom>
      </border>
    </dxf>
    <dxf>
      <border>
        <left style="thin">
          <color theme="1" tint="0.5"/>
        </left>
        <right style="thin">
          <color theme="1" tint="0.5"/>
        </right>
      </border>
    </dxf>
    <dxf>
      <border>
        <top style="thin">
          <color theme="1" tint="0.5"/>
        </top>
        <bottom style="thin">
          <color theme="1" tint="0.5"/>
        </bottom>
        <horizontal style="thin">
          <color theme="1" tint="0.5"/>
        </horizontal>
      </border>
    </dxf>
    <dxf>
      <font>
        <color rgb="FFFFFFFF"/>
      </font>
      <fill>
        <patternFill patternType="solid">
          <fgColor theme="1" tint="0.5"/>
          <bgColor theme="1" tint="0.5"/>
        </patternFill>
      </fill>
      <border>
        <horizontal style="thin">
          <color theme="1" tint="0.5"/>
        </horizontal>
      </border>
    </dxf>
    <dxf>
      <font>
        <b/>
        <sz val="11"/>
        <color rgb="FFFFFFFF"/>
        <name val="calibri"/>
      </font>
      <fill>
        <patternFill patternType="solid">
          <fgColor theme="0" tint="-0.35"/>
          <bgColor theme="0" tint="-0.35"/>
        </patternFill>
      </fill>
    </dxf>
    <dxf>
      <border>
        <bottom style="thin">
          <color theme="0" tint="-0.15"/>
        </bottom>
      </border>
    </dxf>
    <dxf>
      <font>
        <color rgb="FFFFFFFF"/>
      </font>
      <fill>
        <patternFill patternType="solid">
          <fgColor theme="0" tint="-0.35"/>
          <bgColor theme="0" tint="-0.35"/>
        </patternFill>
      </fill>
      <border>
        <bottom style="thin">
          <color theme="0" tint="-0.15"/>
        </bottom>
        <horizontal style="thin">
          <color theme="0" tint="-0.15"/>
        </horizontal>
      </border>
    </dxf>
    <dxf>
      <fill>
        <patternFill patternType="solid">
          <fgColor theme="0" tint="-0.15"/>
          <bgColor theme="0" tint="-0.15"/>
        </patternFill>
      </fill>
      <border>
        <bottom style="thin">
          <color theme="0"/>
        </bottom>
      </border>
    </dxf>
    <dxf>
      <font>
        <b/>
        <sz val="11"/>
        <color theme="1"/>
        <name val="calibri"/>
      </font>
      <border>
        <top style="double">
          <color theme="1" tint="0.5"/>
        </top>
      </border>
    </dxf>
    <dxf>
      <font>
        <color theme="1"/>
      </font>
      <border>
        <horizontal style="thin">
          <color theme="4" tint="0.8"/>
        </horizontal>
      </border>
    </dxf>
    <dxf>
      <font>
        <color rgb="FFFFFFFF"/>
      </font>
      <fill>
        <patternFill patternType="solid">
          <fgColor theme="4" tint="-0.25"/>
          <bgColor theme="4" tint="-0.25"/>
        </patternFill>
      </fill>
      <border>
        <horizontal style="thin">
          <color theme="4" tint="-0.25"/>
        </horizontal>
      </border>
    </dxf>
    <dxf>
      <font>
        <b/>
        <sz val="11"/>
        <color rgb="FFFFFFFF"/>
        <name val="calibri"/>
      </font>
    </dxf>
    <dxf>
      <font>
        <b/>
        <sz val="11"/>
        <color rgb="FFFFFFFF"/>
        <name val="calibri"/>
      </font>
      <fill>
        <patternFill patternType="solid">
          <fgColor theme="4" tint="0.6"/>
          <bgColor theme="4" tint="0.6"/>
        </patternFill>
      </fill>
    </dxf>
    <dxf>
      <font>
        <b/>
        <sz val="11"/>
        <color theme="1"/>
        <name val="calibri"/>
      </font>
      <fill>
        <patternFill patternType="solid">
          <fgColor theme="0" tint="-0.15"/>
          <bgColor theme="0" tint="-0.15"/>
        </patternFill>
      </fill>
    </dxf>
    <dxf>
      <font>
        <color rgb="FFFFFFFF"/>
      </font>
      <fill>
        <patternFill patternType="solid">
          <fgColor theme="4" tint="0.6"/>
          <bgColor theme="4" tint="0.6"/>
        </patternFill>
      </fill>
      <border>
        <bottom style="thin">
          <color theme="4" tint="0.8"/>
        </bottom>
        <horizontal style="thin">
          <color theme="4" tint="0.6"/>
        </horizontal>
      </border>
    </dxf>
    <dxf>
      <fill>
        <patternFill patternType="solid">
          <fgColor theme="4" tint="0.8"/>
          <bgColor theme="4" tint="0.8"/>
        </patternFill>
      </fill>
      <border>
        <bottom style="thin">
          <color theme="4"/>
        </bottom>
      </border>
    </dxf>
    <dxf>
      <font>
        <b/>
        <sz val="11"/>
        <color theme="1"/>
        <name val="calibri"/>
      </font>
      <border>
        <top style="double">
          <color theme="4" tint="-0.25"/>
        </top>
      </border>
    </dxf>
    <dxf>
      <font>
        <color theme="1"/>
      </font>
      <border>
        <horizontal style="thin">
          <color theme="5" tint="0.8"/>
        </horizontal>
      </border>
    </dxf>
    <dxf>
      <font>
        <color rgb="FFFFFFFF"/>
      </font>
      <fill>
        <patternFill patternType="solid">
          <fgColor theme="5" tint="-0.25"/>
          <bgColor theme="5" tint="-0.25"/>
        </patternFill>
      </fill>
      <border>
        <horizontal style="thin">
          <color theme="5" tint="-0.25"/>
        </horizontal>
      </border>
    </dxf>
    <dxf>
      <font>
        <b/>
        <sz val="11"/>
        <color rgb="FFFFFFFF"/>
        <name val="calibri"/>
      </font>
      <fill>
        <patternFill patternType="solid">
          <fgColor theme="5" tint="0.6"/>
          <bgColor theme="5" tint="0.6"/>
        </patternFill>
      </fill>
    </dxf>
    <dxf>
      <font>
        <color rgb="FFFFFFFF"/>
      </font>
      <fill>
        <patternFill patternType="solid">
          <fgColor theme="5" tint="0.6"/>
          <bgColor theme="5" tint="0.6"/>
        </patternFill>
      </fill>
      <border>
        <bottom style="thin">
          <color theme="5" tint="0.8"/>
        </bottom>
        <horizontal style="thin">
          <color theme="5" tint="0.6"/>
        </horizontal>
      </border>
    </dxf>
    <dxf>
      <fill>
        <patternFill patternType="solid">
          <fgColor theme="5" tint="0.8"/>
          <bgColor theme="5" tint="0.8"/>
        </patternFill>
      </fill>
      <border>
        <bottom style="thin">
          <color theme="5"/>
        </bottom>
      </border>
    </dxf>
    <dxf>
      <font>
        <b/>
        <sz val="11"/>
        <color theme="1"/>
        <name val="calibri"/>
      </font>
      <border>
        <top style="double">
          <color theme="5" tint="-0.25"/>
        </top>
      </border>
    </dxf>
  </dxfs>
  <tableStyles defaultPivotStyle="PivotStyleLight16" defaultTableStyle="TableStyleMedium2" count="7">
    <tableStyle name="CustomPivotTableStyle_SalesByClient" table="0" count="15">
      <tableStyleElement type="wholeTable" dxfId="0"/>
      <tableStyleElement type="pageFieldLabels" dxfId="1"/>
      <tableStyleElement type="pageFieldValues" dxfId="1"/>
      <tableStyleElement type="firstColumnStripe" dxfId="2" size="1"/>
      <tableStyleElement type="secondColumnStripe" size="1"/>
      <tableStyleElement type="firstRowStripe" dxfId="3" size="1"/>
      <tableStyleElement type="secondRowStripe" size="1"/>
      <tableStyleElement type="headerRow" dxfId="4"/>
      <tableStyleElement type="firstHeaderCell" dxfId="5"/>
      <tableStyleElement type="firstSubtotalRow" dxfId="6"/>
      <tableStyleElement type="secondSubtotalRow" dxfId="7"/>
      <tableStyleElement type="firstColumnSubheading" dxfId="8"/>
      <tableStyleElement type="firstRowSubheading" dxfId="9"/>
      <tableStyleElement type="secondRowSubheading" dxfId="10"/>
      <tableStyleElement type="totalRow" dxfId="11"/>
    </tableStyle>
    <tableStyle name="CustomPivotTableStyle_RevenueByTier" table="0" count="15">
      <tableStyleElement type="wholeTable" dxfId="12"/>
      <tableStyleElement type="pageFieldLabels" dxfId="13"/>
      <tableStyleElement type="pageFieldValues" dxfId="13"/>
      <tableStyleElement type="firstColumnStripe" dxfId="14" size="1"/>
      <tableStyleElement type="secondColumnStripe" size="1"/>
      <tableStyleElement type="firstRowStripe" dxfId="15" size="1"/>
      <tableStyleElement type="secondRowStripe" size="1"/>
      <tableStyleElement type="headerRow" dxfId="16"/>
      <tableStyleElement type="firstHeaderCell" dxfId="5"/>
      <tableStyleElement type="firstSubtotalRow" dxfId="17"/>
      <tableStyleElement type="secondSubtotalRow" dxfId="7"/>
      <tableStyleElement type="firstColumnSubheading" dxfId="18"/>
      <tableStyleElement type="firstRowSubheading" dxfId="19"/>
      <tableStyleElement type="secondRowSubheading" dxfId="20"/>
      <tableStyleElement type="totalRow" dxfId="21"/>
    </tableStyle>
    <tableStyle name="CustomPivotTableStyle_EngineeringCapacity" table="0" count="15">
      <tableStyleElement type="wholeTable" dxfId="22"/>
      <tableStyleElement type="pageFieldLabels" dxfId="23"/>
      <tableStyleElement type="pageFieldValues" dxfId="23"/>
      <tableStyleElement type="firstColumnStripe" dxfId="24" size="1"/>
      <tableStyleElement type="secondColumnStripe" size="1"/>
      <tableStyleElement type="firstRowStripe" dxfId="25" size="1"/>
      <tableStyleElement type="secondRowStripe" size="1"/>
      <tableStyleElement type="headerRow" dxfId="26"/>
      <tableStyleElement type="firstHeaderCell" dxfId="5"/>
      <tableStyleElement type="firstSubtotalRow" dxfId="27"/>
      <tableStyleElement type="secondSubtotalRow" dxfId="7"/>
      <tableStyleElement type="firstColumnSubheading" dxfId="28"/>
      <tableStyleElement type="firstRowSubheading" dxfId="29"/>
      <tableStyleElement type="secondRowSubheading" dxfId="30"/>
      <tableStyleElement type="totalRow" dxfId="31"/>
    </tableStyle>
    <tableStyle name="CustomPivotTableStyle_ProductRoadmap" table="0" count="15">
      <tableStyleElement type="wholeTable" dxfId="32"/>
      <tableStyleElement type="pageFieldLabels" dxfId="33"/>
      <tableStyleElement type="pageFieldValues" dxfId="33"/>
      <tableStyleElement type="firstColumnStripe" dxfId="34" size="1"/>
      <tableStyleElement type="secondColumnStripe" size="1"/>
      <tableStyleElement type="firstRowStripe" dxfId="35" size="1"/>
      <tableStyleElement type="secondRowStripe" size="1"/>
      <tableStyleElement type="headerRow" dxfId="36"/>
      <tableStyleElement type="firstHeaderCell" dxfId="5"/>
      <tableStyleElement type="firstSubtotalRow" dxfId="37"/>
      <tableStyleElement type="secondSubtotalRow" dxfId="7"/>
      <tableStyleElement type="firstColumnSubheading" dxfId="38"/>
      <tableStyleElement type="firstRowSubheading" dxfId="39"/>
      <tableStyleElement type="secondRowSubheading" dxfId="40"/>
      <tableStyleElement type="totalRow" dxfId="41"/>
    </tableStyle>
    <tableStyle name="CustomPivotTableStyle_StrategicVsOperational" table="0" count="15">
      <tableStyleElement type="wholeTable" dxfId="0"/>
      <tableStyleElement type="pageFieldLabels" dxfId="1"/>
      <tableStyleElement type="pageFieldValues" dxfId="1"/>
      <tableStyleElement type="firstColumnStripe" dxfId="2" size="1"/>
      <tableStyleElement type="secondColumnStripe" size="1"/>
      <tableStyleElement type="firstRowStripe" dxfId="3" size="1"/>
      <tableStyleElement type="secondRowStripe" size="1"/>
      <tableStyleElement type="headerRow" dxfId="4"/>
      <tableStyleElement type="firstHeaderCell" dxfId="5"/>
      <tableStyleElement type="firstSubtotalRow" dxfId="6"/>
      <tableStyleElement type="secondSubtotalRow" dxfId="7"/>
      <tableStyleElement type="firstColumnSubheading" dxfId="8"/>
      <tableStyleElement type="firstRowSubheading" dxfId="9"/>
      <tableStyleElement type="secondRowSubheading" dxfId="10"/>
      <tableStyleElement type="totalRow" dxfId="11"/>
    </tableStyle>
    <tableStyle name="CustomPivotTableStyle_TicketsByProject" table="0" count="15">
      <tableStyleElement type="wholeTable" dxfId="42"/>
      <tableStyleElement type="pageFieldLabels" dxfId="1"/>
      <tableStyleElement type="pageFieldValues" dxfId="1"/>
      <tableStyleElement type="firstColumnStripe" dxfId="2" size="1"/>
      <tableStyleElement type="secondColumnStripe" size="1"/>
      <tableStyleElement type="firstRowStripe" dxfId="3" size="1"/>
      <tableStyleElement type="secondRowStripe" size="1"/>
      <tableStyleElement type="headerRow" dxfId="43"/>
      <tableStyleElement type="firstHeaderCell" dxfId="44"/>
      <tableStyleElement type="firstSubtotalRow" dxfId="45"/>
      <tableStyleElement type="secondSubtotalRow" dxfId="46"/>
      <tableStyleElement type="firstColumnSubheading" dxfId="8"/>
      <tableStyleElement type="firstRowSubheading" dxfId="47"/>
      <tableStyleElement type="secondRowSubheading" dxfId="48"/>
      <tableStyleElement type="totalRow" dxfId="49"/>
    </tableStyle>
    <tableStyle name="CustomPivotTableStyle_TicketsByStatus" table="0" count="15">
      <tableStyleElement type="wholeTable" dxfId="50"/>
      <tableStyleElement type="pageFieldLabels" dxfId="13"/>
      <tableStyleElement type="pageFieldValues" dxfId="13"/>
      <tableStyleElement type="firstColumnStripe" dxfId="14" size="1"/>
      <tableStyleElement type="secondColumnStripe" size="1"/>
      <tableStyleElement type="firstRowStripe" dxfId="15" size="1"/>
      <tableStyleElement type="secondRowStripe" size="1"/>
      <tableStyleElement type="headerRow" dxfId="51"/>
      <tableStyleElement type="firstHeaderCell" dxfId="44"/>
      <tableStyleElement type="firstSubtotalRow" dxfId="52"/>
      <tableStyleElement type="secondSubtotalRow" dxfId="46"/>
      <tableStyleElement type="firstColumnSubheading" dxfId="18"/>
      <tableStyleElement type="firstRowSubheading" dxfId="53"/>
      <tableStyleElement type="secondRowSubheading" dxfId="54"/>
      <tableStyleElement type="totalRow" dxfId="55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Relationship Id="rId18" Type="http://schemas.openxmlformats.org/officeDocument/2006/relationships/theme" Target="theme/theme1.xml"/><Relationship Id="rId19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Relationship Id="rId23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createdVersion="7" refreshedVersion="7">
  <cacheSource type="worksheet">
    <worksheetSource ref="B2:AR49" sheet="Master_Data_Features"/>
  </cacheSource>
  <cacheFields count="43">
    <cacheField name="Feature_ID">
      <sharedItems count="47">
        <s v="F-001"/>
        <s v="F-002"/>
        <s v="F-003"/>
        <s v="F-004"/>
        <s v="F-005"/>
        <s v="F-006"/>
        <s v="F-007"/>
        <s v="F-008"/>
        <s v="F-009"/>
        <s v="F-010"/>
        <s v="F-011"/>
        <s v="F-012"/>
        <s v="F-013"/>
        <s v="F-014"/>
        <s v="F-015"/>
        <s v="F-016"/>
        <s v="F-017"/>
        <s v="F-018"/>
        <s v="F-019"/>
        <s v="F-020"/>
        <s v="F-021"/>
        <s v="F-022"/>
        <s v="F-023"/>
        <s v="F-024"/>
        <s v="F-025"/>
        <s v="F-026"/>
        <s v="F-027"/>
        <s v="F-028"/>
        <s v="F-029"/>
        <s v="F-030"/>
        <s v="F-031"/>
        <s v="F-032"/>
        <s v="F-033"/>
        <s v="F-034"/>
        <s v="F-035"/>
        <s v="F-036"/>
        <s v="F-037"/>
        <s v="F-038"/>
        <s v="F-039"/>
        <s v="F-040"/>
        <s v="F-041"/>
        <s v="F-042"/>
        <s v="F-043"/>
        <s v="F-044"/>
        <s v="F-045"/>
        <s v="F-046"/>
        <s v="F-047"/>
      </sharedItems>
    </cacheField>
    <cacheField name="Feature_Name">
      <sharedItems count="47">
        <s v="LLM-Enhanced Extraction"/>
        <s v="Client Agent Interaction Enhancements"/>
        <s v="DeepSee Service Fabric Internal Enhancements"/>
        <s v="Retention Prediction UI"/>
        <s v="Double-click to view dashboard messages"/>
        <s v="Simplified Agentic UI Design"/>
        <s v="Matching Engine UI"/>
        <s v="Information Graph Enhanced Infrastructure"/>
        <s v="Enhanced Agent Outcome Reasoning and Planning"/>
        <s v="Inference / Training speed improvements"/>
        <s v="Activity Tracing Across Agents"/>
        <s v="Exception Prediction"/>
        <s v="Simplified Agentic UI Implementation"/>
        <s v="Information Graph UI Design"/>
        <s v="MCP Integration with 3rd Party Agents"/>
        <s v="Enhanced Integration with 3rd Party Applications - Outlook &amp; Ops Console"/>
        <s v="User configurable dashboards"/>
        <s v="Process Mapping and Optimization Opportunities"/>
        <s v="Information Graph UI Implementation"/>
        <s v="Technologist and Model Review UI implementation"/>
        <s v="DeepSee Service Fabric External Enhancements"/>
        <s v="Integrated foreign language support"/>
        <s v="Process variation highlights"/>
        <s v="Agentic Card UI Implementation for 3rd Party Applications"/>
        <s v="Enhanced Testing Suite UI Implementation"/>
        <s v="DTCC Agent Onboarding - Trade Processing Phase 1"/>
        <s v="DTCC Agent Onboarding - Trade Processing Phase 2"/>
        <s v="DTCC Agent Onboarding - Core Reconciliation"/>
        <s v="Broadridge Trade Matching Engine Enhancement"/>
        <s v="Broadridge Email Automation Workflow"/>
        <s v="Broadridge Critical Bug Fix - Trade Processing"/>
        <s v="JP Morgan Monthly Reconciliation Enhancement"/>
        <s v="JP Morgan Security Settlements Optimization"/>
        <s v="Accenture Email Automation Deployment"/>
        <s v="Accenture Multi-Agent Orchestration"/>
        <s v="SSI Agent Deployment - Colony Bank"/>
        <s v="SSI Agent Deployment - Sunwest Bank"/>
        <s v="Vantage Bank Custom Reconciliation (POC)"/>
        <s v="Email Automation - Response Generation Enhancement"/>
        <s v="Trade Processing - 100% Accuracy Validation"/>
        <s v="Security Settlements - Break Resolution Automation"/>
        <s v="SSI - Real-time Data Validation"/>
        <s v="Matching Engine - External Break Detection"/>
        <s v="One View - Cross-System Integration"/>
        <s v="Loan Operations - Application Automation"/>
        <s v="Core Reconciliation - Multi-System Support"/>
        <s v="DeepPilot - Financial Services Context Mining"/>
      </sharedItems>
    </cacheField>
    <cacheField name="Agent_Type">
      <sharedItems count="11">
        <s v="Platform (All Agents)"/>
        <s v="Platform (Analytics)"/>
        <s v="Matching Engine"/>
        <s v="Email Automation"/>
        <s v="Trade Processing"/>
        <s v="Core Reconciliation"/>
        <s v="Security Settlements"/>
        <s v="Standing Settlement Instructions"/>
        <s v="One View"/>
        <s v="Loan Operations"/>
        <s v="DeepPilot"/>
      </sharedItems>
    </cacheField>
    <cacheField name="Category">
      <sharedItems count="5">
        <s v="Platform Improvements"/>
        <s v="Core Infrastructure"/>
        <s v="API Development"/>
        <s v="Client-Specific Work"/>
        <s v="Bug Fixes"/>
      </sharedItems>
    </cacheField>
    <cacheField name="Quarter_Planned">
      <sharedItems count="4">
        <s v="Q4 2025"/>
        <s v="Q1 2026"/>
        <s v="Q2 2026"/>
        <s v="Q3 2026"/>
      </sharedItems>
    </cacheField>
    <cacheField name="Replicability_Score">
      <sharedItems count="5" containsString="0" containsNumber="1" containsInteger="1" minValue="1" maxValue="5" containsSemiMixedTypes="0">
        <n v="5"/>
        <n v="4"/>
        <n v="3"/>
        <n v="2"/>
        <n v="1"/>
      </sharedItems>
    </cacheField>
    <cacheField name="Primary_Client">
      <sharedItems count="7">
        <s v="Multiple"/>
        <s v="Internal"/>
        <s v="DTCC"/>
        <s v="Broadridge"/>
        <s v="JP Morgan"/>
        <s v="Accenture"/>
        <s v="Regional Banks"/>
      </sharedItems>
    </cacheField>
    <cacheField name="Additional_Clients">
      <sharedItems count="5" containsBlank="1" containsNumber="1" containsInteger="1" minValue="0" maxValue="0" containsMixedTypes="1">
        <n v="0"/>
        <m/>
        <s v="Colony Bank"/>
        <s v="Sunwest Bank"/>
        <s v="Vantage Bank"/>
      </sharedItems>
    </cacheField>
    <cacheField name="Platform_vs_Custom">
      <sharedItems count="3">
        <s v="Platform Enhancement"/>
        <s v="Client-Specific"/>
        <s v="Both"/>
      </sharedItems>
    </cacheField>
    <cacheField name="ARR_Amount">
      <sharedItems count="7" containsString="0" containsBlank="1" containsNumber="1" containsInteger="1" minValue="-500000" maxValue="1200000">
        <m/>
        <n v="750000"/>
        <n v="500000"/>
        <n v="-500000"/>
        <n v="1200000"/>
        <n v="200000"/>
        <n v="180000"/>
      </sharedItems>
    </cacheField>
    <cacheField name="Revenue_Type">
      <sharedItems count="4" containsBlank="1">
        <m/>
        <s v="New Contract"/>
        <s v="Expansion"/>
        <s v="Retention/Risk of Loss"/>
      </sharedItems>
    </cacheField>
    <cacheField name="Contract_Status">
      <sharedItems count="5" containsBlank="1" containsNumber="1" containsInteger="1" minValue="0" maxValue="0" containsMixedTypes="1">
        <m/>
        <s v="Signed"/>
        <n v="0"/>
        <s v="Contract Negotiation"/>
        <s v="POC"/>
      </sharedItems>
    </cacheField>
    <cacheField name="Pipeline_Stage">
      <sharedItems count="5" containsBlank="1" containsNumber="1" containsInteger="1" minValue="0" maxValue="0" containsMixedTypes="1">
        <m/>
        <s v="Closed Won"/>
        <n v="0"/>
        <s v="Contract Negotiation"/>
        <s v="POC"/>
      </sharedItems>
    </cacheField>
    <cacheField name="Conversion_Probability_%">
      <sharedItems count="4" containsString="0" containsBlank="1" containsNumber="1" minValue="0.5" maxValue="1">
        <m/>
        <n v="1"/>
        <n v="0.8"/>
        <n v="0.5"/>
      </sharedItems>
    </cacheField>
    <cacheField name="Current_Status">
      <sharedItems count="3" containsBlank="1">
        <m/>
        <s v="In Progress"/>
        <s v="Not Started"/>
      </sharedItems>
    </cacheField>
    <cacheField name="Completion_%">
      <sharedItems count="4" containsString="0" containsBlank="1" containsNumber="1" minValue="0.4" maxValue="0.7">
        <m/>
        <n v="0.6"/>
        <n v="0.7"/>
        <n v="0.4"/>
      </sharedItems>
    </cacheField>
    <cacheField name="Target_Completion_Date">
      <sharedItems count="3" containsBlank="1">
        <m/>
        <s v="2025-12-31"/>
        <s v="2025-12-15"/>
      </sharedItems>
    </cacheField>
    <cacheField name="Effort_Estimate_Weeks">
      <sharedItems count="5" containsString="0" containsBlank="1" containsNumber="1" containsInteger="1" minValue="0" maxValue="12">
        <m/>
        <n v="0"/>
        <n v="1"/>
        <n v="6"/>
        <n v="12"/>
      </sharedItems>
    </cacheField>
    <cacheField name="Revenue_at_Risk">
      <sharedItems count="3" containsBlank="1" containsNumber="1" containsInteger="1" minValue="0" maxValue="0" containsMixedTypes="1">
        <m/>
        <n v="0"/>
        <s v="Yes"/>
      </sharedItems>
    </cacheField>
    <cacheField name="Priority_Score">
      <sharedItems count="3" containsString="0" containsBlank="1" containsNumber="1" containsInteger="1" minValue="-500000" maxValue="0">
        <m/>
        <n v="0"/>
        <n v="-500000"/>
      </sharedItems>
    </cacheField>
    <cacheField name="Engineering_Notes">
      <sharedItems count="3" containsBlank="1">
        <m/>
        <s v="Daily client meetings, high touch"/>
        <s v="Tier 0: Emergency"/>
      </sharedItems>
    </cacheField>
    <cacheField name="Management_Notes">
      <sharedItems count="3" containsBlank="1" containsNumber="1" containsInteger="1" minValue="0" maxValue="0" containsMixedTypes="1">
        <m/>
        <n v="0"/>
        <s v="Only proceed if Vantage prepays 50% or signs binding contract"/>
      </sharedItems>
    </cacheField>
    <cacheField name="Client_Count">
      <sharedItems count="2" containsString="0" containsNumber="1" containsInteger="1" minValue="1" maxValue="2" containsSemiMixedTypes="0">
        <n v="1"/>
        <n v="2"/>
      </sharedItems>
    </cacheField>
    <cacheField name="Deal_Close_Date">
      <sharedItems count="1" containsString="0" containsBlank="1">
        <m/>
      </sharedItems>
    </cacheField>
    <cacheField name="Days_to_Close">
      <sharedItems count="1">
        <s v=""/>
      </sharedItems>
    </cacheField>
    <cacheField name="Multi_Client_Benefit">
      <sharedItems count="1" containsString="0" containsBlank="1">
        <m/>
      </sharedItems>
    </cacheField>
    <cacheField name="Effort_Estimate_Weeks2">
      <sharedItems count="5" containsString="0" containsBlank="1" containsNumber="1" containsInteger="1" minValue="1" maxValue="12">
        <m/>
        <n v="12"/>
        <n v="8"/>
        <n v="1"/>
        <n v="6"/>
      </sharedItems>
    </cacheField>
    <cacheField name="Effort_T-Shirt_Size">
      <sharedItems count="5" containsBlank="1">
        <m/>
        <s v="L-Large 8wks"/>
        <s v="S-Small 2wks"/>
        <s v="M-Medium 4wks"/>
        <s v="XL-Extra Large 12wks+"/>
      </sharedItems>
    </cacheField>
    <cacheField name="Engineering_Complexity">
      <sharedItems count="4" containsBlank="1">
        <m/>
        <s v="High"/>
        <s v="Medium"/>
        <s v="Low"/>
      </sharedItems>
    </cacheField>
    <cacheField name="Dependencies">
      <sharedItems count="3" containsBlank="1">
        <m/>
        <s v="Service fabric deployment, security audit"/>
        <s v="Client requires prepayment"/>
      </sharedItems>
    </cacheField>
    <cacheField name="Team_Required">
      <sharedItems count="3" containsBlank="1">
        <m/>
        <s v="Multiple Teams"/>
        <s v="Backend"/>
      </sharedItems>
    </cacheField>
    <cacheField name="Priority_Score2">
      <sharedItems count="7" containsString="0" containsNumber="1" minValue="-5000" maxValue="6000" containsSemiMixedTypes="0">
        <n v="0"/>
        <n v="1875"/>
        <n v="-5000"/>
        <n v="6000"/>
        <n v="1666.66666666667"/>
        <n v="1200"/>
        <n v="166.666666666667"/>
      </sharedItems>
    </cacheField>
    <cacheField name="Priority_Tier">
      <sharedItems count="3">
        <s v="Tier 4: Backlog"/>
        <s v="Tier 1: Fast Track"/>
        <s v="Tier 0: Emergency"/>
      </sharedItems>
    </cacheField>
    <cacheField name="Revenue_Impact_Type">
      <sharedItems count="3">
        <s v="Neutral (Internal/Platform)"/>
        <s v="Positive (New Revenue)"/>
        <s v="Negative (Risk of Loss)"/>
      </sharedItems>
    </cacheField>
    <cacheField name="Weighted_ARR">
      <sharedItems count="8" containsString="0" containsNumber="1" containsInteger="1" minValue="-5000" maxValue="12000" containsSemiMixedTypes="0">
        <n v="0"/>
        <n v="7500"/>
        <n v="5000"/>
        <n v="-5000"/>
        <n v="12000"/>
        <n v="2000"/>
        <n v="1440"/>
        <n v="1000"/>
      </sharedItems>
    </cacheField>
    <cacheField name="Assigned_To">
      <sharedItems count="1" containsString="0" containsBlank="1">
        <m/>
      </sharedItems>
    </cacheField>
    <cacheField name="Sprint_Assignment">
      <sharedItems count="1" containsString="0" containsBlank="1">
        <m/>
      </sharedItems>
    </cacheField>
    <cacheField name="JIRA_Ticket_Count">
      <sharedItems count="1" containsString="0" containsBlank="1">
        <m/>
      </sharedItems>
    </cacheField>
    <cacheField name="Created_Date">
      <sharedItems count="1" containsString="0" containsBlank="1">
        <m/>
      </sharedItems>
    </cacheField>
    <cacheField name="Target_Start_Date">
      <sharedItems count="1" containsString="0" containsBlank="1">
        <m/>
      </sharedItems>
    </cacheField>
    <cacheField name="Sales_Notes">
      <sharedItems count="9" containsString="0" containsNumber="1" containsInteger="1" minValue="0" maxValue="15" containsSemiMixedTypes="0">
        <n v="10"/>
        <n v="1"/>
        <n v="5"/>
        <n v="2"/>
        <n v="6"/>
        <n v="3"/>
        <n v="0"/>
        <n v="15"/>
        <n v="4"/>
      </sharedItems>
    </cacheField>
    <cacheField name="Manual_Override">
      <sharedItems count="1" containsString="0" containsBlank="1">
        <m/>
      </sharedItems>
    </cacheField>
    <cacheField name="Manual_Override_Score">
      <sharedItems count="1" containsString="0" containsBlank="1">
        <m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Definition2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createdVersion="7" refreshedVersion="7">
  <cacheSource type="worksheet">
    <worksheetSource ref="B2:AU49" sheet="Master_Data_Features"/>
  </cacheSource>
  <cacheFields count="46">
    <cacheField name="Feature_ID">
      <sharedItems count="47">
        <s v="F-001"/>
        <s v="F-002"/>
        <s v="F-003"/>
        <s v="F-004"/>
        <s v="F-005"/>
        <s v="F-006"/>
        <s v="F-007"/>
        <s v="F-008"/>
        <s v="F-009"/>
        <s v="F-010"/>
        <s v="F-011"/>
        <s v="F-012"/>
        <s v="F-013"/>
        <s v="F-014"/>
        <s v="F-015"/>
        <s v="F-016"/>
        <s v="F-017"/>
        <s v="F-018"/>
        <s v="F-019"/>
        <s v="F-020"/>
        <s v="F-021"/>
        <s v="F-022"/>
        <s v="F-023"/>
        <s v="F-024"/>
        <s v="F-025"/>
        <s v="F-026"/>
        <s v="F-027"/>
        <s v="F-028"/>
        <s v="F-029"/>
        <s v="F-030"/>
        <s v="F-031"/>
        <s v="F-032"/>
        <s v="F-033"/>
        <s v="F-034"/>
        <s v="F-035"/>
        <s v="F-036"/>
        <s v="F-037"/>
        <s v="F-038"/>
        <s v="F-039"/>
        <s v="F-040"/>
        <s v="F-041"/>
        <s v="F-042"/>
        <s v="F-043"/>
        <s v="F-044"/>
        <s v="F-045"/>
        <s v="F-046"/>
        <s v="F-047"/>
      </sharedItems>
    </cacheField>
    <cacheField name="Feature_Name">
      <sharedItems count="47">
        <s v="LLM-Enhanced Extraction"/>
        <s v="Client Agent Interaction Enhancements"/>
        <s v="DeepSee Service Fabric Internal Enhancements"/>
        <s v="Retention Prediction UI"/>
        <s v="Double-click to view dashboard messages"/>
        <s v="Simplified Agentic UI Design"/>
        <s v="Matching Engine UI"/>
        <s v="Information Graph Enhanced Infrastructure"/>
        <s v="Enhanced Agent Outcome Reasoning and Planning"/>
        <s v="Inference / Training speed improvements"/>
        <s v="Activity Tracing Across Agents"/>
        <s v="Exception Prediction"/>
        <s v="Simplified Agentic UI Implementation"/>
        <s v="Information Graph UI Design"/>
        <s v="MCP Integration with 3rd Party Agents"/>
        <s v="Enhanced Integration with 3rd Party Applications - Outlook &amp; Ops Console"/>
        <s v="User configurable dashboards"/>
        <s v="Process Mapping and Optimization Opportunities"/>
        <s v="Information Graph UI Implementation"/>
        <s v="Technologist and Model Review UI implementation"/>
        <s v="DeepSee Service Fabric External Enhancements"/>
        <s v="Integrated foreign language support"/>
        <s v="Process variation highlights"/>
        <s v="Agentic Card UI Implementation for 3rd Party Applications"/>
        <s v="Enhanced Testing Suite UI Implementation"/>
        <s v="DTCC Agent Onboarding - Trade Processing Phase 1"/>
        <s v="DTCC Agent Onboarding - Trade Processing Phase 2"/>
        <s v="DTCC Agent Onboarding - Core Reconciliation"/>
        <s v="Broadridge Trade Matching Engine Enhancement"/>
        <s v="Broadridge Email Automation Workflow"/>
        <s v="Broadridge Critical Bug Fix - Trade Processing"/>
        <s v="JP Morgan Monthly Reconciliation Enhancement"/>
        <s v="JP Morgan Security Settlements Optimization"/>
        <s v="Accenture Email Automation Deployment"/>
        <s v="Accenture Multi-Agent Orchestration"/>
        <s v="SSI Agent Deployment - Colony Bank"/>
        <s v="SSI Agent Deployment - Sunwest Bank"/>
        <s v="Vantage Bank Custom Reconciliation (POC)"/>
        <s v="Email Automation - Response Generation Enhancement"/>
        <s v="Trade Processing - 100% Accuracy Validation"/>
        <s v="Security Settlements - Break Resolution Automation"/>
        <s v="SSI - Real-time Data Validation"/>
        <s v="Matching Engine - External Break Detection"/>
        <s v="One View - Cross-System Integration"/>
        <s v="Loan Operations - Application Automation"/>
        <s v="Core Reconciliation - Multi-System Support"/>
        <s v="DeepPilot - Financial Services Context Mining"/>
      </sharedItems>
    </cacheField>
    <cacheField name="Agent_Type">
      <sharedItems count="11">
        <s v="Platform (All Agents)"/>
        <s v="Platform (Analytics)"/>
        <s v="Matching Engine"/>
        <s v="Email Automation"/>
        <s v="Trade Processing"/>
        <s v="Core Reconciliation"/>
        <s v="Security Settlements"/>
        <s v="Standing Settlement Instructions"/>
        <s v="One View"/>
        <s v="Loan Operations"/>
        <s v="DeepPilot"/>
      </sharedItems>
    </cacheField>
    <cacheField name="Category">
      <sharedItems count="5">
        <s v="Platform Improvements"/>
        <s v="Core Infrastructure"/>
        <s v="API Development"/>
        <s v="Client-Specific Work"/>
        <s v="Bug Fixes"/>
      </sharedItems>
    </cacheField>
    <cacheField name="Quarter_Planned">
      <sharedItems count="4">
        <s v="Q4 2025"/>
        <s v="Q1 2026"/>
        <s v="Q2 2026"/>
        <s v="Q3 2026"/>
      </sharedItems>
    </cacheField>
    <cacheField name="Replicability_Score">
      <sharedItems count="5" containsString="0" containsNumber="1" containsInteger="1" minValue="1" maxValue="5" containsSemiMixedTypes="0">
        <n v="5"/>
        <n v="4"/>
        <n v="3"/>
        <n v="2"/>
        <n v="1"/>
      </sharedItems>
    </cacheField>
    <cacheField name="Primary_Client">
      <sharedItems count="7">
        <s v="Multiple"/>
        <s v="Internal"/>
        <s v="DTCC"/>
        <s v="Broadridge"/>
        <s v="JP Morgan"/>
        <s v="Accenture"/>
        <s v="Regional Banks"/>
      </sharedItems>
    </cacheField>
    <cacheField name="Additional_Clients">
      <sharedItems count="5" containsBlank="1" containsNumber="1" containsInteger="1" minValue="0" maxValue="0" containsMixedTypes="1">
        <n v="0"/>
        <m/>
        <s v="Colony Bank"/>
        <s v="Sunwest Bank"/>
        <s v="Vantage Bank"/>
      </sharedItems>
    </cacheField>
    <cacheField name="Platform_vs_Custom">
      <sharedItems count="3">
        <s v="Platform Enhancement"/>
        <s v="Client-Specific"/>
        <s v="Both"/>
      </sharedItems>
    </cacheField>
    <cacheField name="ARR_Amount">
      <sharedItems count="7" containsString="0" containsBlank="1" containsNumber="1" containsInteger="1" minValue="-500000" maxValue="1200000">
        <m/>
        <n v="750000"/>
        <n v="500000"/>
        <n v="-500000"/>
        <n v="1200000"/>
        <n v="200000"/>
        <n v="180000"/>
      </sharedItems>
    </cacheField>
    <cacheField name="Revenue_Type">
      <sharedItems count="4" containsBlank="1">
        <m/>
        <s v="New Contract"/>
        <s v="Expansion"/>
        <s v="Retention/Risk of Loss"/>
      </sharedItems>
    </cacheField>
    <cacheField name="Contract_Status">
      <sharedItems count="5" containsBlank="1" containsNumber="1" containsInteger="1" minValue="0" maxValue="0" containsMixedTypes="1">
        <m/>
        <s v="Signed"/>
        <n v="0"/>
        <s v="Contract Negotiation"/>
        <s v="POC"/>
      </sharedItems>
    </cacheField>
    <cacheField name="Pipeline_Stage">
      <sharedItems count="5" containsBlank="1" containsNumber="1" containsInteger="1" minValue="0" maxValue="0" containsMixedTypes="1">
        <m/>
        <s v="Closed Won"/>
        <n v="0"/>
        <s v="Contract Negotiation"/>
        <s v="POC"/>
      </sharedItems>
    </cacheField>
    <cacheField name="Conversion_Probability_%">
      <sharedItems count="4" containsString="0" containsBlank="1" containsNumber="1" minValue="0.5" maxValue="1">
        <m/>
        <n v="1"/>
        <n v="0.8"/>
        <n v="0.5"/>
      </sharedItems>
    </cacheField>
    <cacheField name="Current_Status">
      <sharedItems count="3" containsBlank="1">
        <m/>
        <s v="In Progress"/>
        <s v="Not Started"/>
      </sharedItems>
    </cacheField>
    <cacheField name="Completion_%">
      <sharedItems count="4" containsString="0" containsBlank="1" containsNumber="1" minValue="0.4" maxValue="0.7">
        <m/>
        <n v="0.6"/>
        <n v="0.7"/>
        <n v="0.4"/>
      </sharedItems>
    </cacheField>
    <cacheField name="Target_Completion_Date">
      <sharedItems count="3" containsBlank="1">
        <m/>
        <s v="2025-12-31"/>
        <s v="2025-12-15"/>
      </sharedItems>
    </cacheField>
    <cacheField name="Effort_Estimate_Weeks">
      <sharedItems count="5" containsString="0" containsBlank="1" containsNumber="1" containsInteger="1" minValue="0" maxValue="12">
        <m/>
        <n v="0"/>
        <n v="1"/>
        <n v="6"/>
        <n v="12"/>
      </sharedItems>
    </cacheField>
    <cacheField name="Revenue_at_Risk">
      <sharedItems count="3" containsBlank="1" containsNumber="1" containsInteger="1" minValue="0" maxValue="0" containsMixedTypes="1">
        <m/>
        <n v="0"/>
        <s v="Yes"/>
      </sharedItems>
    </cacheField>
    <cacheField name="Priority_Score">
      <sharedItems count="3" containsString="0" containsBlank="1" containsNumber="1" containsInteger="1" minValue="-500000" maxValue="0">
        <m/>
        <n v="0"/>
        <n v="-500000"/>
      </sharedItems>
    </cacheField>
    <cacheField name="Engineering_Notes">
      <sharedItems count="3" containsBlank="1">
        <m/>
        <s v="Daily client meetings, high touch"/>
        <s v="Tier 0: Emergency"/>
      </sharedItems>
    </cacheField>
    <cacheField name="Management_Notes">
      <sharedItems count="3" containsBlank="1" containsNumber="1" containsInteger="1" minValue="0" maxValue="0" containsMixedTypes="1">
        <m/>
        <n v="0"/>
        <s v="Only proceed if Vantage prepays 50% or signs binding contract"/>
      </sharedItems>
    </cacheField>
    <cacheField name="Client_Count">
      <sharedItems count="2" containsString="0" containsNumber="1" containsInteger="1" minValue="1" maxValue="2" containsSemiMixedTypes="0">
        <n v="1"/>
        <n v="2"/>
      </sharedItems>
    </cacheField>
    <cacheField name="Deal_Close_Date">
      <sharedItems count="1" containsString="0" containsBlank="1">
        <m/>
      </sharedItems>
    </cacheField>
    <cacheField name="Days_to_Close">
      <sharedItems count="1">
        <s v=""/>
      </sharedItems>
    </cacheField>
    <cacheField name="Multi_Client_Benefit">
      <sharedItems count="1" containsString="0" containsBlank="1">
        <m/>
      </sharedItems>
    </cacheField>
    <cacheField name="Effort_Estimate_Weeks2">
      <sharedItems count="5" containsString="0" containsBlank="1" containsNumber="1" containsInteger="1" minValue="1" maxValue="12">
        <m/>
        <n v="12"/>
        <n v="8"/>
        <n v="1"/>
        <n v="6"/>
      </sharedItems>
    </cacheField>
    <cacheField name="Effort_T-Shirt_Size">
      <sharedItems count="5" containsBlank="1">
        <m/>
        <s v="L-Large 8wks"/>
        <s v="S-Small 2wks"/>
        <s v="M-Medium 4wks"/>
        <s v="XL-Extra Large 12wks+"/>
      </sharedItems>
    </cacheField>
    <cacheField name="Engineering_Complexity">
      <sharedItems count="4" containsBlank="1">
        <m/>
        <s v="High"/>
        <s v="Medium"/>
        <s v="Low"/>
      </sharedItems>
    </cacheField>
    <cacheField name="Dependencies">
      <sharedItems count="3" containsBlank="1">
        <m/>
        <s v="Service fabric deployment, security audit"/>
        <s v="Client requires prepayment"/>
      </sharedItems>
    </cacheField>
    <cacheField name="Team_Required">
      <sharedItems count="3" containsBlank="1">
        <m/>
        <s v="Multiple Teams"/>
        <s v="Backend"/>
      </sharedItems>
    </cacheField>
    <cacheField name="Priority_Score2">
      <sharedItems count="7" containsString="0" containsNumber="1" minValue="-5000" maxValue="6000" containsSemiMixedTypes="0">
        <n v="0"/>
        <n v="1875"/>
        <n v="-5000"/>
        <n v="6000"/>
        <n v="1666.66666666667"/>
        <n v="1200"/>
        <n v="166.666666666667"/>
      </sharedItems>
    </cacheField>
    <cacheField name="Priority_Tier">
      <sharedItems count="3">
        <s v="Tier 4: Backlog"/>
        <s v="Tier 1: Fast Track"/>
        <s v="Tier 0: Emergency"/>
      </sharedItems>
    </cacheField>
    <cacheField name="Revenue_Impact_Type">
      <sharedItems count="3">
        <s v="Neutral (Internal/Platform)"/>
        <s v="Positive (New Revenue)"/>
        <s v="Negative (Risk of Loss)"/>
      </sharedItems>
    </cacheField>
    <cacheField name="Weighted_ARR">
      <sharedItems count="8" containsString="0" containsNumber="1" containsInteger="1" minValue="-5000" maxValue="12000" containsSemiMixedTypes="0">
        <n v="0"/>
        <n v="7500"/>
        <n v="5000"/>
        <n v="-5000"/>
        <n v="12000"/>
        <n v="2000"/>
        <n v="1440"/>
        <n v="1000"/>
      </sharedItems>
    </cacheField>
    <cacheField name="Assigned_To">
      <sharedItems count="1" containsString="0" containsBlank="1">
        <m/>
      </sharedItems>
    </cacheField>
    <cacheField name="Sprint_Assignment">
      <sharedItems count="1" containsString="0" containsBlank="1">
        <m/>
      </sharedItems>
    </cacheField>
    <cacheField name="JIRA_Ticket_Count">
      <sharedItems count="1" containsString="0" containsBlank="1">
        <m/>
      </sharedItems>
    </cacheField>
    <cacheField name="Created_Date">
      <sharedItems count="1" containsString="0" containsBlank="1">
        <m/>
      </sharedItems>
    </cacheField>
    <cacheField name="Target_Start_Date">
      <sharedItems count="1" containsString="0" containsBlank="1">
        <m/>
      </sharedItems>
    </cacheField>
    <cacheField name="Sales_Notes">
      <sharedItems count="9" containsString="0" containsNumber="1" containsInteger="1" minValue="0" maxValue="15" containsSemiMixedTypes="0">
        <n v="10"/>
        <n v="1"/>
        <n v="5"/>
        <n v="2"/>
        <n v="6"/>
        <n v="3"/>
        <n v="0"/>
        <n v="15"/>
        <n v="4"/>
      </sharedItems>
    </cacheField>
    <cacheField name="Manual_Override">
      <sharedItems count="1" containsString="0" containsBlank="1">
        <m/>
      </sharedItems>
    </cacheField>
    <cacheField name="Manual_Override_Score">
      <sharedItems count="1" containsString="0" containsBlank="1">
        <m/>
      </sharedItems>
    </cacheField>
    <cacheField name="Artemis_Focus">
      <sharedItems count="2">
        <s v="Yes"/>
        <s v="No"/>
      </sharedItems>
    </cacheField>
    <cacheField name="PRD_Status">
      <sharedItems count="3">
        <s v="In Progress"/>
        <s v="Not Started"/>
        <s v="Complete"/>
      </sharedItems>
    </cacheField>
    <cacheField name="Epic_in_JIRA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00000001"/>
    </ext>
  </extLst>
</pivotCacheDefinition>
</file>

<file path=xl/pivotCache/pivotCacheDefinition3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createdVersion="7" refreshedVersion="7">
  <cacheSource type="worksheet">
    <worksheetSource ref="A1:O2664" sheet="Master_Data_JIRA_Tickets"/>
  </cacheSource>
  <cacheFields count="15">
    <cacheField name="jira_ticket_id">
      <sharedItems count="2663">
        <s v="PR-1555"/>
        <s v="UI-694"/>
        <s v="BACK-1481"/>
        <s v="UI-693"/>
        <s v="UI-692"/>
        <s v="UI-691"/>
        <s v="UI-690"/>
        <s v="UI-689"/>
        <s v="UI-688"/>
        <s v="UI-687"/>
        <s v="CI-894"/>
        <s v="CI-893"/>
        <s v="BACK-1480"/>
        <s v="PR-1553"/>
        <s v="CI-892"/>
        <s v="CI-891"/>
        <s v="UI-686"/>
        <s v="UI-685"/>
        <s v="CI-890"/>
        <s v="CI-889"/>
        <s v="UI-684"/>
        <s v="UI-683"/>
        <s v="PR-1552"/>
        <s v="PR-1551"/>
        <s v="SC-299"/>
        <s v="UI-682"/>
        <s v="UI-681"/>
        <s v="BACK-1477"/>
        <s v="CI-887"/>
        <s v="CI-886"/>
        <s v="BACK-1474"/>
        <s v="BACK-1472"/>
        <s v="BACK-1471"/>
        <s v="BACK-1470"/>
        <s v="BACK-1469"/>
        <s v="BACK-1468"/>
        <s v="BACK-1467"/>
        <s v="BACK-1466"/>
        <s v="UI-678"/>
        <s v="BACK-1465"/>
        <s v="BACK-1464"/>
        <s v="BACK-1463"/>
        <s v="CI-885"/>
        <s v="BACK-1462"/>
        <s v="BACK-1436"/>
        <s v="SC-298"/>
        <s v="SC-297"/>
        <s v="SC-296"/>
        <s v="SC-295"/>
        <s v="SC-294"/>
        <s v="SC-293"/>
        <s v="SC-292"/>
        <s v="SC-291"/>
        <s v="SC-290"/>
        <s v="SC-289"/>
        <s v="SC-288"/>
        <s v="SC-287"/>
        <s v="SC-286"/>
        <s v="SC-285"/>
        <s v="SC-284"/>
        <s v="SC-283"/>
        <s v="SC-282"/>
        <s v="SC-281"/>
        <s v="SC-280"/>
        <s v="SC-279"/>
        <s v="SC-278"/>
        <s v="SC-277"/>
        <s v="SC-276"/>
        <s v="SC-275"/>
        <s v="SC-274"/>
        <s v="SC-273"/>
        <s v="SC-272"/>
        <s v="SC-271"/>
        <s v="SC-270"/>
        <s v="SC-269"/>
        <s v="SC-268"/>
        <s v="SC-267"/>
        <s v="SC-266"/>
        <s v="SC-265"/>
        <s v="SC-264"/>
        <s v="SC-263"/>
        <s v="SC-262"/>
        <s v="SC-261"/>
        <s v="SC-260"/>
        <s v="SC-259"/>
        <s v="SC-258"/>
        <s v="SC-257"/>
        <s v="SC-256"/>
        <s v="SC-255"/>
        <s v="SC-254"/>
        <s v="SC-253"/>
        <s v="SC-252"/>
        <s v="SC-251"/>
        <s v="SC-250"/>
        <s v="SC-249"/>
        <s v="SC-248"/>
        <s v="SC-247"/>
        <s v="SC-246"/>
        <s v="SC-245"/>
        <s v="SC-244"/>
        <s v="SC-243"/>
        <s v="SC-242"/>
        <s v="SC-241"/>
        <s v="SC-240"/>
        <s v="SC-239"/>
        <s v="SC-238"/>
        <s v="SC-237"/>
        <s v="SC-236"/>
        <s v="SC-235"/>
        <s v="SC-234"/>
        <s v="SC-233"/>
        <s v="SC-232"/>
        <s v="SC-231"/>
        <s v="SC-230"/>
        <s v="SC-229"/>
        <s v="SC-228"/>
        <s v="SC-227"/>
        <s v="SC-226"/>
        <s v="SC-225"/>
        <s v="SC-224"/>
        <s v="SC-223"/>
        <s v="SC-222"/>
        <s v="SC-221"/>
        <s v="SC-220"/>
        <s v="SC-219"/>
        <s v="SC-218"/>
        <s v="SC-217"/>
        <s v="SC-216"/>
        <s v="SC-215"/>
        <s v="SC-214"/>
        <s v="SC-213"/>
        <s v="SC-212"/>
        <s v="SC-211"/>
        <s v="SC-210"/>
        <s v="SC-209"/>
        <s v="SC-208"/>
        <s v="SC-207"/>
        <s v="SC-206"/>
        <s v="SC-205"/>
        <s v="SC-204"/>
        <s v="SC-203"/>
        <s v="SC-202"/>
        <s v="SC-201"/>
        <s v="SC-200"/>
        <s v="SC-199"/>
        <s v="SC-198"/>
        <s v="SC-197"/>
        <s v="SC-196"/>
        <s v="SC-195"/>
        <s v="SC-194"/>
        <s v="SC-193"/>
        <s v="SC-192"/>
        <s v="SC-191"/>
        <s v="SC-190"/>
        <s v="SC-189"/>
        <s v="SC-188"/>
        <s v="SC-187"/>
        <s v="SC-186"/>
        <s v="SC-185"/>
        <s v="SC-184"/>
        <s v="SC-183"/>
        <s v="SC-182"/>
        <s v="SC-181"/>
        <s v="SC-180"/>
        <s v="SC-179"/>
        <s v="SC-178"/>
        <s v="SC-177"/>
        <s v="SC-176"/>
        <s v="SC-175"/>
        <s v="SC-174"/>
        <s v="SC-173"/>
        <s v="SC-172"/>
        <s v="SC-171"/>
        <s v="SC-170"/>
        <s v="SC-169"/>
        <s v="SC-168"/>
        <s v="SC-167"/>
        <s v="SC-166"/>
        <s v="SC-165"/>
        <s v="SC-164"/>
        <s v="SC-163"/>
        <s v="SC-162"/>
        <s v="SC-161"/>
        <s v="SC-160"/>
        <s v="SC-159"/>
        <s v="SC-158"/>
        <s v="SC-157"/>
        <s v="SC-156"/>
        <s v="SC-155"/>
        <s v="SC-154"/>
        <s v="SC-153"/>
        <s v="SC-152"/>
        <s v="SC-151"/>
        <s v="SC-150"/>
        <s v="SC-149"/>
        <s v="SC-148"/>
        <s v="SC-147"/>
        <s v="SC-146"/>
        <s v="SC-145"/>
        <s v="SC-144"/>
        <s v="SC-143"/>
        <s v="SC-142"/>
        <s v="SC-141"/>
        <s v="SC-140"/>
        <s v="SC-139"/>
        <s v="SC-138"/>
        <s v="SC-137"/>
        <s v="SC-136"/>
        <s v="SC-135"/>
        <s v="SC-134"/>
        <s v="SC-133"/>
        <s v="SC-132"/>
        <s v="SC-131"/>
        <s v="SC-130"/>
        <s v="SC-129"/>
        <s v="SC-128"/>
        <s v="SC-127"/>
        <s v="SC-126"/>
        <s v="SC-125"/>
        <s v="SC-124"/>
        <s v="SC-123"/>
        <s v="SC-122"/>
        <s v="SC-121"/>
        <s v="SC-120"/>
        <s v="SC-119"/>
        <s v="SC-118"/>
        <s v="SC-117"/>
        <s v="SC-116"/>
        <s v="SC-115"/>
        <s v="SC-114"/>
        <s v="SC-113"/>
        <s v="SC-112"/>
        <s v="SC-111"/>
        <s v="SC-110"/>
        <s v="SC-109"/>
        <s v="SC-108"/>
        <s v="SC-107"/>
        <s v="SC-106"/>
        <s v="SC-105"/>
        <s v="SC-104"/>
        <s v="SC-103"/>
        <s v="SC-102"/>
        <s v="SC-101"/>
        <s v="SC-100"/>
        <s v="SC-99"/>
        <s v="SC-98"/>
        <s v="SC-97"/>
        <s v="SC-96"/>
        <s v="SC-95"/>
        <s v="SC-94"/>
        <s v="SC-93"/>
        <s v="SC-92"/>
        <s v="SC-91"/>
        <s v="SC-90"/>
        <s v="SC-89"/>
        <s v="SC-88"/>
        <s v="SC-87"/>
        <s v="SC-86"/>
        <s v="SC-85"/>
        <s v="SC-84"/>
        <s v="SC-83"/>
        <s v="SC-82"/>
        <s v="SC-81"/>
        <s v="SC-80"/>
        <s v="SC-79"/>
        <s v="SC-78"/>
        <s v="SC-77"/>
        <s v="SC-76"/>
        <s v="SC-75"/>
        <s v="SC-74"/>
        <s v="SC-73"/>
        <s v="SC-72"/>
        <s v="SC-71"/>
        <s v="SC-70"/>
        <s v="BACK-1434"/>
        <s v="BACK-1431"/>
        <s v="BACK-1430"/>
        <s v="BACK-1427"/>
        <s v="BACK-1425"/>
        <s v="BACK-1422"/>
        <s v="SC-69"/>
        <s v="SC-68"/>
        <s v="BACK-1417"/>
        <s v="BACK-1416"/>
        <s v="FB-2406"/>
        <s v="FB-2405"/>
        <s v="BACK-1414"/>
        <s v="BACK-1412"/>
        <s v="BACK-1411"/>
        <s v="BACK-1410"/>
        <s v="BACK-1405"/>
        <s v="UI-668"/>
        <s v="BACK-1402"/>
        <s v="BACK-1401"/>
        <s v="UI-666"/>
        <s v="BACK-1400"/>
        <s v="BACK-1399"/>
        <s v="BACK-1398"/>
        <s v="BACK-1393"/>
        <s v="BACK-1392"/>
        <s v="BACK-1391"/>
        <s v="BACK-1390"/>
        <s v="BACK-1389"/>
        <s v="BACK-1388"/>
        <s v="BACK-1387"/>
        <s v="BACK-1382"/>
        <s v="BACK-1381"/>
        <s v="BACK-1380"/>
        <s v="BACK-1378"/>
        <s v="CI-876"/>
        <s v="CI-874"/>
        <s v="BACK-1375"/>
        <s v="BACK-1374"/>
        <s v="BACK-1372"/>
        <s v="CI-871"/>
        <s v="BACK-1370"/>
        <s v="BACK-1369"/>
        <s v="BACK-1368"/>
        <s v="BACK-1367"/>
        <s v="BACK-1366"/>
        <s v="BACK-1365"/>
        <s v="BACK-1364"/>
        <s v="BACK-1363"/>
        <s v="BACK-1362"/>
        <s v="BACK-1361"/>
        <s v="BACK-1360"/>
        <s v="BACK-1359"/>
        <s v="BACK-1358"/>
        <s v="BACK-1357"/>
        <s v="BACK-1356"/>
        <s v="BACK-1355"/>
        <s v="BACK-1354"/>
        <s v="BACK-1353"/>
        <s v="BACK-1352"/>
        <s v="BACK-1351"/>
        <s v="BACK-1350"/>
        <s v="BACK-1348"/>
        <s v="BACK-1347"/>
        <s v="BACK-1346"/>
        <s v="BACK-1345"/>
        <s v="BACK-1344"/>
        <s v="BACK-1343"/>
        <s v="BACK-1342"/>
        <s v="BACK-1341"/>
        <s v="BACK-1340"/>
        <s v="BACK-1339"/>
        <s v="BACK-1338"/>
        <s v="BACK-1337"/>
        <s v="BACK-1336"/>
        <s v="BACK-1335"/>
        <s v="BACK-1334"/>
        <s v="BACK-1333"/>
        <s v="BACK-1332"/>
        <s v="BACK-1331"/>
        <s v="BACK-1330"/>
        <s v="BACK-1329"/>
        <s v="BACK-1328"/>
        <s v="BACK-1327"/>
        <s v="BACK-1326"/>
        <s v="BACK-1325"/>
        <s v="BACK-1324"/>
        <s v="BACK-1323"/>
        <s v="BACK-1322"/>
        <s v="BACK-1321"/>
        <s v="BACK-1320"/>
        <s v="BACK-1319"/>
        <s v="BACK-1318"/>
        <s v="BACK-1317"/>
        <s v="BACK-1316"/>
        <s v="FB-2403"/>
        <s v="BACK-1315"/>
        <s v="UI-658"/>
        <s v="BACK-1311"/>
        <s v="PR-1550"/>
        <s v="BACK-1308"/>
        <s v="BACK-1307"/>
        <s v="BACK-1306"/>
        <s v="BACK-1305"/>
        <s v="BACK-1304"/>
        <s v="BACK-1303"/>
        <s v="BACK-1302"/>
        <s v="BACK-1301"/>
        <s v="BACK-1300"/>
        <s v="BACK-1299"/>
        <s v="BACK-1298"/>
        <s v="BACK-1297"/>
        <s v="BACK-1296"/>
        <s v="BACK-1295"/>
        <s v="BACK-1294"/>
        <s v="BACK-1293"/>
        <s v="BACK-1292"/>
        <s v="PR-1549"/>
        <s v="BACK-1291"/>
        <s v="BACK-1290"/>
        <s v="BACK-1289"/>
        <s v="BACK-1288"/>
        <s v="BACK-1283"/>
        <s v="UI-654"/>
        <s v="BACK-1281"/>
        <s v="BACK-1276"/>
        <s v="BACK-1275"/>
        <s v="UI-650"/>
        <s v="PR-1548"/>
        <s v="PR-1547"/>
        <s v="BACK-1273"/>
        <s v="BACK-1272"/>
        <s v="BACK-1271"/>
        <s v="BACK-1270"/>
        <s v="PR-1546"/>
        <s v="BACK-1269"/>
        <s v="BACK-1268"/>
        <s v="PR-1545"/>
        <s v="BACK-1263"/>
        <s v="BACK-1262"/>
        <s v="BACK-1261"/>
        <s v="BACK-1259"/>
        <s v="BACK-1258"/>
        <s v="BACK-1256"/>
        <s v="CI-859"/>
        <s v="UI-642"/>
        <s v="UI-641"/>
        <s v="UI-640"/>
        <s v="UI-639"/>
        <s v="UI-638"/>
        <s v="UI-637"/>
        <s v="UI-636"/>
        <s v="FB-2402"/>
        <s v="CI-857"/>
        <s v="BACK-1245"/>
        <s v="CI-856"/>
        <s v="BACK-1240"/>
        <s v="BACK-1235"/>
        <s v="BACK-1234"/>
        <s v="BACK-1233"/>
        <s v="UI-625"/>
        <s v="CI-853"/>
        <s v="BACK-1232"/>
        <s v="PR-1544"/>
        <s v="PR-1543"/>
        <s v="PR-1542"/>
        <s v="CI-852"/>
        <s v="CI-851"/>
        <s v="UI-624"/>
        <s v="BACK-1231"/>
        <s v="BACK-1230"/>
        <s v="BACK-1229"/>
        <s v="BACK-1228"/>
        <s v="BACK-1227"/>
        <s v="BACK-1226"/>
        <s v="BACK-1225"/>
        <s v="UI-623"/>
        <s v="BACK-1224"/>
        <s v="BACK-1223"/>
        <s v="BACK-1220"/>
        <s v="BACK-1218"/>
        <s v="BACK-1215"/>
        <s v="BACK-1212"/>
        <s v="BACK-1209"/>
        <s v="BACK-1205"/>
        <s v="BACK-1204"/>
        <s v="BACK-1203"/>
        <s v="BACK-1202"/>
        <s v="FB-2400"/>
        <s v="BACK-1197"/>
        <s v="BACK-1196"/>
        <s v="BACK-1195"/>
        <s v="BACK-1188"/>
        <s v="BACK-1183"/>
        <s v="BACK-1182"/>
        <s v="BACK-1174"/>
        <s v="BACK-1173"/>
        <s v="UI-614"/>
        <s v="UI-613"/>
        <s v="UI-612"/>
        <s v="UI-611"/>
        <s v="UI-610"/>
        <s v="UI-609"/>
        <s v="UI-608"/>
        <s v="UI-607"/>
        <s v="UI-606"/>
        <s v="UI-605"/>
        <s v="UI-604"/>
        <s v="FB-2399"/>
        <s v="FB-2397"/>
        <s v="BACK-1167"/>
        <s v="BACK-1165"/>
        <s v="FB-2396"/>
        <s v="BACK-1162"/>
        <s v="BACK-1160"/>
        <s v="BACK-1148"/>
        <s v="BACK-1146"/>
        <s v="BACK-1143"/>
        <s v="BACK-1137"/>
        <s v="UI-581"/>
        <s v="BACK-1136"/>
        <s v="BACK-1135"/>
        <s v="BACK-1168"/>
        <s v="BACK-1132"/>
        <s v="BACK-1131"/>
        <s v="BACK-1126"/>
        <s v="BACK-1122"/>
        <s v="BACK-1120"/>
        <s v="BACK-1119"/>
        <s v="BACK-1118"/>
        <s v="BACK-1117"/>
        <s v="BACK-1112"/>
        <s v="BACK-1107"/>
        <s v="BACK-1099"/>
        <s v="UI-571"/>
        <s v="BACK-1096"/>
        <s v="BACK-1091"/>
        <s v="BACK-1089"/>
        <s v="BACK-1080"/>
        <s v="BACK-1079"/>
        <s v="BACK-1068"/>
        <s v="BACK-1067"/>
        <s v="BACK-1066"/>
        <s v="BACK-1065"/>
        <s v="BACK-1061"/>
        <s v="BACK-1056"/>
        <s v="BACK-1055"/>
        <s v="BACK-1051"/>
        <s v="BACK-1048"/>
        <s v="BACK-1042"/>
        <s v="UI-544"/>
        <s v="BACK-1035"/>
        <s v="BACK-1033"/>
        <s v="CI-823"/>
        <s v="BACK-1032"/>
        <s v="UI-538"/>
        <s v="BACK-1031"/>
        <s v="UI-537"/>
        <s v="PR-1537"/>
        <s v="CI-821"/>
        <s v="CI-820"/>
        <s v="PR-1536"/>
        <s v="BACK-1027"/>
        <s v="PR-1535"/>
        <s v="BACK-1026"/>
        <s v="BACK-1025"/>
        <s v="BACK-1022"/>
        <s v="UI-530"/>
        <s v="PR-1534"/>
        <s v="UI-528"/>
        <s v="BACK-1018"/>
        <s v="FB-2390"/>
        <s v="PR-1533"/>
        <s v="BACK-1007"/>
        <s v="BACK-1006"/>
        <s v="BACK-1005"/>
        <s v="BACK-1004"/>
        <s v="BACK-1003"/>
        <s v="BACK-1002"/>
        <s v="BACK-1001"/>
        <s v="BACK-998"/>
        <s v="BACK-993"/>
        <s v="BACK-992"/>
        <s v="BACK-990"/>
        <s v="BACK-989"/>
        <s v="BACK-988"/>
        <s v="BACK-987"/>
        <s v="BACK-986"/>
        <s v="BACK-985"/>
        <s v="BACK-984"/>
        <s v="BACK-983"/>
        <s v="BACK-982"/>
        <s v="BACK-981"/>
        <s v="BACK-979"/>
        <s v="CI-807"/>
        <s v="BACK-973"/>
        <s v="BACK-972"/>
        <s v="BACK-969"/>
        <s v="BACK-968"/>
        <s v="BACK-967"/>
        <s v="BACK-966"/>
        <s v="BACK-963"/>
        <s v="BACK-962"/>
        <s v="BACK-958"/>
        <s v="CI-800"/>
        <s v="PR-1532"/>
        <s v="BACK-954"/>
        <s v="BACK-953"/>
        <s v="BACK-952"/>
        <s v="BACK-947"/>
        <s v="BACK-945"/>
        <s v="BACK-944"/>
        <s v="BACK-943"/>
        <s v="UI-499"/>
        <s v="BACK-935"/>
        <s v="BACK-934"/>
        <s v="BACK-933"/>
        <s v="BACK-931"/>
        <s v="BACK-929"/>
        <s v="BACK-926"/>
        <s v="BACK-955"/>
        <s v="BACK-925"/>
        <s v="BACK-924"/>
        <s v="BACK-923"/>
        <s v="BACK-916"/>
        <s v="BACK-915"/>
        <s v="FB-2384"/>
        <s v="FB-2383"/>
        <s v="FB-2382"/>
        <s v="FB-2381"/>
        <s v="BACK-911"/>
        <s v="BACK-909"/>
        <s v="BACK-906"/>
        <s v="UI-479"/>
        <s v="BACK-905"/>
        <s v="UI-477"/>
        <s v="BACK-904"/>
        <s v="UI-472"/>
        <s v="UI-470"/>
        <s v="UI-469"/>
        <s v="CI-786"/>
        <s v="CI-785"/>
        <s v="CI-784"/>
        <s v="CI-783"/>
        <s v="CI-782"/>
        <s v="CI-781"/>
        <s v="CI-780"/>
        <s v="BACK-898"/>
        <s v="BACK-897"/>
        <s v="BACK-896"/>
        <s v="BACK-895"/>
        <s v="BACK-894"/>
        <s v="BACK-893"/>
        <s v="BACK-892"/>
        <s v="BACK-891"/>
        <s v="BACK-890"/>
        <s v="PR-1531"/>
        <s v="BACK-888"/>
        <s v="UI-461"/>
        <s v="PR-1530"/>
        <s v="FB-2377"/>
        <s v="FB-2376"/>
        <s v="BACK-886"/>
        <s v="BACK-885"/>
        <s v="BACK-884"/>
        <s v="BACK-882"/>
        <s v="BACK-881"/>
        <s v="BACK-880"/>
        <s v="PR-1529"/>
        <s v="PR-1528"/>
        <s v="UI-456"/>
        <s v="UI-455"/>
        <s v="UI-454"/>
        <s v="BACK-878"/>
        <s v="BACK-877"/>
        <s v="BACK-876"/>
        <s v="UI-450"/>
        <s v="FB-2374"/>
        <s v="PR-1527"/>
        <s v="PR-1526"/>
        <s v="PR-1525"/>
        <s v="PR-1524"/>
        <s v="PR-1523"/>
        <s v="PR-1522"/>
        <s v="PR-1521"/>
        <s v="PR-1520"/>
        <s v="PR-1519"/>
        <s v="PR-1518"/>
        <s v="PR-1517"/>
        <s v="PR-1516"/>
        <s v="PR-1515"/>
        <s v="PR-1514"/>
        <s v="PR-1513"/>
        <s v="PR-1512"/>
        <s v="PR-1511"/>
        <s v="PR-1510"/>
        <s v="PR-1509"/>
        <s v="PR-1508"/>
        <s v="PR-1507"/>
        <s v="PR-1506"/>
        <s v="PR-1505"/>
        <s v="PR-1504"/>
        <s v="PR-1503"/>
        <s v="PR-1502"/>
        <s v="PR-1501"/>
        <s v="PR-1500"/>
        <s v="PR-1499"/>
        <s v="PR-1498"/>
        <s v="PR-1497"/>
        <s v="PR-1496"/>
        <s v="PR-1495"/>
        <s v="PR-1494"/>
        <s v="PR-1493"/>
        <s v="BACK-849"/>
        <s v="BACK-846"/>
        <s v="BACK-844"/>
        <s v="CI-765"/>
        <s v="CI-763"/>
        <s v="CI-762"/>
        <s v="CI-761"/>
        <s v="BACK-843"/>
        <s v="BACK-839"/>
        <s v="BACK-836"/>
        <s v="BACK-834"/>
        <s v="BACK-828"/>
        <s v="BACK-819"/>
        <s v="BACK-818"/>
        <s v="BACK-811"/>
        <s v="PR-1492"/>
        <s v="BACK-809"/>
        <s v="PR-1491"/>
        <s v="CI-755"/>
        <s v="BACK-804"/>
        <s v="CI-752"/>
        <s v="BACK-796"/>
        <s v="PR-1490"/>
        <s v="UI-403"/>
        <s v="BACK-794"/>
        <s v="PR-1489"/>
        <s v="BACK-793"/>
        <s v="PR-1488"/>
        <s v="BACK-786"/>
        <s v="BACK-782"/>
        <s v="CI-745"/>
        <s v="BACK-776"/>
        <s v="PR-1487"/>
        <s v="UI-375"/>
        <s v="BACK-766"/>
        <s v="BACK-762"/>
        <s v="CI-739"/>
        <s v="CI-738"/>
        <s v="BACK-757"/>
        <s v="BACK-754"/>
        <s v="PR-1486"/>
        <s v="PR-1485"/>
        <s v="UI-353"/>
        <s v="BACK-745"/>
        <s v="PR-1484"/>
        <s v="PR-1483"/>
        <s v="UI-349"/>
        <s v="CI-734"/>
        <s v="BACK-740"/>
        <s v="BACK-735"/>
        <s v="PR-1482"/>
        <s v="PR-1481"/>
        <s v="UI-333"/>
        <s v="BACK-729"/>
        <s v="BACK-727"/>
        <s v="PR-1480"/>
        <s v="PR-1479"/>
        <s v="PR-1478"/>
        <s v="PR-1477"/>
        <s v="PR-1476"/>
        <s v="PR-1475"/>
        <s v="UI-320"/>
        <s v="BACK-718"/>
        <s v="BACK-717"/>
        <s v="BACK-715"/>
        <s v="PR-1474"/>
        <s v="PR-1473"/>
        <s v="BACK-699"/>
        <s v="PR-1472"/>
        <s v="BACK-696"/>
        <s v="BACK-695"/>
        <s v="BACK-693"/>
        <s v="PR-1471"/>
        <s v="BACK-685"/>
        <s v="BACK-684"/>
        <s v="UI-278"/>
        <s v="UI-277"/>
        <s v="BACK-670"/>
        <s v="BACK-667"/>
        <s v="CI-720"/>
        <s v="BACK-665"/>
        <s v="BACK-664"/>
        <s v="UI-265"/>
        <s v="UI-264"/>
        <s v="PR-1470"/>
        <s v="FB-2357"/>
        <s v="BACK-657"/>
        <s v="BACK-654"/>
        <s v="PR-1469"/>
        <s v="PR-1468"/>
        <s v="PR-1467"/>
        <s v="CI-716"/>
        <s v="FB-2354"/>
        <s v="BACK-648"/>
        <s v="PR-1466"/>
        <s v="PR-1465"/>
        <s v="BACK-641"/>
        <s v="PR-1464"/>
        <s v="BACK-640"/>
        <s v="BACK-639"/>
        <s v="BACK-638"/>
        <s v="UI-243"/>
        <s v="CI-710"/>
        <s v="CI-709"/>
        <s v="BACK-635"/>
        <s v="PR-1463"/>
        <s v="UI-239"/>
        <s v="UI-238"/>
        <s v="PR-1462"/>
        <s v="BACK-625"/>
        <s v="CI-701"/>
        <s v="BACK-607"/>
        <s v="BACK-605"/>
        <s v="BACK-604"/>
        <s v="BACK-603"/>
        <s v="BACK-600"/>
        <s v="BACK-599"/>
        <s v="BACK-597"/>
        <s v="BACK-595"/>
        <s v="FB-2351"/>
        <s v="PR-1461"/>
        <s v="FB-2350"/>
        <s v="BACK-593"/>
        <s v="FB-2348"/>
        <s v="PR-1460"/>
        <s v="BACK-590"/>
        <s v="BACK-588"/>
        <s v="BACK-586"/>
        <s v="CI-695"/>
        <s v="CI-694"/>
        <s v="CI-693"/>
        <s v="BACK-579"/>
        <s v="UI-210"/>
        <s v="BACK-575"/>
        <s v="BACK-573"/>
        <s v="BACK-566"/>
        <s v="PR-1459"/>
        <s v="PR-1457"/>
        <s v="FB-2345"/>
        <s v="PR-1456"/>
        <s v="BACK-557"/>
        <s v="CI-691"/>
        <s v="BACK-552"/>
        <s v="BACK-550"/>
        <s v="BACK-549"/>
        <s v="BACK-548"/>
        <s v="BACK-547"/>
        <s v="BACK-546"/>
        <s v="BACK-541"/>
        <s v="UI-179"/>
        <s v="PR-1453"/>
        <s v="BACK-533"/>
        <s v="BACK-532"/>
        <s v="BACK-531"/>
        <s v="CI-682"/>
        <s v="CI-681"/>
        <s v="CI-680"/>
        <s v="CI-679"/>
        <s v="CI-678"/>
        <s v="CI-677"/>
        <s v="CI-676"/>
        <s v="CI-675"/>
        <s v="CI-674"/>
        <s v="CI-673"/>
        <s v="CI-672"/>
        <s v="CI-671"/>
        <s v="CI-669"/>
        <s v="UI-171"/>
        <s v="BACK-529"/>
        <s v="UI-170"/>
        <s v="BACK-528"/>
        <s v="CI-668"/>
        <s v="BACK-527"/>
        <s v="BACK-526"/>
        <s v="CI-665"/>
        <s v="CI-663"/>
        <s v="PR-1452"/>
        <s v="PR-1451"/>
        <s v="CI-662"/>
        <s v="CI-661"/>
        <s v="CI-660"/>
        <s v="BACK-519"/>
        <s v="BACK-518"/>
        <s v="BACK-516"/>
        <s v="BACK-515"/>
        <s v="BACK-514"/>
        <s v="BACK-513"/>
        <s v="BACK-511"/>
        <s v="UI-160"/>
        <s v="PR-1450"/>
        <s v="UI-157"/>
        <s v="CI-654"/>
        <s v="BACK-504"/>
        <s v="BACK-499"/>
        <s v="BACK-497"/>
        <s v="PR-1449"/>
        <s v="CI-653"/>
        <s v="PR-1448"/>
        <s v="FB-2343"/>
        <s v="FB-2340"/>
        <s v="BACK-491"/>
        <s v="UI-149"/>
        <s v="PR-1447"/>
        <s v="PR-1446"/>
        <s v="BACK-477"/>
        <s v="FB-2338"/>
        <s v="UI-143"/>
        <s v="PR-1445"/>
        <s v="PR-1444"/>
        <s v="UI-140"/>
        <s v="UI-139"/>
        <s v="UI-138"/>
        <s v="PR-1443"/>
        <s v="CI-650"/>
        <s v="UI-136"/>
        <s v="UI-134"/>
        <s v="BACK-474"/>
        <s v="PR-1442"/>
        <s v="BACK-469"/>
        <s v="PR-1441"/>
        <s v="UI-127"/>
        <s v="PR-1440"/>
        <s v="PR-1439"/>
        <s v="PR-1438"/>
        <s v="PR-1437"/>
        <s v="PR-1436"/>
        <s v="PR-1435"/>
        <s v="CI-642"/>
        <s v="CI-641"/>
        <s v="CI-640"/>
        <s v="CI-639"/>
        <s v="FB-2330"/>
        <s v="CI-321"/>
        <s v="CI-278"/>
        <s v="BACK-441"/>
        <s v="BACK-398"/>
        <s v="UI-112"/>
        <s v="UI-110"/>
        <s v="BACK-330"/>
        <s v="BACK-329"/>
        <s v="BACK-326"/>
        <s v="FB-2313"/>
        <s v="CI-260"/>
        <s v="BACK-206"/>
        <s v="BACK-201"/>
        <s v="BACK-183"/>
        <s v="BACK-169"/>
        <s v="BACK-120"/>
        <s v="BACK-105"/>
        <s v="BACK-100"/>
        <s v="BACK-90"/>
        <s v="BACK-82"/>
        <s v="BACK-56"/>
        <s v="BACK-55"/>
        <s v="BACK-51"/>
        <s v="BACK-47"/>
        <s v="BACK-35"/>
        <s v="BACK-20"/>
        <s v="UI-76"/>
        <s v="UI-73"/>
        <s v="UI-71"/>
        <s v="UI-69"/>
        <s v="UI-65"/>
        <s v="UI-57"/>
        <s v="UI-52"/>
        <s v="UI-39"/>
        <s v="UI-36"/>
        <s v="UI-23"/>
        <s v="UI-17"/>
        <s v="UI-14"/>
        <s v="UI-12"/>
        <s v="PR-1411"/>
        <s v="PR-1410"/>
        <s v="PR-1409"/>
        <s v="PR-1408"/>
        <s v="PR-1407"/>
        <s v="BACK-425"/>
        <s v="BACK-426"/>
        <s v="BACK-4"/>
        <s v="FB-2306"/>
        <s v="FB-2305"/>
        <s v="BACK-9"/>
        <s v="CI-232"/>
        <s v="UI-1"/>
        <s v="UI-2"/>
        <s v="UI-7"/>
        <s v="UI-4"/>
        <s v="UI-5"/>
        <s v="CI-229"/>
        <s v="BACK-16"/>
        <s v="FB-2295"/>
        <s v="BACK-21"/>
        <s v="BACK-17"/>
        <s v="BACK-18"/>
        <s v="BACK-252"/>
        <s v="FB-2293"/>
        <s v="BACK-24"/>
        <s v="CI-227"/>
        <s v="UI-20"/>
        <s v="BACK-25"/>
        <s v="BACK-265"/>
        <s v="CI-224"/>
        <s v="CI-222"/>
        <s v="CI-221"/>
        <s v="CI-218"/>
        <s v="BACK-253"/>
        <s v="CI-634"/>
        <s v="CI-632"/>
        <s v="CI-627"/>
        <s v="CI-637"/>
        <s v="CI-636"/>
        <s v="CI-629"/>
        <s v="CI-217"/>
        <s v="CI-215"/>
        <s v="CI-214"/>
        <s v="CI-213"/>
        <s v="CI-624"/>
        <s v="CI-625"/>
        <s v="CI-212"/>
        <s v="BACK-36"/>
        <s v="BACK-31"/>
        <s v="BACK-223"/>
        <s v="BACK-233"/>
        <s v="FB-2289"/>
        <s v="CI-211"/>
        <s v="BACK-43"/>
        <s v="BACK-41"/>
        <s v="BACK-40"/>
        <s v="CI-210"/>
        <s v="BACK-277"/>
        <s v="CI-209"/>
        <s v="BACK-272"/>
        <s v="BACK-273"/>
        <s v="BACK-45"/>
        <s v="CI-626"/>
        <s v="CI-207"/>
        <s v="BACK-403"/>
        <s v="UI-22"/>
        <s v="FB-2288"/>
        <s v="UI-118"/>
        <s v="CI-205"/>
        <s v="CI-204"/>
        <s v="BACK-327"/>
        <s v="CI-203"/>
        <s v="CI-202"/>
        <s v="BACK-451"/>
        <s v="BACK-444"/>
        <s v="PR-1386"/>
        <s v="BACK-50"/>
        <s v="CI-200"/>
        <s v="CI-198"/>
        <s v="BACK-267"/>
        <s v="UI-81"/>
        <s v="BACK-429"/>
        <s v="FB-2285"/>
        <s v="BACK-362"/>
        <s v="BACK-361"/>
        <s v="BACK-393"/>
        <s v="BACK-389"/>
        <s v="BACK-226"/>
        <s v="BACK-227"/>
        <s v="CI-193"/>
        <s v="PR-1383"/>
        <s v="CI-192"/>
        <s v="FB-2283"/>
        <s v="FB-2282"/>
        <s v="BACK-310"/>
        <s v="PR-1382"/>
        <s v="BACK-34"/>
        <s v="PR-1381"/>
        <s v="CI-189"/>
        <s v="BACK-29"/>
        <s v="BACK-27"/>
        <s v="FB-2310"/>
        <s v="PR-1378"/>
        <s v="BACK-58"/>
        <s v="BACK-59"/>
        <s v="BACK-63"/>
        <s v="CI-186"/>
        <s v="CI-181"/>
        <s v="BACK-274"/>
        <s v="BACK-33"/>
        <s v="CI-178"/>
        <s v="CI-177"/>
        <s v="BACK-225"/>
        <s v="BACK-15"/>
        <s v="BACK-68"/>
        <s v="BACK-48"/>
        <s v="CI-172"/>
        <s v="CI-171"/>
        <s v="CI-170"/>
        <s v="CI-165"/>
        <s v="CI-164"/>
        <s v="CI-163"/>
        <s v="CI-162"/>
        <s v="CI-161"/>
        <s v="CI-160"/>
        <s v="CI-159"/>
        <s v="CI-158"/>
        <s v="CI-157"/>
        <s v="BACK-307"/>
        <s v="BACK-49"/>
        <s v="BACK-263"/>
        <s v="PR-1376"/>
        <s v="BACK-291"/>
        <s v="BACK-57"/>
        <s v="BACK-266"/>
        <s v="BACK-298"/>
        <s v="PR-1375"/>
        <s v="BACK-52"/>
        <s v="CI-152"/>
        <s v="BACK-53"/>
        <s v="BACK-19"/>
        <s v="FB-2263"/>
        <s v="FB-2262"/>
        <s v="CI-535"/>
        <s v="BACK-243"/>
        <s v="CI-262"/>
        <s v="PR-1372"/>
        <s v="BACK-72"/>
        <s v="CI-149"/>
        <s v="UI-31"/>
        <s v="UI-33"/>
        <s v="UI-35"/>
        <s v="UI-34"/>
        <s v="UI-32"/>
        <s v="CI-246"/>
        <s v="CI-147"/>
        <s v="CI-497"/>
        <s v="CI-248"/>
        <s v="CI-250"/>
        <s v="CI-249"/>
        <s v="CI-143"/>
        <s v="PR-1368"/>
        <s v="BACK-260"/>
        <s v="CI-141"/>
        <s v="CI-140"/>
        <s v="BACK-442"/>
        <s v="BACK-250"/>
        <s v="CI-138"/>
        <s v="UI-29"/>
        <s v="CI-264"/>
        <s v="CI-238"/>
        <s v="PR-1363"/>
        <s v="PR-1362"/>
        <s v="BACK-257"/>
        <s v="BACK-79"/>
        <s v="BACK-77"/>
        <s v="BACK-80"/>
        <s v="BACK-78"/>
        <s v="BACK-81"/>
        <s v="BACK-76"/>
        <s v="BACK-66"/>
        <s v="BACK-70"/>
        <s v="BACK-69"/>
        <s v="BACK-65"/>
        <s v="BACK-74"/>
        <s v="BACK-73"/>
        <s v="BACK-75"/>
        <s v="BACK-71"/>
        <s v="PR-1356"/>
        <s v="BACK-97"/>
        <s v="BACK-92"/>
        <s v="BACK-418"/>
        <s v="CI-133"/>
        <s v="CI-241"/>
        <s v="CI-252"/>
        <s v="BACK-431"/>
        <s v="CI-132"/>
        <s v="UI-38"/>
        <s v="BACK-84"/>
        <s v="BACK-83"/>
        <s v="CI-263"/>
        <s v="BACK-289"/>
        <s v="BACK-287"/>
        <s v="PR-1350"/>
        <s v="BACK-86"/>
        <s v="BACK-89"/>
        <s v="FB-2256"/>
        <s v="FB-2255"/>
        <s v="FB-2254"/>
        <s v="FB-2253"/>
        <s v="BACK-275"/>
        <s v="BACK-88"/>
        <s v="BACK-91"/>
        <s v="PR-1348"/>
        <s v="BACK-458"/>
        <s v="BACK-242"/>
        <s v="FB-2252"/>
        <s v="BACK-283"/>
        <s v="FB-2248"/>
        <s v="PR-1346"/>
        <s v="CI-501"/>
        <s v="CI-247"/>
        <s v="FB-2314"/>
        <s v="BACK-93"/>
        <s v="CI-243"/>
        <s v="FB-2246"/>
        <s v="BACK-99"/>
        <s v="BACK-98"/>
        <s v="BACK-103"/>
        <s v="BACK-104"/>
        <s v="BACK-106"/>
        <s v="UI-78"/>
        <s v="BACK-101"/>
        <s v="BACK-102"/>
        <s v="CI-635"/>
        <s v="FB-2242"/>
        <s v="PR-1340"/>
        <s v="BACK-234"/>
        <s v="CI-255"/>
        <s v="BACK-410"/>
        <s v="BACK-95"/>
        <s v="CI-123"/>
        <s v="BACK-351"/>
        <s v="UI-40"/>
        <s v="FB-2239"/>
        <s v="CI-509"/>
        <s v="CI-120"/>
        <s v="BACK-96"/>
        <s v="BACK-230"/>
        <s v="FB-2236"/>
        <s v="PR-1337"/>
        <s v="PR-1336"/>
        <s v="PR-1335"/>
        <s v="PR-1334"/>
        <s v="PR-1333"/>
        <s v="PR-1332"/>
        <s v="PR-1331"/>
        <s v="PR-1330"/>
        <s v="PR-1329"/>
        <s v="PR-1328"/>
        <s v="PR-1327"/>
        <s v="PR-1326"/>
        <s v="PR-1325"/>
        <s v="PR-1324"/>
        <s v="PR-1323"/>
        <s v="PR-1322"/>
        <s v="PR-1321"/>
        <s v="PR-1320"/>
        <s v="PR-1319"/>
        <s v="PR-1317"/>
        <s v="PR-1316"/>
        <s v="CI-151"/>
        <s v="BACK-108"/>
        <s v="BACK-378"/>
        <s v="CI-529"/>
        <s v="UI-44"/>
        <s v="UI-45"/>
        <s v="UI-42"/>
        <s v="UI-43"/>
        <s v="CI-116"/>
        <s v="BACK-110"/>
        <s v="BACK-313"/>
        <s v="BACK-303"/>
        <s v="BACK-304"/>
        <s v="PR-1312"/>
        <s v="BACK-300"/>
        <s v="BACK-109"/>
        <s v="CI-114"/>
        <s v="CI-113"/>
        <s v="PR-1310"/>
        <s v="PR-1309"/>
        <s v="UI-27"/>
        <s v="UI-30"/>
        <s v="UI-28"/>
        <s v="BACK-115"/>
        <s v="BACK-118"/>
        <s v="BACK-119"/>
        <s v="UI-46"/>
        <s v="BACK-256"/>
        <s v="BACK-405"/>
        <s v="BACK-411"/>
        <s v="BACK-85"/>
        <s v="CI-251"/>
        <s v="CI-256"/>
        <s v="CI-242"/>
        <s v="BACK-12"/>
        <s v="CI-96"/>
        <s v="CI-95"/>
        <s v="CI-94"/>
        <s v="CI-93"/>
        <s v="CI-91"/>
        <s v="CI-90"/>
        <s v="CI-89"/>
        <s v="CI-88"/>
        <s v="BACK-399"/>
        <s v="BACK-396"/>
        <s v="CI-490"/>
        <s v="PR-1305"/>
        <s v="PR-1304"/>
        <s v="CI-150"/>
        <s v="PR-1302"/>
        <s v="PR-1301"/>
        <s v="CI-508"/>
        <s v="CI-86"/>
        <s v="CI-83"/>
        <s v="CI-240"/>
        <s v="BACK-121"/>
        <s v="UI-26"/>
        <s v="BACK-123"/>
        <s v="PR-1300"/>
        <s v="CI-71"/>
        <s v="FB-2221"/>
        <s v="CI-258"/>
        <s v="CI-69"/>
        <s v="BACK-7"/>
        <s v="CI-68"/>
        <s v="CI-67"/>
        <s v="CI-66"/>
        <s v="BACK-8"/>
        <s v="BACK-94"/>
        <s v="UI-10"/>
        <s v="BACK-124"/>
        <s v="BACK-10"/>
        <s v="BACK-126"/>
        <s v="FB-2207"/>
        <s v="FB-2206"/>
        <s v="FB-2205"/>
        <s v="PR-1283"/>
        <s v="PR-1278"/>
        <s v="CI-56"/>
        <s v="FB-2203"/>
        <s v="FB-2202"/>
        <s v="CI-259"/>
        <s v="PR-1277"/>
        <s v="CI-245"/>
        <s v="BACK-333"/>
        <s v="CI-611"/>
        <s v="FB-2200"/>
        <s v="FB-2199"/>
        <s v="BACK-420"/>
        <s v="FB-2197"/>
        <s v="FB-2196"/>
        <s v="FB-2195"/>
        <s v="BACK-430"/>
        <s v="CI-492"/>
        <s v="FB-2193"/>
        <s v="CI-54"/>
        <s v="FB-2192"/>
        <s v="FB-2191"/>
        <s v="FB-2190"/>
        <s v="FB-2189"/>
        <s v="PR-1274"/>
        <s v="BACK-279"/>
        <s v="UI-51"/>
        <s v="FB-2187"/>
        <s v="FB-2186"/>
        <s v="BACK-107"/>
        <s v="FB-2184"/>
        <s v="FB-2183"/>
        <s v="FB-2182"/>
        <s v="FB-2181"/>
        <s v="FB-2180"/>
        <s v="FB-2179"/>
        <s v="FB-2178"/>
        <s v="FB-2177"/>
        <s v="BACK-332"/>
        <s v="PR-1270"/>
        <s v="BACK-320"/>
        <s v="PR-1269"/>
        <s v="BACK-11"/>
        <s v="BACK-128"/>
        <s v="BACK-129"/>
        <s v="BACK-322"/>
        <s v="BACK-406"/>
        <s v="BACK-412"/>
        <s v="BACK-319"/>
        <s v="PR-1265"/>
        <s v="PR-1264"/>
        <s v="PR-1263"/>
        <s v="BACK-385"/>
        <s v="BACK-387"/>
        <s v="BACK-383"/>
        <s v="BACK-437"/>
        <s v="BACK-375"/>
        <s v="BACK-372"/>
        <s v="BACK-374"/>
        <s v="PR-1262"/>
        <s v="PR-1261"/>
        <s v="PR-1260"/>
        <s v="FB-2171"/>
        <s v="BACK-249"/>
        <s v="BACK-439"/>
        <s v="BACK-395"/>
        <s v="BACK-391"/>
        <s v="FB-2169"/>
        <s v="FB-2168"/>
        <s v="CI-314"/>
        <s v="CI-313"/>
        <s v="CI-312"/>
        <s v="BACK-409"/>
        <s v="BACK-434"/>
        <s v="BACK-432"/>
        <s v="BACK-433"/>
        <s v="BACK-328"/>
        <s v="BACK-331"/>
        <s v="BACK-44"/>
        <s v="CI-244"/>
        <s v="BACK-334"/>
        <s v="PR-1245"/>
        <s v="PR-1244"/>
        <s v="PR-1243"/>
        <s v="PR-1242"/>
        <s v="BACK-423"/>
        <s v="BACK-424"/>
        <s v="BACK-379"/>
        <s v="FB-2165"/>
        <s v="FB-2164"/>
        <s v="FB-2163"/>
        <s v="CI-50"/>
        <s v="BACK-246"/>
        <s v="CI-49"/>
        <s v="CI-47"/>
        <s v="CI-46"/>
        <s v="PR-1238"/>
        <s v="PR-1237"/>
        <s v="PR-1236"/>
        <s v="FB-2161"/>
        <s v="BACK-112"/>
        <s v="BACK-116"/>
        <s v="BACK-113"/>
        <s v="BACK-114"/>
        <s v="PR-1235"/>
        <s v="BACK-380"/>
        <s v="BACK-117"/>
        <s v="PR-1234"/>
        <s v="CI-41"/>
        <s v="CI-40"/>
        <s v="PR-1233"/>
        <s v="CI-330"/>
        <s v="PR-1230"/>
        <s v="PR-1228"/>
        <s v="PR-1227"/>
        <s v="PR-1226"/>
        <s v="PR-1225"/>
        <s v="PR-1224"/>
        <s v="PR-1223"/>
        <s v="CI-38"/>
        <s v="BACK-269"/>
        <s v="BACK-427"/>
        <s v="CI-257"/>
        <s v="PR-1222"/>
        <s v="PR-1221"/>
        <s v="PR-1220"/>
        <s v="PR-1219"/>
        <s v="PR-1218"/>
        <s v="PR-1217"/>
        <s v="PR-1215"/>
        <s v="PR-1214"/>
        <s v="BACK-397"/>
        <s v="PR-1213"/>
        <s v="PR-1212"/>
        <s v="BACK-237"/>
        <s v="PR-1211"/>
        <s v="CI-622"/>
        <s v="PR-1210"/>
        <s v="BACK-363"/>
        <s v="BACK-359"/>
        <s v="BACK-357"/>
        <s v="FB-2154"/>
        <s v="FB-2153"/>
        <s v="CI-530"/>
        <s v="BACK-236"/>
        <s v="UI-105"/>
        <s v="FB-2152"/>
        <s v="BACK-254"/>
        <s v="BACK-255"/>
        <s v="BACK-278"/>
        <s v="PR-1209"/>
        <s v="PR-1207"/>
        <s v="PR-1206"/>
        <s v="PR-1205"/>
        <s v="PR-1204"/>
        <s v="PR-1203"/>
        <s v="PR-1202"/>
        <s v="PR-1201"/>
        <s v="PR-1200"/>
        <s v="FB-2149"/>
        <s v="CI-311"/>
        <s v="UI-104"/>
        <s v="CI-503"/>
        <s v="CI-506"/>
        <s v="CI-505"/>
        <s v="FB-2148"/>
        <s v="BACK-154"/>
        <s v="UI-106"/>
        <s v="UI-109"/>
        <s v="BACK-382"/>
        <s v="BACK-386"/>
        <s v="BACK-271"/>
        <s v="CI-33"/>
        <s v="CI-266"/>
        <s v="CI-267"/>
        <s v="CI-32"/>
        <s v="CI-31"/>
        <s v="CI-30"/>
        <s v="CI-28"/>
        <s v="BACK-422"/>
        <s v="CI-499"/>
        <s v="CI-498"/>
        <s v="CI-500"/>
        <s v="CI-496"/>
        <s v="CI-495"/>
        <s v="BACK-290"/>
        <s v="CI-329"/>
        <s v="FB-2144"/>
        <s v="PR-1199"/>
        <s v="BACK-239"/>
        <s v="BACK-174"/>
        <s v="CI-511"/>
        <s v="CI-510"/>
        <s v="BACK-316"/>
        <s v="BACK-232"/>
        <s v="FB-2139"/>
        <s v="FB-2138"/>
        <s v="FB-2137"/>
        <s v="FB-2135"/>
        <s v="FB-2134"/>
        <s v="FB-2131"/>
        <s v="FB-2130"/>
        <s v="FB-2124"/>
        <s v="BACK-148"/>
        <s v="BACK-384"/>
        <s v="PR-1197"/>
        <s v="PR-1194"/>
        <s v="PR-1193"/>
        <s v="BACK-248"/>
        <s v="CI-491"/>
        <s v="CI-22"/>
        <s v="CI-21"/>
        <s v="BACK-323"/>
        <s v="BACK-324"/>
        <s v="BACK-345"/>
        <s v="UI-53"/>
        <s v="BACK-440"/>
        <s v="CI-20"/>
        <s v="CI-517"/>
        <s v="BACK-262"/>
        <s v="CI-502"/>
        <s v="CI-60"/>
        <s v="CI-516"/>
        <s v="BACK-417"/>
        <s v="BACK-421"/>
        <s v="BACK-276"/>
        <s v="BACK-176"/>
        <s v="CI-533"/>
        <s v="CI-532"/>
        <s v="BACK-177"/>
        <s v="PR-1190"/>
        <s v="FB-2116"/>
        <s v="BACK-394"/>
        <s v="BACK-325"/>
        <s v="BACK-228"/>
        <s v="CI-534"/>
        <s v="FB-2114"/>
        <s v="BACK-235"/>
        <s v="PR-1183"/>
        <s v="BACK-165"/>
        <s v="BACK-166"/>
        <s v="BACK-160"/>
        <s v="BACK-158"/>
        <s v="BACK-163"/>
        <s v="BACK-162"/>
        <s v="BACK-251"/>
        <s v="CI-11"/>
        <s v="BACK-321"/>
        <s v="BACK-364"/>
        <s v="BACK-376"/>
        <s v="BACK-350"/>
        <s v="BACK-348"/>
        <s v="CI-507"/>
        <s v="CI-504"/>
        <s v="CI-9"/>
        <s v="UI-111"/>
        <s v="CI-531"/>
        <s v="BACK-408"/>
        <s v="BACK-413"/>
        <s v="CI-525"/>
        <s v="CI-524"/>
        <s v="CI-527"/>
        <s v="CI-526"/>
        <s v="CI-521"/>
        <s v="CI-520"/>
        <s v="CI-523"/>
        <s v="CI-522"/>
        <s v="CI-528"/>
        <s v="CI-513"/>
        <s v="CI-631"/>
        <s v="CI-6"/>
        <s v="BACK-352"/>
        <s v="PR-1176"/>
        <s v="CI-493"/>
        <s v="UI-55"/>
        <s v="BACK-180"/>
        <s v="UI-56"/>
        <s v="BACK-179"/>
        <s v="CI-485"/>
        <s v="FB-2102"/>
        <s v="PR-1175"/>
        <s v="BACK-258"/>
        <s v="PR-1174"/>
        <s v="PR-1173"/>
        <s v="PR-1172"/>
        <s v="BACK-64"/>
        <s v="PR-1168"/>
        <s v="BACK-171"/>
        <s v="UI-107"/>
        <s v="PR-1167"/>
        <s v="PR-1166"/>
        <s v="PR-1165"/>
        <s v="PR-1163"/>
        <s v="PR-1162"/>
        <s v="BACK-356"/>
        <s v="PR-1161"/>
        <s v="PR-1160"/>
        <s v="PR-1159"/>
        <s v="PR-1158"/>
        <s v="PR-1157"/>
        <s v="PR-1156"/>
        <s v="PR-1155"/>
        <s v="PR-1154"/>
        <s v="PR-1153"/>
        <s v="PR-1152"/>
        <s v="PR-1151"/>
        <s v="PR-1150"/>
        <s v="PR-1149"/>
        <s v="PR-1148"/>
        <s v="PR-1147"/>
        <s v="PR-1146"/>
        <s v="FB-2098"/>
        <s v="FB-2097"/>
        <s v="BACK-182"/>
        <s v="BACK-149"/>
        <s v="BACK-415"/>
        <s v="BACK-190"/>
        <s v="CI-3"/>
        <s v="PR-1145"/>
        <s v="PR-1144"/>
        <s v="CI-494"/>
        <s v="BACK-438"/>
        <s v="BACK-381"/>
        <s v="FB-2094"/>
        <s v="UI-87"/>
        <s v="PR-1142"/>
        <s v="PR-1141"/>
        <s v="PR-1140"/>
        <s v="PR-1139"/>
        <s v="PR-1138"/>
        <s v="PR-1137"/>
        <s v="PR-1136"/>
        <s v="PR-1135"/>
        <s v="PR-1134"/>
        <s v="PR-1133"/>
        <s v="FB-2092"/>
        <s v="FB-2058"/>
        <s v="FB-2057"/>
        <s v="FB-2056"/>
        <s v="FB-2055"/>
        <s v="PR-1132"/>
        <s v="PR-1131"/>
        <s v="PR-1130"/>
        <s v="PR-1129"/>
        <s v="PR-1128"/>
        <s v="PR-1127"/>
        <s v="PR-1126"/>
        <s v="PR-1125"/>
        <s v="PR-1124"/>
        <s v="PR-1123"/>
        <s v="PR-1122"/>
        <s v="PR-1121"/>
        <s v="BACK-436"/>
        <s v="BACK-202"/>
        <s v="FB-2316"/>
        <s v="BACK-349"/>
        <s v="BACK-347"/>
        <s v="BACK-355"/>
        <s v="PR-1120"/>
        <s v="BACK-138"/>
        <s v="FB-2319"/>
        <s v="BACK-435"/>
        <s v="FB-2052"/>
        <s v="BACK-261"/>
        <s v="BACK-337"/>
        <s v="BACK-293"/>
        <s v="UI-54"/>
        <s v="BACK-295"/>
        <s v="BACK-178"/>
        <s v="BACK-288"/>
        <s v="BACK-292"/>
        <s v="BACK-301"/>
        <s v="BACK-299"/>
        <s v="BACK-305"/>
        <s v="BACK-302"/>
        <s v="BACK-314"/>
        <s v="BACK-312"/>
        <s v="FB-2049"/>
        <s v="BACK-308"/>
        <s v="BACK-336"/>
        <s v="BACK-335"/>
        <s v="PR-1091"/>
        <s v="PR-1089"/>
        <s v="BACK-140"/>
        <s v="PR-1088"/>
        <s v="PR-1085"/>
        <s v="PR-1084"/>
        <s v="PR-1083"/>
        <s v="BACK-338"/>
        <s v="UI-99"/>
        <s v="BACK-111"/>
        <s v="BACK-270"/>
        <s v="BACK-315"/>
        <s v="PR-1074"/>
        <s v="BACK-344"/>
        <s v="BACK-343"/>
        <s v="BACK-341"/>
        <s v="UI-114"/>
        <s v="BACK-339"/>
        <s v="BACK-340"/>
        <s v="UI-113"/>
        <s v="BACK-392"/>
        <s v="CI-425"/>
        <s v="FB-2048"/>
        <s v="UI-91"/>
        <s v="UI-116"/>
        <s v="BACK-368"/>
        <s v="BACK-238"/>
        <s v="UI-89"/>
        <s v="FB-2047"/>
        <s v="BACK-245"/>
        <s v="FB-2046"/>
        <s v="CI-398"/>
        <s v="FB-2043"/>
        <s v="BACK-157"/>
        <s v="PR-1053"/>
        <s v="PR-1052"/>
        <s v="PR-1051"/>
        <s v="BACK-353"/>
        <s v="BACK-360"/>
        <s v="FB-2067"/>
        <s v="FB-2036"/>
        <s v="BACK-241"/>
        <s v="BACK-240"/>
        <s v="BACK-155"/>
        <s v="BACK-400"/>
        <s v="BACK-231"/>
        <s v="PR-1029"/>
        <s v="BACK-205"/>
        <s v="BACK-164"/>
        <s v="PR-1026"/>
        <s v="BACK-416"/>
        <s v="FB-2024"/>
        <s v="CI-29"/>
        <s v="PR-1022"/>
        <s v="PR-1021"/>
        <s v="BACK-161"/>
        <s v="SC-16"/>
        <s v="BACK-414"/>
        <s v="FB-2013"/>
        <s v="CI-457"/>
        <s v="CI-468"/>
        <s v="BACK-247"/>
        <s v="SC-17"/>
        <s v="CI-374"/>
        <s v="CI-373"/>
        <s v="BACK-217"/>
        <s v="BACK-147"/>
        <s v="UI-19"/>
        <s v="BACK-419"/>
        <s v="CI-427"/>
        <s v="UI-61"/>
        <s v="UI-60"/>
        <s v="UI-59"/>
        <s v="UI-63"/>
        <s v="UI-62"/>
        <s v="UI-64"/>
        <s v="FB-2001"/>
        <s v="FB-2000"/>
        <s v="FB-1998"/>
        <s v="UI-93"/>
        <s v="BACK-371"/>
        <s v="PR-1017"/>
        <s v="PR-1016"/>
        <s v="CI-442"/>
        <s v="CI-444"/>
        <s v="CI-441"/>
        <s v="BACK-167"/>
        <s v="CI-371"/>
        <s v="UI-67"/>
        <s v="CI-633"/>
        <s v="BACK-210"/>
        <s v="CI-350"/>
        <s v="CI-347"/>
        <s v="CI-348"/>
        <s v="CI-351"/>
        <s v="CI-388"/>
        <s v="UI-50"/>
        <s v="CI-394"/>
        <s v="FB-1990"/>
        <s v="BACK-172"/>
        <s v="FB-1988"/>
        <s v="BACK-402"/>
        <s v="BACK-358"/>
        <s v="CI-449"/>
        <s v="CI-450"/>
        <s v="CI-446"/>
        <s v="BACK-209"/>
        <s v="FB-1980"/>
        <s v="SC-15"/>
        <s v="BACK-214"/>
        <s v="CI-261"/>
        <s v="CI-614"/>
        <s v="UI-66"/>
        <s v="BACK-229"/>
        <s v="BACK-354"/>
        <s v="FB-1977"/>
        <s v="UI-115"/>
        <s v="BACK-137"/>
        <s v="BACK-204"/>
        <s v="PR-1011"/>
        <s v="CI-276"/>
        <s v="BACK-401"/>
        <s v="CI-447"/>
        <s v="CI-448"/>
        <s v="CI-465"/>
        <s v="CI-464"/>
        <s v="BACK-388"/>
        <s v="BACK-208"/>
        <s v="BACK-370"/>
        <s v="CI-370"/>
        <s v="CI-367"/>
        <s v="FB-1972"/>
        <s v="FB-1970"/>
        <s v="FB-1969"/>
        <s v="BACK-342"/>
        <s v="PR-1010"/>
        <s v="PR-1009"/>
        <s v="CI-419"/>
        <s v="CI-420"/>
        <s v="CI-475"/>
        <s v="BACK-136"/>
        <s v="UI-58"/>
        <s v="CI-277"/>
        <s v="CI-463"/>
        <s v="BACK-187"/>
        <s v="FB-1962"/>
        <s v="CI-428"/>
        <s v="CI-429"/>
        <s v="CI-586"/>
        <s v="FB-1958"/>
        <s v="FB-1956"/>
        <s v="FB-2064"/>
        <s v="PR-999"/>
        <s v="CI-353"/>
        <s v="BACK-197"/>
        <s v="FB-1950"/>
        <s v="FB-1948"/>
        <s v="BACK-373"/>
        <s v="FB-1943"/>
        <s v="BACK-191"/>
        <s v="BACK-377"/>
        <s v="UI-103"/>
        <s v="BACK-297"/>
        <s v="UI-102"/>
        <s v="UI-100"/>
        <s v="BACK-309"/>
        <s v="BACK-311"/>
        <s v="BACK-306"/>
        <s v="BACK-318"/>
        <s v="BACK-317"/>
        <s v="BACK-294"/>
        <s v="UI-101"/>
        <s v="UI-21"/>
        <s v="UI-98"/>
        <s v="BACK-188"/>
        <s v="CI-568"/>
        <s v="BACK-404"/>
        <s v="BACK-219"/>
        <s v="BACK-221"/>
        <s v="BACK-175"/>
        <s v="BACK-213"/>
        <s v="PR-937"/>
        <s v="PR-936"/>
        <s v="PR-933"/>
        <s v="PR-932"/>
        <s v="PR-931"/>
        <s v="UI-119"/>
        <s v="PR-929"/>
        <s v="PR-928"/>
        <s v="PR-927"/>
        <s v="PR-926"/>
        <s v="PR-925"/>
        <s v="PR-924"/>
        <s v="PR-923"/>
        <s v="PR-922"/>
        <s v="PR-921"/>
        <s v="PR-920"/>
        <s v="PR-919"/>
        <s v="BACK-460"/>
        <s v="PR-917"/>
        <s v="PR-916"/>
        <s v="PR-915"/>
        <s v="PR-914"/>
        <s v="FB-2337"/>
        <s v="PR-912"/>
        <s v="BACK-459"/>
        <s v="FB-2336"/>
        <s v="PR-905"/>
        <s v="PR-904"/>
        <s v="PR-903"/>
        <s v="PR-902"/>
        <s v="PR-901"/>
        <s v="PR-900"/>
        <s v="PR-899"/>
        <s v="PR-898"/>
        <s v="PR-897"/>
        <s v="PR-896"/>
        <s v="PR-894"/>
        <s v="PR-892"/>
        <s v="PR-891"/>
        <s v="PR-890"/>
        <s v="PR-889"/>
        <s v="PR-888"/>
        <s v="PR-887"/>
        <s v="PR-886"/>
        <s v="PR-885"/>
        <s v="PR-884"/>
        <s v="PR-883"/>
        <s v="PR-880"/>
        <s v="PR-879"/>
        <s v="PR-878"/>
        <s v="PR-877"/>
        <s v="PR-876"/>
        <s v="PR-875"/>
        <s v="PR-874"/>
        <s v="PR-873"/>
        <s v="BACK-461"/>
        <s v="PR-868"/>
        <s v="PR-866"/>
        <s v="PR-865"/>
        <s v="PR-864"/>
        <s v="PR-863"/>
        <s v="PR-860"/>
        <s v="PR-859"/>
        <s v="PR-857"/>
        <s v="PR-856"/>
        <s v="PR-855"/>
        <s v="PR-854"/>
        <s v="PR-853"/>
        <s v="PR-851"/>
        <s v="PR-850"/>
        <s v="PR-849"/>
        <s v="BACK-216"/>
        <s v="BACK-196"/>
        <s v="BACK-194"/>
        <s v="UI-70"/>
        <s v="CI-356"/>
        <s v="BACK-145"/>
        <s v="BACK-193"/>
        <s v="BACK-407"/>
        <s v="BACK-218"/>
        <s v="FB-1938"/>
        <s v="FB-1937"/>
        <s v="BACK-220"/>
        <s v="FB-1935"/>
        <s v="BACK-365"/>
        <s v="BACK-366"/>
        <s v="BACK-200"/>
        <s v="FB-1924"/>
        <s v="PR-838"/>
        <s v="CI-368"/>
        <s v="PR-837"/>
        <s v="CI-630"/>
        <s v="BACK-130"/>
        <s v="BACK-390"/>
        <s v="BACK-367"/>
        <s v="FB-1915"/>
        <s v="UI-83"/>
        <s v="UI-88"/>
        <s v="CI-339"/>
        <s v="CI-340"/>
        <s v="CI-336"/>
        <s v="CI-337"/>
        <s v="CI-343"/>
        <s v="FB-2321"/>
        <s v="BACK-184"/>
        <s v="BACK-198"/>
        <s v="FB-1901"/>
        <s v="CI-601"/>
        <s v="FB-1895"/>
        <s v="CI-545"/>
        <s v="FB-1889"/>
        <s v="FB-1888"/>
        <s v="BACK-428"/>
        <s v="CI-369"/>
        <s v="FB-1881"/>
        <s v="BACK-222"/>
        <s v="BACK-156"/>
        <s v="FB-1874"/>
        <s v="UI-92"/>
        <s v="UI-90"/>
        <s v="FB-1864"/>
        <s v="CI-382"/>
        <s v="FB-1863"/>
        <s v="CI-580"/>
        <s v="FB-1850"/>
        <s v="FB-1849"/>
        <s v="CI-519"/>
        <s v="SC-13"/>
        <s v="CI-514"/>
        <s v="UI-48"/>
        <s v="CI-548"/>
        <s v="FB-1842"/>
        <s v="CI-379"/>
        <s v="FB-1839"/>
        <s v="FB-1835"/>
        <s v="CI-407"/>
        <s v="CI-383"/>
        <s v="CI-381"/>
        <s v="FB-1828"/>
        <s v="FB-1825"/>
        <s v="CI-595"/>
        <s v="CI-456"/>
        <s v="CI-458"/>
        <s v="CI-454"/>
        <s v="FB-1822"/>
        <s v="CI-395"/>
        <s v="CI-387"/>
        <s v="CI-386"/>
        <s v="CI-352"/>
        <s v="CI-393"/>
        <s v="FB-1808"/>
        <s v="BACK-139"/>
        <s v="CI-392"/>
        <s v="CI-397"/>
        <s v="CI-396"/>
        <s v="CI-270"/>
        <s v="CI-405"/>
        <s v="FB-1807"/>
        <s v="FB-1806"/>
        <s v="CI-583"/>
        <s v="FB-1805"/>
        <s v="FB-1804"/>
        <s v="FB-1803"/>
        <s v="CI-628"/>
        <s v="CI-518"/>
        <s v="FB-1797"/>
        <s v="BACK-346"/>
        <s v="FB-1790"/>
        <s v="FB-1789"/>
        <s v="FB-2325"/>
        <s v="FB-1787"/>
        <s v="CI-391"/>
        <s v="FB-1784"/>
        <s v="FB-1778"/>
        <s v="FB-1776"/>
        <s v="BACK-369"/>
        <s v="BACK-448"/>
        <s v="BACK-447"/>
        <s v="BACK-457"/>
        <s v="BACK-456"/>
        <s v="BACK-455"/>
        <s v="BACK-454"/>
        <s v="BACK-445"/>
        <s v="BACK-453"/>
        <s v="BACK-452"/>
        <s v="BACK-450"/>
        <s v="BACK-449"/>
        <s v="BACK-446"/>
        <s v="BACK-195"/>
        <s v="FB-2322"/>
        <s v="FB-1757"/>
        <s v="FB-1756"/>
        <s v="PR-700"/>
        <s v="CI-542"/>
        <s v="FB-1752"/>
        <s v="CI-402"/>
        <s v="FB-1746"/>
        <s v="FB-1742"/>
        <s v="FB-1739"/>
        <s v="CI-375"/>
        <s v="FB-1734"/>
        <s v="FB-1733"/>
        <s v="FB-1726"/>
        <s v="FB-2326"/>
        <s v="CI-547"/>
        <s v="FB-1723"/>
        <s v="FB-1720"/>
        <s v="BACK-152"/>
        <s v="CI-512"/>
        <s v="CI-515"/>
        <s v="FB-1693"/>
        <s v="FB-1688"/>
        <s v="FB-1684"/>
        <s v="FB-1681"/>
        <s v="CI-286"/>
        <s v="CI-283"/>
        <s v="CI-319"/>
        <s v="CI-318"/>
        <s v="CI-316"/>
        <s v="FB-1664"/>
        <s v="CI-237"/>
        <s v="BACK-199"/>
        <s v="FB-1659"/>
        <s v="FB-1654"/>
        <s v="FB-1650"/>
        <s v="CI-426"/>
        <s v="CI-287"/>
        <s v="CI-414"/>
        <s v="CI-472"/>
        <s v="CI-474"/>
        <s v="CI-482"/>
        <s v="BACK-207"/>
        <s v="CI-480"/>
        <s v="CI-479"/>
        <s v="CI-478"/>
        <s v="BACK-212"/>
        <s v="CI-486"/>
        <s v="CI-484"/>
        <s v="CI-483"/>
        <s v="CI-289"/>
        <s v="CI-440"/>
        <s v="CI-439"/>
        <s v="CI-315"/>
        <s v="FB-1639"/>
        <s v="FB-1637"/>
        <s v="FB-1636"/>
        <s v="FB-1635"/>
        <s v="FB-1629"/>
        <s v="FB-1628"/>
        <s v="FB-1627"/>
        <s v="FB-1624"/>
        <s v="FB-1623"/>
        <s v="FB-1622"/>
        <s v="FB-1621"/>
        <s v="CI-415"/>
        <s v="FB-1616"/>
        <s v="FB-1610"/>
        <s v="CI-299"/>
        <s v="CI-600"/>
        <s v="CI-300"/>
        <s v="CI-609"/>
        <s v="CI-608"/>
        <s v="CI-606"/>
        <s v="CI-605"/>
        <s v="CI-604"/>
        <s v="CI-298"/>
        <s v="CI-290"/>
        <s v="FB-1608"/>
        <s v="BACK-189"/>
        <s v="PR-643"/>
        <s v="FB-1600"/>
        <s v="PR-637"/>
        <s v="PR-636"/>
        <s v="PR-635"/>
        <s v="PR-634"/>
        <s v="PR-633"/>
        <s v="FB-2324"/>
        <s v="FB-1581"/>
        <s v="FB-1580"/>
        <s v="FB-1579"/>
        <s v="CI-279"/>
        <s v="FB-1568"/>
        <s v="PR-615"/>
        <s v="PR-614"/>
        <s v="PR-613"/>
        <s v="FB-1555"/>
        <s v="CI-445"/>
        <s v="CI-280"/>
        <s v="PR-611"/>
        <s v="FB-1551"/>
        <s v="FB-1548"/>
        <s v="FB-1547"/>
        <s v="FB-1546"/>
        <s v="FB-1545"/>
        <s v="PR-609"/>
        <s v="PR-608"/>
        <s v="BACK-146"/>
        <s v="FB-1529"/>
        <s v="FB-1528"/>
        <s v="FB-1527"/>
        <s v="FB-1526"/>
        <s v="FB-1525"/>
        <s v="FB-1524"/>
        <s v="BACK-215"/>
        <s v="BACK-153"/>
        <s v="FB-1506"/>
        <s v="FB-1504"/>
        <s v="FB-1503"/>
        <s v="FB-1502"/>
        <s v="CI-435"/>
        <s v="FB-1498"/>
        <s v="PR-599"/>
        <s v="UI-72"/>
        <s v="FB-1493"/>
        <s v="CI-306"/>
        <s v="FB-1489"/>
        <s v="PR-595"/>
        <s v="FB-1485"/>
        <s v="PR-594"/>
        <s v="FB-1481"/>
        <s v="FB-1480"/>
        <s v="PR-592"/>
        <s v="PR-591"/>
        <s v="PR-590"/>
        <s v="PR-589"/>
        <s v="PR-588"/>
        <s v="PR-587"/>
        <s v="CI-292"/>
        <s v="FB-1467"/>
        <s v="FB-1466"/>
        <s v="CI-638"/>
        <s v="FB-1457"/>
        <s v="CI-443"/>
        <s v="FB-1451"/>
        <s v="FB-1447"/>
        <s v="PR-571"/>
        <s v="PR-570"/>
        <s v="PR-569"/>
        <s v="PR-568"/>
        <s v="PR-567"/>
        <s v="PR-566"/>
        <s v="PR-565"/>
        <s v="PR-564"/>
        <s v="PR-563"/>
        <s v="PR-562"/>
        <s v="PR-561"/>
        <s v="PR-560"/>
        <s v="PR-559"/>
        <s v="PR-558"/>
        <s v="PR-557"/>
        <s v="PR-556"/>
        <s v="PR-555"/>
        <s v="PR-554"/>
        <s v="PR-553"/>
        <s v="PR-552"/>
        <s v="PR-551"/>
        <s v="FB-1444"/>
        <s v="FB-1443"/>
        <s v="FB-1442"/>
        <s v="FB-1437"/>
        <s v="FB-1434"/>
        <s v="BACK-192"/>
        <s v="PR-543"/>
        <s v="CI-473"/>
        <s v="FB-1422"/>
        <s v="FB-1420"/>
        <s v="PR-531"/>
        <s v="PR-530"/>
        <s v="UI-47"/>
        <s v="PR-1434"/>
        <s v="PR-521"/>
        <s v="PR-520"/>
        <s v="PR-519"/>
        <s v="CI-543"/>
        <s v="CI-537"/>
        <s v="BACK-186"/>
        <s v="CI-430"/>
        <s v="CI-301"/>
        <s v="FB-1405"/>
        <s v="FB-1404"/>
        <s v="CI-291"/>
        <s v="CI-433"/>
        <s v="CI-590"/>
        <s v="CI-434"/>
        <s v="CI-436"/>
        <s v="CI-281"/>
        <s v="CI-416"/>
        <s v="CI-569"/>
        <s v="CI-408"/>
        <s v="CI-409"/>
        <s v="CI-410"/>
        <s v="CI-412"/>
        <s v="CI-418"/>
        <s v="PR-496"/>
        <s v="FB-1402"/>
        <s v="FB-1400"/>
        <s v="FB-1401"/>
        <s v="FB-2328"/>
        <s v="FB-1455"/>
        <s v="CI-296"/>
        <s v="PR-517"/>
        <s v="FB-1397"/>
        <s v="FB-1398"/>
        <s v="FB-1394"/>
        <s v="FB-1395"/>
        <s v="FB-1396"/>
        <s v="FB-2323"/>
        <s v="FB-1385"/>
        <s v="FB-1386"/>
        <s v="FB-1387"/>
        <s v="FB-1388"/>
        <s v="CI-239"/>
        <s v="FB-1381"/>
        <s v="FB-1375"/>
        <s v="FB-1376"/>
        <s v="FB-1372"/>
        <s v="FB-1373"/>
        <s v="PR-424"/>
        <s v="PR-423"/>
        <s v="PR-422"/>
        <s v="PR-420"/>
        <s v="CI-269"/>
        <s v="CI-432"/>
        <s v="CI-617"/>
        <s v="FB-1338"/>
        <s v="PR-405"/>
        <s v="FB-1332"/>
        <s v="FB-1329"/>
        <s v="FB-1328"/>
        <s v="FB-1325"/>
        <s v="CI-576"/>
        <s v="FB-1305"/>
        <s v="FB-1304"/>
        <s v="BACK-168"/>
        <s v="CI-346"/>
        <s v="BACK-142"/>
        <s v="BACK-144"/>
        <s v="CI-423"/>
        <s v="CI-424"/>
        <s v="FB-1300"/>
        <s v="FB-2320"/>
        <s v="FB-1290"/>
        <s v="FB-2329"/>
        <s v="CI-332"/>
        <s v="CI-333"/>
        <s v="CI-334"/>
        <s v="CI-344"/>
        <s v="UI-49"/>
        <s v="BACK-135"/>
        <s v="PR-546"/>
        <s v="PR-351"/>
        <s v="PR-350"/>
        <s v="CI-421"/>
        <s v="FB-1246"/>
        <s v="CI-476"/>
        <s v="CI-489"/>
        <s v="CI-451"/>
        <s v="CI-452"/>
        <s v="CI-453"/>
        <s v="BACK-203"/>
        <s v="FB-2335"/>
        <s v="FB-1225"/>
        <s v="FB-1224"/>
        <s v="FB-1215"/>
        <s v="BACK-159"/>
        <s v="CI-564"/>
        <s v="CI-587"/>
        <s v="CI-431"/>
        <s v="UI-75"/>
        <s v="FB-1190"/>
        <s v="FB-1189"/>
        <s v="UI-86"/>
        <s v="FB-1180"/>
        <s v="FB-1179"/>
        <s v="FB-1173"/>
        <s v="FB-1172"/>
        <s v="CI-616"/>
        <s v="FB-1157"/>
        <s v="CI-372"/>
        <s v="FB-1142"/>
        <s v="BACK-141"/>
        <s v="BACK-143"/>
        <s v="BACK-131"/>
        <s v="BACK-132"/>
        <s v="BACK-134"/>
        <s v="CI-362"/>
        <s v="CI-341"/>
        <s v="FB-1126"/>
        <s v="CI-275"/>
        <s v="CI-274"/>
        <s v="FB-1124"/>
        <s v="FB-1123"/>
        <s v="FB-1122"/>
        <s v="FB-1074"/>
        <s v="FB-1071"/>
        <s v="BACK-151"/>
        <s v="FB-1068"/>
        <s v="PR-297"/>
        <s v="CI-304"/>
        <s v="CI-422"/>
        <s v="CI-615"/>
        <s v="FB-1060"/>
        <s v="UI-77"/>
        <s v="CI-417"/>
        <s v="CI-481"/>
        <s v="FB-1047"/>
        <s v="FB-1127"/>
        <s v="FB-1045"/>
        <s v="FB-1042"/>
        <s v="FB-1040"/>
        <s v="FB-1028"/>
        <s v="CI-541"/>
        <s v="FB-2331"/>
        <s v="PR-274"/>
        <s v="UI-82"/>
        <s v="FB-2333"/>
        <s v="FB-1021"/>
        <s v="FB-1017"/>
        <s v="FB-1019"/>
        <s v="FB-2332"/>
        <s v="FB-1010"/>
        <s v="FB-1009"/>
        <s v="FB-2327"/>
        <s v="FB-1148"/>
        <s v="PR-248"/>
        <s v="PR-246"/>
        <s v="PR-245"/>
        <s v="CI-326"/>
        <s v="UI-74"/>
        <s v="CI-477"/>
        <s v="CI-603"/>
        <s v="CI-323"/>
        <s v="CI-322"/>
        <s v="BACK-133"/>
        <s v="FB-994"/>
        <s v="CI-460"/>
        <s v="CI-462"/>
        <s v="CI-354"/>
        <s v="CI-355"/>
        <s v="PR-233"/>
        <s v="CI-349"/>
        <s v="FB-981"/>
        <s v="FB-979"/>
        <s v="FB-975"/>
        <s v="FB-974"/>
        <s v="FB-973"/>
        <s v="FB-972"/>
        <s v="FB-968"/>
        <s v="FB-967"/>
        <s v="FB-963"/>
        <s v="FB-961"/>
        <s v="FB-960"/>
        <s v="FB-959"/>
        <s v="FB-953"/>
        <s v="FB-952"/>
        <s v="FB-951"/>
        <s v="FB-949"/>
        <s v="FB-2334"/>
        <s v="CI-335"/>
        <s v="CI-338"/>
        <s v="CI-288"/>
        <s v="CI-320"/>
        <s v="FB-909"/>
        <s v="PR-217"/>
        <s v="PR-215"/>
        <s v="PR-214"/>
        <s v="PR-212"/>
        <s v="PR-208"/>
        <s v="PR-207"/>
        <s v="CI-574"/>
        <s v="FB-895"/>
        <s v="CI-273"/>
        <s v="PR-185"/>
        <s v="PR-184"/>
        <s v="CI-384"/>
        <s v="FB-894"/>
        <s v="CI-469"/>
        <s v="CI-471"/>
        <s v="CI-358"/>
        <s v="CI-357"/>
        <s v="CI-359"/>
        <s v="CI-360"/>
        <s v="CI-363"/>
        <s v="CI-365"/>
        <s v="CI-377"/>
        <s v="CI-376"/>
        <s v="CI-378"/>
        <s v="CI-307"/>
        <s v="FB-886"/>
        <s v="FB-884"/>
        <s v="FB-882"/>
        <s v="FB-881"/>
        <s v="PR-182"/>
        <s v="PR-181"/>
        <s v="PR-180"/>
        <s v="PR-178"/>
        <s v="PR-173"/>
        <s v="BACK-150"/>
        <s v="PR-163"/>
        <s v="PR-162"/>
        <s v="PR-161"/>
        <s v="PR-160"/>
        <s v="PR-158"/>
        <s v="PR-157"/>
        <s v="PR-156"/>
        <s v="PR-155"/>
        <s v="PR-154"/>
        <s v="PR-153"/>
        <s v="PR-150"/>
        <s v="PR-149"/>
        <s v="PR-148"/>
        <s v="PR-147"/>
        <s v="PR-146"/>
        <s v="PR-145"/>
        <s v="PR-144"/>
        <s v="PR-143"/>
        <s v="PR-134"/>
        <s v="PR-133"/>
        <s v="PR-132"/>
        <s v="CI-390"/>
        <s v="CI-389"/>
        <s v="CI-400"/>
        <s v="CI-399"/>
        <s v="CI-401"/>
        <s v="FB-846"/>
        <s v="CI-546"/>
        <s v="PR-131"/>
        <s v="PR-128"/>
        <s v="BACK-185"/>
        <s v="FB-822"/>
        <s v="CI-599"/>
        <s v="CI-461"/>
        <s v="CI-598"/>
        <s v="FB-809"/>
        <s v="PR-127"/>
        <s v="PR-126"/>
        <s v="PR-125"/>
        <s v="FB-938"/>
        <s v="CI-565"/>
        <s v="FB-946"/>
        <s v="FB-929"/>
        <s v="FB-928"/>
        <s v="FB-786"/>
        <s v="CI-581"/>
        <s v="FB-779"/>
        <s v="FB-778"/>
        <s v="CI-265"/>
        <s v="CI-308"/>
        <s v="CI-403"/>
        <s v="FB-767"/>
        <s v="FB-753"/>
        <s v="FB-918"/>
        <s v="FB-931"/>
        <s v="CI-406"/>
        <s v="CI-404"/>
        <s v="CI-380"/>
        <s v="CI-558"/>
        <s v="CI-413"/>
        <s v="CI-411"/>
        <s v="CI-572"/>
        <s v="CI-571"/>
        <s v="CI-342"/>
        <s v="CI-488"/>
        <s v="CI-455"/>
        <s v="CI-438"/>
        <s v="CI-467"/>
        <s v="CI-466"/>
        <s v="CI-470"/>
        <s v="CI-309"/>
        <s v="FB-915"/>
        <s v="PR-71"/>
        <s v="CI-567"/>
        <s v="PR-68"/>
        <s v="FB-930"/>
        <s v="FB-927"/>
        <s v="FB-921"/>
        <s v="CI-566"/>
        <s v="FB-583"/>
        <s v="CI-575"/>
        <s v="CI-327"/>
        <s v="CI-328"/>
        <s v="CI-597"/>
        <s v="CI-596"/>
        <s v="CI-297"/>
        <s v="CI-555"/>
        <s v="CI-554"/>
        <s v="CI-560"/>
        <s v="CI-559"/>
        <s v="CI-557"/>
        <s v="CI-556"/>
        <s v="CI-563"/>
        <s v="CI-562"/>
        <s v="CI-561"/>
        <s v="CI-579"/>
        <s v="CI-578"/>
        <s v="CI-577"/>
        <s v="CI-582"/>
        <s v="CI-585"/>
        <s v="CI-588"/>
        <s v="CI-592"/>
        <s v="CI-591"/>
        <s v="CI-589"/>
        <s v="CI-594"/>
        <s v="CI-593"/>
        <s v="CI-607"/>
        <s v="CI-610"/>
        <s v="CI-305"/>
        <s v="CI-573"/>
        <s v="CI-302"/>
        <s v="CI-385"/>
        <s v="CI-303"/>
        <s v="CI-602"/>
        <s v="FB-456"/>
        <s v="PR-64"/>
        <s v="CI-550"/>
        <s v="CI-553"/>
        <s v="CI-544"/>
        <s v="CI-540"/>
        <s v="CI-536"/>
        <s v="CI-538"/>
        <s v="CI-539"/>
        <s v="CI-551"/>
        <s v="CI-552"/>
        <s v="PR-62"/>
        <s v="FB-399"/>
        <s v="PR-61"/>
        <s v="PR-60"/>
        <s v="CI-272"/>
        <s v="PR-59"/>
        <s v="PR-53"/>
        <s v="CI-366"/>
        <s v="CI-361"/>
        <s v="CI-549"/>
        <s v="CI-459"/>
        <s v="PR-52"/>
        <s v="PR-51"/>
        <s v="PR-50"/>
        <s v="PR-49"/>
        <s v="PR-48"/>
        <s v="PR-47"/>
        <s v="PR-46"/>
        <s v="PR-45"/>
        <s v="PR-44"/>
        <s v="PR-43"/>
        <s v="PR-42"/>
        <s v="PR-41"/>
        <s v="PR-40"/>
        <s v="PR-39"/>
        <s v="PR-38"/>
        <s v="PR-37"/>
        <s v="PR-36"/>
        <s v="PR-35"/>
        <s v="PR-34"/>
        <s v="PR-33"/>
        <s v="PR-32"/>
        <s v="PR-31"/>
        <s v="PR-30"/>
        <s v="PR-29"/>
        <s v="PR-28"/>
        <s v="PR-27"/>
        <s v="PR-26"/>
        <s v="PR-25"/>
        <s v="PR-24"/>
        <s v="PR-23"/>
        <s v="PR-22"/>
        <s v="PR-21"/>
        <s v="PR-20"/>
        <s v="PR-19"/>
        <s v="PR-18"/>
        <s v="PR-17"/>
        <s v="PR-16"/>
        <s v="PR-15"/>
        <s v="PR-14"/>
        <s v="PR-13"/>
        <s v="PR-12"/>
        <s v="PR-10"/>
        <s v="PR-9"/>
        <s v="PR-8"/>
        <s v="PR-7"/>
        <s v="PR-6"/>
        <s v="PR-5"/>
        <s v="PR-1432"/>
        <s v="PR-3"/>
        <s v="PR-1433"/>
        <s v="PR-58"/>
        <s v="PR-57"/>
        <s v="PR-55"/>
        <s v="PR-56"/>
        <s v="PR-54"/>
        <s v="CI-331"/>
        <s v="CI-437"/>
        <s v="CI-570"/>
        <s v="CI-345"/>
        <s v="CI-364"/>
        <s v="FB-44"/>
      </sharedItems>
    </cacheField>
    <cacheField name="jira_ticket_title">
      <sharedItems count="2614">
        <s v="Enable Conditional Reconciliation "/>
        <s v="UI and Dashboard Improvements to DeepRecon to Support Boradridge"/>
        <s v="PDF Conversion fails for PNG files"/>
        <s v="Add a new blockly block to use equivalency lists on full strings"/>
        <s v="Allow filtering and sorting by custom fields in Actionable data"/>
        <s v="Display Custom fields in Actionable Data"/>
        <s v="Allow the user to create custom fields when configuring Automations"/>
        <s v="Implement Custom fields (key-value pairs) for Deep Recon"/>
        <s v="Deploy the latest UI image to FIS Tenant"/>
        <s v="UI - Configure FIS Tenant"/>
        <s v="Create Tenant for FIS - US region"/>
        <s v="Infra - Configure Tenant for FIS"/>
        <s v="Integrate CrowdStrike security scanning into CI/CD pipeline for Extraction service"/>
        <s v="Set Up/Configure FIS Tenant"/>
        <s v="Create Tenant for BBVA - EU region"/>
        <s v="Infra - Configure Tenant for BBVA"/>
        <s v="Deploy the latest UI image to BBVA Tenant"/>
        <s v="Configure BBVA Tenant"/>
        <s v="Create Tenant for CTC for EU region"/>
        <s v="Infra - Configure Tenant for CTC"/>
        <s v="Deploy the latest UI image to CTC Tenant"/>
        <s v="UI - Configure CTC Tenant"/>
        <s v="Set Up/Configure BBVA Tenant"/>
        <s v="Set Up/Configure CTC Tenant"/>
        <s v="Priority: Address Wiz-Identified Assets (13 Assets, 390 C+H)"/>
        <s v="Enhance &quot;Golden Source&quot; Picker for Colony Bank"/>
        <s v="Allow for Document Orientation Adjustment"/>
        <s v="Configure the API key for the news sources"/>
        <s v="Helm chart changes for new k8s job"/>
        <s v="Update Terraform for the new k8s job"/>
        <s v="Create a scheduled data fetch k8s job"/>
        <s v="Add user defined key-value pairs that can be associated with a message"/>
        <s v="Add Custom Fields in Deep Recon"/>
        <s v="Update the prediction API to include custom fields"/>
        <s v="Allow Automation to use custom fields"/>
        <s v="Use equivalency lists on full strings"/>
        <s v="Create a custom FEEL function that would use equivalency lists and a string"/>
        <s v="FEEL / Equivalency matching improvements to build Automations for Accenture"/>
        <s v="Create Absolute Value Puzzle Piece"/>
        <s v="Deep Pilot - Light Extraction - Some Excel Files with multiple tables merge the tables and do not extract any aliases"/>
        <s v="Deep Pilot - Hardcode some checklist items to be sent to Allegro without review (Colonybank)"/>
        <s v="Additional Allegro Field Mapping"/>
        <s v="Update kserve inference service resources"/>
        <s v="Deep Recon - Detach Automations from Outlook (for Accenture)"/>
        <s v="Deep Recon - Always run on import Automations (Broadridge)"/>
        <s v="Fix Remaining Application-Level Dependencies"/>
        <s v="Standardize Alpine-based Images to 3.22"/>
        <s v="Standardize Ubuntu-based Images to 24.04 LTS"/>
        <s v="[HIGH] GHSA-9763-4f94-gfch: github.com/cloudflare/circl vulnerability in 1 images"/>
        <s v="[HIGH] GHSA-7jwh-3vrq-q3m8: github.com/jackc/pgproto3/v2 vulnerability in 1 images"/>
        <s v="[HIGH] CVE-2025-8194: python vulnerability in 1 images (Cross-Category)"/>
        <s v="[HIGH] CVE-2025-7425: libxml2 vulnerability in 1 images (Cross-Category)"/>
        <s v="[HIGH] CVE-2025-7424: libxslt1.1 vulnerability in 1 images"/>
        <s v="[HIGH] CVE-2025-62727: starlette vulnerability in 1 images"/>
        <s v="[HIGH] CVE-2025-62157: github.com/argoproj/argo-workflows/v3 vulnerability in 1 images"/>
        <s v="[HIGH] CVE-2025-62156: github.com/argoproj/argo-workflows/v3 vulnerability in 1 images"/>
        <s v="[HIGH] CVE-2025-6021: libxml2 vulnerability in 1 images (Cross-Category)"/>
        <s v="[HIGH] CVE-2025-6020: libpam-modules vulnerability in 1 images"/>
        <s v="[HIGH] CVE-2025-59419: io.netty:netty-codec-smtp vulnerability in 1 images"/>
        <s v="[HIGH] CVE-2025-58754: axios vulnerability in 1 images"/>
        <s v="[HIGH] CVE-2025-55752: org.apache.tomcat.embed:tomcat-embed-core vulnerability in 1 images"/>
        <s v="[HIGH] CVE-2025-55163: io.netty:netty-codec-http2 vulnerability in 1 images"/>
        <s v="[HIGH] CVE-2025-5222: libicu vulnerability in 1 images (Cross-Category)"/>
        <s v="[HIGH] CVE-2025-50106: openjdk17-jre vulnerability in 1 images"/>
        <s v="[HIGH] CVE-2025-50059: openjdk17-jre vulnerability in 1 images"/>
        <s v="[HIGH] CVE-2025-48989: org.apache.tomcat.embed:tomcat-embed-core vulnerability in 1 images"/>
        <s v="[HIGH] CVE-2025-48988: org.apache.tomcat.embed:tomcat-embed-core vulnerability in 1 images"/>
        <s v="[HIGH] CVE-2025-48734: commons-beanutils:commons-beanutils vulnerability in 1 images (Cross-Category)"/>
        <s v="[HIGH] CVE-2025-4802: libc-bin vulnerability in 1 images"/>
        <s v="[HIGH] CVE-2025-47907: stdlib vulnerability in 1 images (Cross-Category)"/>
        <s v="[HIGH] CVE-2025-47273: setuptools vulnerability in 1 images (Cross-Category)"/>
        <s v="[HIGH] CVE-2025-4565: protobuf vulnerability in 1 images (Cross-Category)"/>
        <s v="[HIGH] CVE-2025-41249: org.springframework:spring-core vulnerability in 1 images"/>
        <s v="[HIGH] CVE-2025-38118: linux-libc-dev vulnerability in 1 images"/>
        <s v="[HIGH] CVE-2025-32990: libgnutls30 vulnerability in 1 images"/>
        <s v="[HIGH] CVE-2025-32988: libgnutls30 vulnerability in 1 images"/>
        <s v="[HIGH] CVE-2025-32463: sudo vulnerability in 1 images"/>
        <s v="[HIGH] CVE-2025-32462: sudo vulnerability in 1 images"/>
        <s v="[HIGH] CVE-2025-32415: libxml2 vulnerability in 1 images"/>
        <s v="[HIGH] CVE-2025-32414: libxml2 vulnerability in 1 images"/>
        <s v="[HIGH] CVE-2025-31115: liblzma5 vulnerability in 1 images"/>
        <s v="[HIGH] CVE-2025-30749: openjdk17-jre vulnerability in 1 images"/>
        <s v="[HIGH] CVE-2025-30204: github.com/golang-jwt/jwt/v4 vulnerability in 1 images"/>
        <s v="[HIGH] CVE-2025-29786: github.com/expr-lang/expr vulnerability in 1 images"/>
        <s v="[HIGH] CVE-2025-27818: kafka vulnerability in 1 images"/>
        <s v="[HIGH] CVE-2025-27817: kafka vulnerability in 1 images"/>
        <s v="[HIGH] CVE-2025-27113: libxml2 vulnerability in 1 images"/>
        <s v="[HIGH] CVE-2025-24970: io.netty:netty-handler vulnerability in 1 images"/>
        <s v="[HIGH] CVE-2025-24928: libxml2 vulnerability in 1 images"/>
        <s v="[HIGH] CVE-2025-24855: libxslt1.1 vulnerability in 1 images"/>
        <s v="[HIGH] CVE-2025-22869: golang.org/x/crypto vulnerability in 1 images"/>
        <s v="[HIGH] CVE-2025-22868: golang.org/x/oauth2 vulnerability in 1 images"/>
        <s v="[HIGH] CVE-2025-22235: org.springframework.boot:spring-boot vulnerability in 1 images"/>
        <s v="[HIGH] CVE-2025-21791: linux-libc-dev vulnerability in 1 images"/>
        <s v="[HIGH] CVE-2025-21761: linux-libc-dev vulnerability in 1 images"/>
        <s v="[HIGH] CVE-2025-21715: linux-libc-dev vulnerability in 1 images"/>
        <s v="[HIGH] CVE-2025-21704: linux-libc-dev vulnerability in 1 images"/>
        <s v="[HIGH] CVE-2025-21703: linux-libc-dev vulnerability in 1 images"/>
        <s v="[HIGH] CVE-2025-21647: linux-libc-dev vulnerability in 1 images"/>
        <s v="[HIGH] CVE-2025-21614: github.com/go-git/go-git/v5 vulnerability in 1 images"/>
        <s v="[HIGH] CVE-2024-9287: libpython3.9-minimal vulnerability in 1 images"/>
        <s v="[HIGH] CVE-2024-8176: libexpat1 vulnerability in 1 images"/>
        <s v="[HIGH] CVE-2024-7592: libpython3.9-minimal vulnerability in 1 images"/>
        <s v="[HIGH] CVE-2024-7254: com.google.protobuf:protobuf-java vulnerability in 1 images (Cross-Category)"/>
        <s v="[HIGH] CVE-2024-6345: python3-pkg-resources vulnerability in 1 images"/>
        <s v="[HIGH] CVE-2024-6232: libpython3.9-minimal vulnerability in 1 images"/>
        <s v="[HIGH] CVE-2024-6119: libcrypto3 vulnerability in 1 images (Cross-Category)"/>
        <s v="[HIGH] CVE-2024-58083: linux-libc-dev vulnerability in 1 images"/>
        <s v="[HIGH] CVE-2024-57850: linux-libc-dev vulnerability in 1 images"/>
        <s v="[HIGH] CVE-2024-56658: linux-libc-dev vulnerability in 1 images"/>
        <s v="[HIGH] CVE-2024-56598: linux-libc-dev vulnerability in 1 images"/>
        <s v="[HIGH] CVE-2024-56596: linux-libc-dev vulnerability in 1 images"/>
        <s v="[HIGH] CVE-2024-56595: linux-libc-dev vulnerability in 1 images"/>
        <s v="[HIGH] CVE-2024-56593: linux-libc-dev vulnerability in 1 images"/>
        <s v="[HIGH] CVE-2024-56406: libperl5.36 vulnerability in 1 images"/>
        <s v="[HIGH] CVE-2024-55549: libxslt1.1 vulnerability in 1 images"/>
        <s v="[HIGH] CVE-2024-53217: linux-libc-dev vulnerability in 1 images"/>
        <s v="[HIGH] CVE-2024-53197: linux-libc-dev vulnerability in 1 images"/>
        <s v="[HIGH] CVE-2024-53179: linux-libc-dev vulnerability in 1 images"/>
        <s v="[HIGH] CVE-2024-53171: linux-libc-dev vulnerability in 1 images"/>
        <s v="[HIGH] CVE-2024-53150: linux-libc-dev vulnerability in 1 images"/>
        <s v="[HIGH] CVE-2024-53140: linux-libc-dev vulnerability in 1 images"/>
        <s v="[HIGH] CVE-2024-53104: linux-libc-dev vulnerability in 1 images"/>
        <s v="[HIGH] CVE-2024-53103: linux-libc-dev vulnerability in 1 images"/>
        <s v="[HIGH] CVE-2024-53063: linux-libc-dev vulnerability in 1 images"/>
        <s v="[HIGH] CVE-2024-50302: linux-libc-dev vulnerability in 1 images"/>
        <s v="[HIGH] CVE-2024-50299: linux-libc-dev vulnerability in 1 images"/>
        <s v="[HIGH] CVE-2024-50264: linux-libc-dev vulnerability in 1 images"/>
        <s v="[HIGH] CVE-2024-49958: linux-libc-dev vulnerability in 1 images"/>
        <s v="[HIGH] CVE-2024-49883: linux-libc-dev vulnerability in 1 images"/>
        <s v="[HIGH] CVE-2024-47685: linux-libc-dev vulnerability in 1 images"/>
        <s v="[HIGH] CVE-2024-47554: commons-io:commons-io vulnerability in 1 images"/>
        <s v="[HIGH] CVE-2024-45490: libexpat1 vulnerability in 1 images"/>
        <s v="[HIGH] CVE-2024-43882: linux-libc-dev vulnerability in 1 images"/>
        <s v="[HIGH] CVE-2024-38630: linux-libc-dev vulnerability in 1 images"/>
        <s v="[HIGH] CVE-2024-38558: linux-libc-dev vulnerability in 1 images"/>
        <s v="[HIGH] CVE-2024-37370: libgssapi-krb5-2 vulnerability in 1 images"/>
        <s v="[HIGH] CVE-2024-37059: mlflow vulnerability in 1 images"/>
        <s v="[HIGH] CVE-2024-36971: linux-libc-dev vulnerability in 1 images"/>
        <s v="[HIGH] CVE-2024-36016: linux-libc-dev vulnerability in 1 images"/>
        <s v="[HIGH] CVE-2024-35870: linux-libc-dev vulnerability in 1 images"/>
        <s v="[HIGH] CVE-2024-35864: linux-libc-dev vulnerability in 1 images"/>
        <s v="[HIGH] CVE-2024-34156: stdlib vulnerability in 1 images"/>
        <s v="[HIGH] CVE-2024-33599: libc-bin vulnerability in 1 images"/>
        <s v="[HIGH] CVE-2024-32487: less vulnerability in 1 images"/>
        <s v="[HIGH] CVE-2024-31583: torch vulnerability in 1 images"/>
        <s v="[HIGH] CVE-2024-31580: torch vulnerability in 1 images"/>
        <s v="[HIGH] CVE-2024-27398: linux-libc-dev vulnerability in 1 images"/>
        <s v="[HIGH] CVE-2024-27397: linux-libc-dev vulnerability in 1 images"/>
        <s v="[HIGH] CVE-2024-27304: github.com/jackc/pgx/v4 vulnerability in 1 images"/>
        <s v="[HIGH] CVE-2024-27289: github.com/jackc/pgx/v4 vulnerability in 1 images"/>
        <s v="[HIGH] CVE-2024-26960: linux-libc-dev vulnerability in 1 images"/>
        <s v="[HIGH] CVE-2024-26928: linux-libc-dev vulnerability in 1 images"/>
        <s v="[HIGH] CVE-2024-26925: linux-libc-dev vulnerability in 1 images"/>
        <s v="[HIGH] CVE-2024-26923: linux-libc-dev vulnerability in 1 images"/>
        <s v="[HIGH] CVE-2024-26921: linux-libc-dev vulnerability in 1 images"/>
        <s v="[HIGH] CVE-2024-26828: linux-libc-dev vulnerability in 1 images"/>
        <s v="[HIGH] CVE-2024-26800: linux-libc-dev vulnerability in 1 images"/>
        <s v="[HIGH] CVE-2024-26689: linux-libc-dev vulnerability in 1 images"/>
        <s v="[HIGH] CVE-2024-26643: linux-libc-dev vulnerability in 1 images"/>
        <s v="[HIGH] CVE-2024-26642: linux-libc-dev vulnerability in 1 images"/>
        <s v="[HIGH] CVE-2024-26597: linux-libc-dev vulnerability in 1 images"/>
        <s v="[HIGH] CVE-2024-26585: linux-libc-dev vulnerability in 1 images"/>
        <s v="[HIGH] CVE-2024-26584: linux-libc-dev vulnerability in 1 images"/>
        <s v="[HIGH] CVE-2024-26583: linux-libc-dev vulnerability in 1 images"/>
        <s v="[HIGH] CVE-2024-26581: linux-libc-dev vulnerability in 1 images"/>
        <s v="[HIGH] CVE-2024-26130: cryptography vulnerability in 1 images"/>
        <s v="[HIGH] CVE-2024-25062: libxml2 vulnerability in 1 images"/>
        <s v="[HIGH] CVE-2024-13009: org.eclipse.jetty:jetty-server vulnerability in 1 images"/>
        <s v="[HIGH] CVE-2024-12797: libssl3t64 vulnerability in 1 images"/>
        <s v="[HIGH] CVE-2024-1086: linux-libc-dev vulnerability in 1 images"/>
        <s v="[HIGH] CVE-2024-0646: linux-libc-dev vulnerability in 1 images"/>
        <s v="[HIGH] CVE-2024-0567: libgnutls30 vulnerability in 1 images"/>
        <s v="[HIGH] CVE-2024-0553: libgnutls30 vulnerability in 1 images"/>
        <s v="[HIGH] CVE-2023-7104: libsqlite3-0 vulnerability in 1 images"/>
        <s v="[HIGH] CVE-2023-6932: linux-libc-dev vulnerability in 1 images"/>
        <s v="[HIGH] CVE-2023-6931: linux-libc-dev vulnerability in 1 images"/>
        <s v="[HIGH] CVE-2023-6597: libpython3.9-minimal vulnerability in 1 images"/>
        <s v="[HIGH] CVE-2023-6270: linux-libc-dev vulnerability in 1 images"/>
        <s v="[HIGH] CVE-2023-6176: linux-libc-dev vulnerability in 1 images"/>
        <s v="[HIGH] CVE-2023-5363: libcrypto3 vulnerability in 1 images"/>
        <s v="[HIGH] CVE-2023-52927: linux-libc-dev vulnerability in 1 images"/>
        <s v="[HIGH] CVE-2023-52885: linux-libc-dev vulnerability in 1 images"/>
        <s v="[HIGH] CVE-2023-52880: linux-libc-dev vulnerability in 1 images"/>
        <s v="[HIGH] CVE-2023-52664: linux-libc-dev vulnerability in 1 images"/>
        <s v="[HIGH] CVE-2023-52620: linux-libc-dev vulnerability in 1 images"/>
        <s v="[HIGH] CVE-2023-52425: libexpat1 vulnerability in 1 images"/>
        <s v="[HIGH] CVE-2023-51781: linux-libc-dev vulnerability in 1 images"/>
        <s v="[HIGH] CVE-2023-50868: libsystemd0 vulnerability in 1 images"/>
        <s v="[HIGH] CVE-2023-50782: cryptography vulnerability in 1 images"/>
        <s v="[HIGH] CVE-2023-50387: libsystemd0 vulnerability in 1 images"/>
        <s v="[HIGH] CVE-2023-4921: linux-libc-dev vulnerability in 1 images"/>
        <s v="[HIGH] CVE-2023-46402: github.com/whilp/git-urls vulnerability in 1 images"/>
        <s v="[HIGH] CVE-2023-4623: linux-libc-dev vulnerability in 1 images"/>
        <s v="[HIGH] CVE-2023-4622: linux-libc-dev vulnerability in 1 images"/>
        <s v="[HIGH] CVE-2023-45288: stdlib vulnerability in 1 images"/>
        <s v="[HIGH] CVE-2023-45287: stdlib vulnerability in 1 images"/>
        <s v="[HIGH] CVE-2023-45283: stdlib vulnerability in 1 images"/>
        <s v="[HIGH] CVE-2023-42756: linux-libc-dev vulnerability in 1 images"/>
        <s v="[HIGH] CVE-2023-42755: linux-libc-dev vulnerability in 1 images"/>
        <s v="[HIGH] CVE-2023-42753: linux-libc-dev vulnerability in 1 images"/>
        <s v="[HIGH] CVE-2023-42752: linux-libc-dev vulnerability in 1 images"/>
        <s v="[HIGH] CVE-2023-4244: linux-libc-dev vulnerability in 1 images"/>
        <s v="[HIGH] CVE-2023-39325: stdlib vulnerability in 1 images"/>
        <s v="[HIGH] CVE-2023-37475: github.com/hamba/avro vulnerability in 1 images"/>
        <s v="[HIGH] CVE-2023-31484: libperl5.36 vulnerability in 1 images"/>
        <s v="[HIGH] CVE-2023-2953: libldap-2.5-0 vulnerability in 1 images"/>
        <s v="[HIGH] CVE-2023-29403: stdlib vulnerability in 1 images"/>
        <s v="[HIGH] CVE-2023-29400: stdlib vulnerability in 1 images"/>
        <s v="[HIGH] CVE-2023-24539: stdlib vulnerability in 1 images"/>
        <s v="[HIGH] CVE-2023-24537: stdlib vulnerability in 1 images"/>
        <s v="[HIGH] CVE-2023-24536: stdlib vulnerability in 1 images"/>
        <s v="[HIGH] CVE-2023-24534: stdlib vulnerability in 1 images"/>
        <s v="[HIGH] CVE-2023-24329: libpython3.9-minimal vulnerability in 1 images"/>
        <s v="[HIGH] CVE-2023-21400: linux-libc-dev vulnerability in 1 images"/>
        <s v="[HIGH] CVE-2022-49043: libxml2 vulnerability in 1 images"/>
        <s v="[HIGH] CVE-2022-4899: libzstd1 vulnerability in 1 images"/>
        <s v="[HIGH] CVE-2022-48624: less vulnerability in 1 images"/>
        <s v="[HIGH] CVE-2022-45061: libpython3.9-minimal vulnerability in 1 images"/>
        <s v="[HIGH] CVE-2022-42919: libpython3.9-minimal vulnerability in 1 images"/>
        <s v="[HIGH] CVE-2022-41725: stdlib vulnerability in 1 images"/>
        <s v="[HIGH] CVE-2022-41724: stdlib vulnerability in 1 images"/>
        <s v="[HIGH] CVE-2022-41723: stdlib vulnerability in 1 images"/>
        <s v="[HIGH] CVE-2022-41722: stdlib vulnerability in 1 images"/>
        <s v="[HIGH] CVE-2022-41720: stdlib vulnerability in 1 images"/>
        <s v="[HIGH] CVE-2022-41716: stdlib vulnerability in 1 images"/>
        <s v="[HIGH] CVE-2022-41715: stdlib vulnerability in 1 images"/>
        <s v="[HIGH] CVE-2022-3715: bash vulnerability in 1 images"/>
        <s v="[HIGH] CVE-2022-36402: linux-libc-dev vulnerability in 1 images"/>
        <s v="[HIGH] CVE-2022-32189: stdlib vulnerability in 1 images"/>
        <s v="[HIGH] CVE-2022-30635: stdlib vulnerability in 1 images"/>
        <s v="[HIGH] CVE-2022-30634: stdlib vulnerability in 1 images"/>
        <s v="[HIGH] CVE-2022-30633: stdlib vulnerability in 1 images"/>
        <s v="[HIGH] CVE-2022-30632: stdlib vulnerability in 1 images"/>
        <s v="[HIGH] CVE-2022-30631: stdlib vulnerability in 1 images"/>
        <s v="[HIGH] CVE-2022-30630: stdlib vulnerability in 1 images"/>
        <s v="[HIGH] CVE-2022-30580: stdlib vulnerability in 1 images"/>
        <s v="[HIGH] CVE-2022-29804: stdlib vulnerability in 1 images"/>
        <s v="[HIGH] CVE-2022-2880: stdlib vulnerability in 1 images"/>
        <s v="[HIGH] CVE-2022-2879: stdlib vulnerability in 1 images"/>
        <s v="[HIGH] CVE-2022-28131: stdlib vulnerability in 1 images"/>
        <s v="[HIGH] CVE-2022-27664: stdlib vulnerability in 1 images"/>
        <s v="[HIGH] CVE-2022-2309: libxml2 vulnerability in 1 images"/>
        <s v="[HIGH] CVE-2022-1304: e2fsprogs vulnerability in 1 images"/>
        <s v="[HIGH] CVE-2022-0391: libpython3.9-minimal vulnerability in 1 images"/>
        <s v="[HIGH] CVE-2021-3737: libpython3.9-minimal vulnerability in 1 images"/>
        <s v="[HIGH] CVE-2021-36690: libsqlite3-0 vulnerability in 1 images"/>
        <s v="[HIGH] CVE-2021-33560: libgcrypt20 vulnerability in 1 images"/>
        <s v="[HIGH] CVE-2021-28861: libpython3.9-minimal vulnerability in 1 images"/>
        <s v="[HIGH] CVE-2020-16156: libperl5.32 vulnerability in 1 images"/>
        <s v="[HIGH] CVE-2020-10735: libpython3.9-minimal vulnerability in 1 images"/>
        <s v="[HIGH] CVE-2015-20107: libpython3.9-minimal vulnerability in 1 images"/>
        <s v="[HIGH] CVE-2011-10007: libfile-find-rule-perl vulnerability in 1 images"/>
        <s v="[CRITICAL] CVE-2025-6965: libsqlite3-0 vulnerability in 1 images"/>
        <s v="[CRITICAL] CVE-2025-54988: org.apache.tika:tika-parser-pdf-module vulnerability in 2 images"/>
        <s v="[CRITICAL] CVE-2025-49796: libxml2 vulnerability in 1 images (Cross-Category)"/>
        <s v="[CRITICAL] CVE-2025-49794: libxml2 vulnerability in 1 images (Cross-Category)"/>
        <s v="[CRITICAL] CVE-2025-32445: github.com/argoproj/argo-events vulnerability in 4 images"/>
        <s v="[CRITICAL] CVE-2025-32434: torch vulnerability in 3 images"/>
        <s v="[CRITICAL] CVE-2025-30215: github.com/nats-io/nats-server/v2 vulnerability in 1 images"/>
        <s v="[CRITICAL] CVE-2025-21613: github.com/go-git/go-git/v5 vulnerability in 3 images"/>
        <s v="[CRITICAL] CVE-2024-56171: libxml2 vulnerability in 1 images"/>
        <s v="[CRITICAL] CVE-2024-45492: libexpat1 vulnerability in 1 images"/>
        <s v="[CRITICAL] CVE-2024-45491: libexpat1 vulnerability in 1 images"/>
        <s v="[CRITICAL] CVE-2024-45337: golang.org/x/crypto vulnerability in 8 images"/>
        <s v="[CRITICAL] CVE-2024-41110: github.com/docker/docker vulnerability in 2 images"/>
        <s v="[CRITICAL] CVE-2024-37371: libkrb5support0 vulnerability in 1 images"/>
        <s v="[CRITICAL] CVE-2024-24790: stdlib vulnerability in 5 images"/>
        <s v="[CRITICAL] CVE-2023-45853: zlib1g vulnerability in 2 images"/>
        <s v="[CRITICAL] CVE-2023-24540: stdlib vulnerability in 1 images"/>
        <s v="[CRITICAL] CVE-2023-24538: stdlib vulnerability in 1 images"/>
        <s v="[CRITICAL] CVE-2022-48174: ssl_client vulnerability in 1 images"/>
        <s v="[CRITICAL] CVE-2021-29921: python3.9-minimal vulnerability in 1 images"/>
        <s v="[CRITICAL] CVE-2019-8457: libdb5.3 vulnerability in 1 images"/>
        <s v="Add Indexes for Selects Executed from Preprocessor"/>
        <s v="Unknown Content Transfer Encoding for Email"/>
        <s v="ArrayIndexOutOfBounds Processing Actors"/>
        <s v="Add LLM support to the intent agent"/>
        <s v="Deep Pilot - Testing Suite - Add the actualPassCount and actualFailCount to the endpoint "/>
        <s v="DTCC FEEL expression timing out"/>
        <s v="Application Vulnerabilities"/>
        <s v="Infrastructure Vulnerabilities"/>
        <s v="Prediction records in broken state"/>
        <s v="Make JPM dealfeed lambda more resilient"/>
        <s v="Prepare to process new data"/>
        <s v="Create a risk metric for advisor attrition model"/>
        <s v="Tune DeepGPT Prompts for Generic Use Cases"/>
        <s v="Trigger Automated Annotations on Content Map Upload"/>
        <s v="Add Automated Annotation Configuration to Content Maps API"/>
        <s v="Broadridge - Automation triggered on the emails with non-matching criteria"/>
        <s v="Intent Agent - Regex causes Intent Agent to freeze when processing a large attachment"/>
        <s v="Deep Pilot - Show extraction progress once the source has been updated"/>
        <s v="Deep Pilot - Re-enable .zip reprocessing"/>
        <s v="Large Check Ingestion - Colony"/>
        <s v="Content Maps - 2 tables in Excel are merged into a single table"/>
        <s v="Email Replies not loading message details"/>
        <s v="30-50 minute delay between email received and created in DeepSee"/>
        <s v="Deep Pilot - Content Maps updated through &quot;Configure Sources&quot; are set to Archived"/>
        <s v="DeepRecon Email Ingestion"/>
        <s v="Update Outlook in Batches Downstream From DeepRecon"/>
        <s v="If a term in a reconciliation is not in a subgroup it can mess up the subgroup matching for that source"/>
        <s v="Pull Message Updates From Monitored Folders Using Delta Query"/>
        <s v="Pull Created Emails Only From Inbox Using Delta Query"/>
        <s v="Track Monitored Folders for Customer Mailboxes"/>
        <s v="Apache HttpComponents Client Configuration for DeepPilot"/>
        <s v="Export for Vantage Commercial Lending Work Items"/>
        <s v="Update Annotations to Match Term Group Updates"/>
        <s v="Intent Agent - Excel tabs are not split when using Sync to DeepSee from Salesforce"/>
        <s v="Email couldn't be processed "/>
        <s v="Ability to schedule model training"/>
        <s v="Automatically Deploy latest modelchain when training is done"/>
        <s v="Success/Failure Handler"/>
        <s v="OpenJDK 21 Container Image"/>
        <s v="CI-CD for DeepRecon Platform"/>
        <s v="Update training workflow to not use same name for training dataset"/>
        <s v="Terraform for Term Annotation Workload Identity"/>
        <s v="Base Container Image for Quarkus Application"/>
        <s v="Update Workflow API"/>
        <s v="Get Workflow Details API"/>
        <s v="Create (Execute) Workflow API"/>
        <s v="Get Workflows API"/>
        <s v="Get Counterparty Statistics API"/>
        <s v="Get Label Statistics API"/>
        <s v="Get Message Statistics API"/>
        <s v="Delete Project API"/>
        <s v="Create Project API"/>
        <s v="Update Project API"/>
        <s v="Get Project Details API"/>
        <s v="Get Projects API"/>
        <s v="Delete ML Model API"/>
        <s v="Update ML Model API"/>
        <s v="Create ML Model API"/>
        <s v="Get ML Model Details API"/>
        <s v="Get ML Models API"/>
        <s v="Get Message Processing Status Details API"/>
        <s v="Get Message Processing Statuses API"/>
        <s v="Delete Data Source API"/>
        <s v="Create Data Source API"/>
        <s v="Update Data Source API"/>
        <s v="Get Data Source Details API"/>
        <s v="Get Data Sources API"/>
        <s v="Delete Dataset API"/>
        <s v="Update Dataset API"/>
        <s v="Create Dataset API"/>
        <s v="Get Dataset Details API"/>
        <s v="Get Datasets API"/>
        <s v="Update Counterparty API"/>
        <s v="Get Counterparty Details API"/>
        <s v="Get Counterparties API"/>
        <s v="Update Actor API"/>
        <s v="Get Actor Details API"/>
        <s v="Get Actors API"/>
        <s v="Delete Label API"/>
        <s v="Update Label API"/>
        <s v="Get Label Details API"/>
        <s v="Get Labels API"/>
        <s v="Create Label API"/>
        <s v="Delete Message API"/>
        <s v="Process Reconstruction Workflow"/>
        <s v="Workflows API"/>
        <s v="Statistics API"/>
        <s v="Projects API"/>
        <s v="ML Models API"/>
        <s v="Message Processing Status API"/>
        <s v="Inboxes/Data Sources API"/>
        <s v="Datasets API"/>
        <s v="Counterparties API"/>
        <s v="Actors API"/>
        <s v="Labels API"/>
        <s v="Return selected checkboxes to the user"/>
        <s v="The VIN extracted in the pipeline is not displayed on document upload/processing."/>
        <s v="Enable Customer Self-Service for SSO/SAML attribute mapping (front end work)"/>
        <s v="Workflow Template for Single Model Workflow"/>
        <s v="Update configuration for priority model"/>
        <s v="Get Message Details API"/>
        <s v="Get Messages API"/>
        <s v="Update Message API"/>
        <s v="Create Message API"/>
        <s v="Messages API"/>
        <s v="ML Label or Challenge Workflow Template"/>
        <s v="ML Label or Challenge Output Handler CLI"/>
        <s v="ML Label or Challenge Input CLI"/>
        <s v="Single Model Output Handler CLI"/>
        <s v="Single Model Input CLI"/>
        <s v="ML Label or Challenge Workflow"/>
        <s v="Single Model Workflow"/>
        <s v="DeepRecon Automations"/>
        <s v="Outlook Connector"/>
        <s v="DeepRecon Email Extraction"/>
        <s v="DeepRecon Workflows"/>
        <s v="DeepRecon API"/>
        <s v="DeepRecon Refactor"/>
        <s v="ML Workflow Jobs Not Logging to OTEL"/>
        <s v="Improved handling of password protected files"/>
        <s v="Return Bounding Boxes for LLM Extractions"/>
        <s v="DTCC Alert Integration"/>
        <s v="Testing Suite - Onboarding Mode - Accuracy numbers are incorrect on the executions page"/>
        <s v="JPM - Unable to access DeepSee: &quot;No healthy upstream.&quot;"/>
        <s v="Automations for Accenture"/>
        <s v="Automation Custom Columns"/>
        <s v="BetaNXT UI"/>
        <s v="Q4 2025"/>
        <s v="BetaNXT POC"/>
        <s v="Deep Pilot - Process and reuse large PDF Files"/>
        <s v="DTCC - Allow adding details from multiple attachments related to the same source"/>
        <s v="DTCC - Exception Cases to build"/>
        <s v="DTCC - Process multiple Access Codes within one SSI File"/>
        <s v="DeepRecon replace &quot;HERA&quot; for Accenture"/>
        <s v="Deep Pilot - Calculations using Lookups are not showing results consistently"/>
        <s v="Make &quot;Onboarding&quot; View of Testing Suite more intuitive"/>
        <s v="Implement Watchtower"/>
        <s v="Measure space savings and project future database growth"/>
        <s v="Implement chosen database optimization solutions"/>
        <s v="Create data retention policy recommendation"/>
        <s v="Implement database partitioning by project and timestamp"/>
        <s v="Research feasibility of moving JSON blobs to S3 with database pointers"/>
        <s v="Run table size analysis to identify biggest database offenders"/>
        <s v="Broadridge Scalability - Infrastructure Components"/>
        <s v="LLM Quality Check - UI Components"/>
        <s v="Regional Banks Onboarding - UI Components"/>
        <s v="Broadridge Scalability - UI Components"/>
        <s v="DeepRecon Usability - UI Components"/>
        <s v="Intent Agent Migration - UI Components"/>
        <s v="Auto Annotate SSI - UI Components"/>
        <s v="DTCC Scalability - UI Components"/>
        <s v="Implement checkbox extraction with Azure Document Intelligence"/>
        <s v="Remove unneeded Lambdas from the Terraform repo"/>
        <s v="PROCESS_RECONSTRUCTION failing"/>
        <s v="Multi-Tenant Reseller Platform"/>
        <s v="Content Map - negative page heights returned for particular content map"/>
        <s v="Total Emails by Category seems to be linked to Outstanding categories"/>
        <s v="Regional Banks Onboarding"/>
        <s v="DeepRecon Usability"/>
        <s v="Implement UI for paginated work item tasks"/>
        <s v="Onboarding/Tenant Creation"/>
        <s v="DTCC Scalability"/>
        <s v="Onboard Regional Banks"/>
        <s v="Finish DTCC Onboarding"/>
        <s v="Finish Broadridge Onboarding"/>
        <s v="Research and plan migration of Broadridge database to RDS"/>
        <s v="Verify and optimize Broadridge environment resource allocation"/>
        <s v="Display email processing metrics in supervisor dashboard"/>
        <s v="Implement automated testing pipeline to replace manual QA processes"/>
        <s v="Implement production-like testing environment and load simulation"/>
        <s v="Research and design email archiving strategy"/>
        <s v="Implement automated database rollback capability"/>
        <s v="Configure Outlook API monitoring and credential management"/>
        <s v="Implement status page and environment health dashboard"/>
        <s v="Set up monitoring and alerting infrastructure for Broadridge environment"/>
        <s v="Research and plan major scalability refactor"/>
        <s v="Implement inbox validation and permission verification"/>
        <s v="Optimize Outlook polling to focus on inbox folder only"/>
        <s v="Improve email detection and eliminate duplicate processing"/>
        <s v="Broadridge Scalability"/>
        <s v="Use goto command to support migrating up/down databases based on the app version being deployed"/>
        <s v="Deep Pilot - Content Maps - Handle Excel files with no headers and not standard tables"/>
        <s v="Deep Pilot - Light extraction - Incorrect header identified for specific Excel "/>
        <s v="Implement database space optimization strategy"/>
        <s v="Implement permanent category decommissioning capability"/>
        <s v="Create API endpoint to update term type for a given term"/>
        <s v="Extracting checkboxes"/>
        <s v="Create rollback process and add it as a common GH pipeline"/>
        <s v="Fix email status synchronization between Outlook and DeepSee"/>
        <s v="Update existing work items with new Salesforce case files "/>
        <s v="Update application database dependencies and connection handling"/>
        <s v="Resolve table name conflicts - Rename sources table in news analysis models"/>
        <s v="Create comprehensive testing for Redis removal"/>
        <s v="Unable to add new model to a modelchain version"/>
        <s v="Integrate News Analysis API with Existing Infrastructure"/>
        <s v="Comprehensive Test Coverage - Build test suite for all Watchtower functionality, including Accessibility"/>
        <s v="Performance Optimization - Implement virtualization and caching for large result sets"/>
        <s v="Performance &amp; UX quality for watchtower. Loading states, performance optimization"/>
        <s v="Notification Management - Implement notification preferences and delivery options"/>
        <s v="Source Cadence Visibility - Display source refresh cadences and status"/>
        <s v="User Alert Preferences - Build user alert configuration interface"/>
        <s v="Alerts and cadence for user alert preferences, source cadence visibility, and notification management"/>
        <s v="Sentiment and Relevance Visualization - Add sentiment and relevance score visualizations"/>
        <s v="Provenance and Trust Indicators - Display source provenance and validation badges"/>
        <s v="Result Details &amp; Provenance - Implement result details, provenance and trust indicators, sentiment and relevance visualization"/>
        <s v="Result Detail Drawer - Implement expandable detail drawer for individual results"/>
        <s v="Design ML pipeline"/>
        <s v="ML for BetaNXT"/>
        <s v="Fix Postgres defaults"/>
        <s v="Update work item sources to use the execution_doc_sources table"/>
        <s v="Content Maps - Cannot annotate specific values in .pdf"/>
        <s v="deeprecon__api tests that fail intermittently"/>
        <s v="Intent Agent - Security SSI document is assigned to Cash SSI source"/>
        <s v="Handle New Attachments Added to Existing Salesforce Cases"/>
        <s v="Agentic POC"/>
        <s v="AbstractEventQueueWorkerController causes build to fail"/>
        <s v="Add commentType field to comments returned from work item APIs"/>
        <s v="Add support for one-off API requests"/>
        <s v="Limit the size of uploaded files"/>
        <s v="Move regexes used by Intent Agent to the database"/>
        <s v="Deep Recon - Automations - Replace &quot;Set Column Value&quot; in Actions menu with the corresponding column options"/>
        <s v="Add On Flagged Automations"/>
        <s v="Counterparty Consistency &amp; Multiple Counterparties"/>
        <s v="Auto Annotate SSI"/>
        <s v="Moving Intent Agent from RegEx to the Model"/>
        <s v="Ensure APIs exist to support the UI retrieving information about available documents"/>
        <s v="Allow the same document record to be shared by different sources"/>
        <s v="Modify email attachment extraction to also extract zip files"/>
        <s v="Implement intent-agent logic in the extractor-service"/>
        <s v="Migrate Intent Agent to Extractor Service with the ability for User Control and Feedback on Work Item Creation"/>
        <s v="Use LLM to &quot;quality check&quot; normalized extractions"/>
        <s v="[BE][SSLException] when connecting to prediction api"/>
        <s v="Create onboarding wizard"/>
        <s v="Duplicated inquiry ids in current_label_view"/>
        <s v="Intent Agent - Multiple Work Items from multiple attachments"/>
        <s v="Intent Agent - Create separate work items for multiple accounts from a single attachment"/>
        <s v="Deep Pilot - JPM - doc file has 0 extractions"/>
        <s v="Intent Agent - Multiple SSI Output Work Items should be created based on attachments"/>
        <s v="Accenture UAT - Incorrect Category and Intent in DeepSee response for Spontaneous inbound email"/>
        <s v="Accenture UAT - Incorrect Subject information in DeepSee Response in history section"/>
        <s v="Intent Agent - Update Intent Agent to map additional source for General Output"/>
        <s v="DTCC - Unable to download source file"/>
        <s v="box-to-tokens error - entire document"/>
        <s v="Accenture UAT - attachment details is missing in DeepSee response"/>
        <s v="Accenture UAT - Missing attachment content in DeepSee response"/>
        <s v="JPM - Work item is created with extra .XML file instead of .DOC"/>
        <s v="JPM - 600+ work items are not processing"/>
        <s v="CLONE - 400 Bad Request:'503 Service Unavailable' error for the messages sent to TEQ in snow.email.structure service"/>
        <s v="Status Dashboard - fix 'other' hyperlinks"/>
        <s v="Deep Recon - Partial Submit for training categorization dataset"/>
        <s v="Intent Agent Improvements (not prioritized)"/>
        <s v="DTCC- Environment Setup"/>
        <s v="BE - Respond to Customer Feedback - Q3 2025"/>
        <s v="UI - Respond to Customer Feedback - Q3 2025"/>
        <s v="BE - Support Production Customers - Q3 2025"/>
        <s v="Support Production Customers - Q3 2025"/>
        <s v="Whitelist Sunwest IP Address"/>
        <s v="Whitelist Sunwest IP"/>
        <s v="Q3 2025"/>
        <s v="Salesforce Connectivity for DTCC"/>
        <s v="DTCC SSI Phase 2 live"/>
        <s v="DeepView Improvements (parked for now)"/>
        <s v="Project Scope Categories"/>
        <s v="BE - DeepRecon - Dashboard Accuracy"/>
        <s v="UI - DeepRecon - Dashboard Accuracy"/>
        <s v="DeepRecon - Dashboard Accuracy"/>
        <s v="Deep View - Some numbers in 'Emails requiring Action' and 'Pending emails'charts are off"/>
        <s v="Document end to end Salesforce Integration"/>
        <s v="Update the calculation of probability score"/>
        <s v="[BE]Dupplicated records in current_label_view"/>
        <s v="Unable to Find MessageJpa"/>
        <s v="DeepRecon: Remove Cognito OAuth Flow"/>
        <s v="DeepView Service: Remove Cognito OAuth Flow"/>
        <s v="Automations Service: Remove Cognito OAuth Flow"/>
        <s v="Extractor Service: Remove Cognito OAuth Flow"/>
        <s v="DeepView Still Being Passed Actors With NULL Identifier"/>
        <s v="DeepView - Fix the root cause of numbers not matching in DeepView and DeepRecon"/>
        <s v="Remove or restructure label aliases"/>
        <s v="Implement comprehensive monitoring, alerting, and operational readiness for production deployment"/>
        <s v="Implement comprehensive testing suite including unit, integration, e2e, security, and performance testing"/>
        <s v="Implement Istio service mesh for advanced traffic management, security, and observability"/>
        <s v="Implement enterprise-grade containerization with Docker, Kubernetes, and supporting infrastructure"/>
        <s v="Implement robust headless automation capabilities for CI/CD integration"/>
        <s v="Enhance Flask API architecture to enterprise standards with advanced features and scalability"/>
        <s v="Design and implement enterprise-grade database architecture with proper data modeling."/>
        <s v="Move Automations API into Extractor Service"/>
        <s v="[BE] do not trigger ml when there is not enough non root messages"/>
        <s v="Verify Allegro extractor integration"/>
        <s v="Provide method to map a Colony Bank loan id to an Allegro loan number"/>
        <s v="Deploy Allegro extractor to the cluster"/>
        <s v="Make allegro extraction utility callable via API"/>
        <s v="Update Inference Pipeline to not fail if no subgroups"/>
        <s v="Deep Recon - Timestamp difference for Due Date in DeepSee and Outlook"/>
        <s v="Time differences on email time stamps in DeepSee vs Outlook"/>
        <s v="Optimize storage strategy for pipeline-output bucket"/>
        <s v="Deep Pilot - XML annotation / extraction issues for 300078 - OTC"/>
        <s v="Broadridge - check the project-scoped endpoint for challenge groups"/>
        <s v="[BE][DeepRecon] Provide reason of dataset trainig error"/>
        <s v="Accenture - 500 error when  trying to send a particular Delivery Failure notification email to Deepsee"/>
        <s v="500 Error Updating Custom Columns in Pilot"/>
        <s v="Light extraction - 0 decimal is added to the numeric value extracted from Excel"/>
        <s v="Setup S3 retention policy for outputs bucket"/>
        <s v="Create individual automation action types for set custom column action type"/>
        <s v="Extracted archive documents sometimes fail to upload"/>
        <s v="Consolidate s3 document storage"/>
        <s v="Convert Outlook updates to use the message bus"/>
        <s v="Table extraction row numbers are off when we skip rows"/>
        <s v="Timeout When Updating Custom Columns in Pilot"/>
        <s v="PDF Conversion Log Noise for Recon Solution"/>
        <s v="Deep Pilot - Link Testing Content Map to corresponding test run"/>
        <s v="Better local environments"/>
        <s v="Add system metrics"/>
        <s v="Consolidate Sources of Truth"/>
        <s v="Convert inter-service api calls to use a message bus (kafka?)"/>
        <s v=" Investigate the project-scoping for labels endpoint"/>
        <s v="Enforce Code Style in Pipelines"/>
        <s v="Accenture - Deep Recon - Filtering Actionable Data by specific subjects breaks the page "/>
        <s v="Queue Email Processing Attempts Through Kafka"/>
        <s v="Add APIs to Retry Failed Automation Executions and Actions"/>
        <s v="Sharpen the Saw"/>
        <s v="Project scoped labels challenge groups endpoint runtime exception"/>
        <s v="Anonymizer for Unit Test Data"/>
        <s v="Improve Source Relevance and Section Filtering in DeepGPT"/>
        <s v="Improve Section-level Document referencing"/>
        <s v="Improve Section-Level Summarization Accuracy in chat with Policies"/>
        <s v="FB - Sunwest - Chat with Policies"/>
        <s v="Sources incorrectly removed from consideration for subgroup matching"/>
        <s v="New Lookups not populating FEEL context"/>
        <s v="Some 'Sent' emails STILL getting Action Required added"/>
        <s v="Chat with Policies - Display user's search history"/>
        <s v="BACK - Sunwest - Chat with Policies"/>
        <s v="BACK-904"/>
        <s v="Chat with Policies- Save and retrieve user's previous search queries and results"/>
        <s v="Deep Recon - Support PDF attachment preview on Message Details page"/>
        <s v="Deep Pilot - Testing mode improvements"/>
        <s v="Deep Pilot - Remove Upload Documents button from Test Content Maps page"/>
        <s v="Whitelist new Sunwest IP Range"/>
        <s v="CLONE - Link IDP in Colony Tenant"/>
        <s v="CLONE - Enable Heavy Extraction in Colony Tenant"/>
        <s v="CLONE - Create SFTP for Colony to send docs to"/>
        <s v="CLONE - Whitelist Colony IP Range"/>
        <s v="CLONE - New Colony Tenant"/>
        <s v="Add 302936 to JPM dealfeed"/>
        <s v="DeepRecon - Update Email Folder to select from the list on Actionable Data page"/>
        <s v="Deep Recon - Automations doesn't return the full list of folders from Outlook"/>
        <s v="Define and create new terms for loan origination"/>
        <s v="SPIKE: Implement secure handling for sensitive terms"/>
        <s v="Make Webform Extraction Service Deployable"/>
        <s v="Add new solution and update execution service to call webform extractor"/>
        <s v="Add support for JSON file uploads"/>
        <s v="Define API for interacting with the webform document extraction service"/>
        <s v="SIFMA"/>
        <s v="BE - Support Production Customers"/>
        <s v="UI - Respond to Customer Feedback"/>
        <s v="Support Production Customers"/>
        <s v="Increase matching coverage by relaxing constraints"/>
        <s v="Analyze reintroduced trades"/>
        <s v="Update DeepView when an automation gets skipped by another automation"/>
        <s v="BE - Archiving"/>
        <s v="BE - Respond to Broadridge Feedback"/>
        <s v="Update Classifier and DeepRecon API services to send labels for messages"/>
        <s v="Update webform agent documentation"/>
        <s v="Deep Recon - 'On behalf of' emails are not getting processed into DeepSee"/>
        <s v="DeepRecon - Read/Unread"/>
        <s v="Improve DeepRecon/DeepView processing and loading speeds"/>
        <s v="Deep Recon - Add Read column to filter list in Actionable data"/>
        <s v="Deep Recon - Show read status on Message Details Page"/>
        <s v="Deep Recon - Add Read / Unread Column to Actionable Data"/>
        <s v="Deep Recon - Make email Read / Unread status to be filterable"/>
        <s v="Deep Recon - Add Read / Unread status for the emails and sync it with the Outlook"/>
        <s v="Deep Recon - Add missing Category to process-glossary from automation"/>
        <s v="Deep Pilot - Do not let the user to mark completed on Content Map when no feedback is provided"/>
        <s v="Deep Pilot - Content Map - Annotation cannot be saved"/>
        <s v="Configure DeepGPT Calls to other Agents"/>
        <s v="Model Suggestion for next best action"/>
        <s v="More Broad Intent Agent in reading email across Agents"/>
        <s v="Knoweldge Base Visualization"/>
        <s v="Model Transportability For Testing in Client Cloud"/>
        <s v="Selector for HVY vs LIGHT Extraction"/>
        <s v="Improved Agent to Agent UI Visibility"/>
        <s v="Guided Onboarding Experience"/>
        <s v="DeepRecon Testing Suite"/>
        <s v="DeepGPT working in Automation/Validation Agents"/>
        <s v="Trigger Category Training"/>
        <s v="Trigger HVY Extraction Training"/>
        <s v="Faster Processing Speeds"/>
        <s v="Able to Process Documents up to 1000 pages"/>
        <s v="Archived work items (User Selectable)"/>
        <s v="Improved Agent Data Layer to allow I/O of all separate agents and eliminate single point of failures while facilitating the deployment of more feature focused agents."/>
        <s v="Term library organization/suggestion per agent"/>
        <s v="Snowflake connector"/>
        <s v="Automation Suggestion Agent"/>
        <s v="Assignment Agent"/>
        <s v="Password Retrieval / Storage / Usage Agent"/>
        <s v="Suggested Categories"/>
        <s v="Work to deploy in Azure Market place"/>
        <s v="Automatically created content Maps"/>
        <s v="Implement UI from Mojo"/>
        <s v="Salesforce connector"/>
        <s v="Deploy KA into Azure Marketplace and meet Pegasus Requirements"/>
        <s v="ServiceNow Connector"/>
        <s v="DeepGPT Answer Questions in Email"/>
        <s v="Watchtower Agent and UI"/>
        <s v="Webform Agent to Egress to Allegro(Ready for ACE/nCino etc)"/>
        <s v="Generate email answer from OPSGPT Answer"/>
        <s v="OpsGPT Connectivity for SIFMA demo"/>
        <s v="Webform Agent to Ingest from Allegro (Ready for ACE/nCino etc)"/>
        <s v="Manual Automation Execution"/>
        <s v="Accenture unable to consume delivery failure email"/>
        <s v="For Product OTC - 304288 While saving the annotation in XML system is throwing a error message “ There was a problem saving your feedback. “ "/>
        <s v="Create API to Tombstone Term Aliases"/>
        <s v="Set up roles in Azure for AKS IRSA equivalent"/>
        <s v="Enable etcd encrptyion for AKS clusters"/>
        <s v="Create autoscaling node groups for AKS"/>
        <s v="Enable Private Endpoints in Azure for AKS cluster"/>
        <s v="Wrong Name for Some DeepRecon Traces in DataDog"/>
        <s v="Allow Event Status to be Updated via API"/>
        <s v="DeepView Receives Counterparty from Messages"/>
        <s v="Configure Email Analyzer Client in DeepRecon API"/>
        <s v="DeepRecon -  update the Follow-up status to Flagged in Actionable Data when flagging message in Outlook"/>
        <s v="Tech Debt: Refactor message update calls between Pilot and Recon"/>
        <s v="[BE] automatically set workflow statuses to failed when argo onExit trigger failed"/>
        <s v="Output processing fails for large work items"/>
        <s v="Get DTCC SSI -Phase 1"/>
        <s v="BE - Automation Consistency and Resiliency"/>
        <s v="Make Broadridge Great Again"/>
        <s v="Create on_demand node group for each AZ"/>
        <s v="Stabilize ML_SINGLE_MODEL__MAIN workflow reliability"/>
        <s v="Remove k8s autoscaler workaround"/>
        <s v="Add Assignee to DeepView schema"/>
        <s v="Q2 2025"/>
        <s v="UI - Assignee Feature in Recon"/>
        <s v="BE - Assignee in Recon"/>
        <s v="Assignee feature in DeepRecon"/>
        <s v="BE - Implement Nick's counterparty model"/>
        <s v="Implement New Counterparty Model"/>
        <s v="Update Priority not updated in DeepView"/>
        <s v="Categorization Summary missing most emails"/>
        <s v="Move the prediction middleware into the inference service pipeline"/>
        <s v="Accenture 500 Error"/>
        <s v="Close the gap between DeepSee and Outlook"/>
        <s v="JPM - download CSV if there"/>
        <s v="Sunwest Feedback Item"/>
        <s v="Update Unit Tests"/>
        <s v="Update Pretoken-Generator Lambda to Include Project Roles in JWT"/>
        <s v="Initial DeepRecon RBAC Implementation"/>
        <s v="Allow left-joins in DeepView data model field queries"/>
        <s v="Paginate Alias Page"/>
        <s v="Handle Large Volume of Tasks"/>
        <s v="Implement MojoTech-designed Manager View"/>
        <s v="UI - Add Source to existing process model"/>
        <s v="BE - add source to existing process model"/>
        <s v="Easy Loan Agent Setup"/>
        <s v="Fix Supervisor Dashboard + Clickability"/>
        <s v="let me test draft + draft"/>
        <s v="Create Dataset CLI multi threaded method not capturing all started workflows/stepfunctions"/>
        <s v="Accenture history not extracting"/>
        <s v="Add Receiving Inbox to Actionable Data Headers"/>
        <s v="Onboard Vantage - Loans"/>
        <s v="Fix/Finish DeepView for DeepPilot"/>
        <s v="Pending emails bar too wide"/>
        <s v="Add Extra Retries to Event Queue"/>
        <s v="Change Key Expired For Outlook Updates"/>
        <s v="Onboard Colony Bank"/>
        <s v="Altaira POC"/>
        <s v="SunWest POC"/>
        <s v="Review outgoing emails"/>
        <s v="Quickly Configurable AI Agent Output"/>
        <s v="Ability to query, extract, and use a file or terms from a system that can be used by our automation engines to reconcile and validate against otherdocuments."/>
        <s v="Build original source screen skeleton"/>
        <s v="Errors importing emails to DeepRecon"/>
        <s v="DeepView: Add sent and received messages to Actors data object"/>
        <s v="Store Outputs in S3 using Multipart Uploads (synchronously for now)"/>
        <s v="Easier Automation Copying"/>
        <s v="Help Tab in the Tool"/>
        <s v="same email to multiple inboxes should make multiple message IDs in recon/pilot"/>
        <s v="Recon Mailbox Management"/>
        <s v="Update DTCC use case to use updateStageStatus endpoint"/>
        <s v="Update intent-agent to accept extracted documents"/>
        <s v="Have extractor-service send extracted documents to intent-agent"/>
        <s v="Categorization Training"/>
        <s v="Update extract-and-categorize endpoint to accept .msg files"/>
        <s v="Fix Alias Performance"/>
        <s v="Add MSG support to test case creation"/>
        <s v="Allow MSG files to be uploaded for test cases"/>
        <s v="[BE] [argo-workflows] Tasks are failing randomly in deeprecon workfowls"/>
        <s v="Unify documents ids between deeprecon and deeppilot"/>
        <s v="OTel extended for AWS Services"/>
        <s v="[BE] External documents list contains also attachments but it is displayed under emails section in manage dictionary"/>
        <s v="[BE][mlrig] tests for multi subgroup assignment fails randomly"/>
        <s v="Sunwest - Chat with Policies"/>
        <s v="Daily Summaries"/>
        <s v="DeepView - All Charts Clickable (Recon)"/>
        <s v="ML for EquityOne POC"/>
        <s v="Message sent to both mailboxes not automating"/>
        <s v="Equity One POC BE Support"/>
        <s v="Equity One POC"/>
        <s v="Supervisor Dashboard"/>
        <s v="Demo: Wrapper for Light Ontology Agent"/>
        <s v="[Spike] Handle labels rename and delete"/>
        <s v="API Endpoint to update Due Date on Messages"/>
        <s v="Automations for SLA"/>
        <s v="SSI Maintenance Agent V1 for DTCC"/>
        <s v="Split the reconMessageId out of doc_files.external_id"/>
        <s v="Equity One Demoable UI"/>
        <s v="DeepPilot Dropping DB Connections in Accenture Barclays"/>
        <s v="Use userIds to connect to Outlook rather than email addresses"/>
        <s v="Fix vulnerabilities in base image"/>
        <s v="Automate API doc production in the deeprecon__api repository"/>
        <s v="[Spike] Look into monitoring options for CNPG"/>
        <s v="[Spike] Look into CNPG volume snapshots instead of WAL archiving"/>
        <s v="Allow aggregate queries to include only one of each record in the results"/>
        <s v="DTCC POC - SSI Maintenance Agent"/>
        <s v="Sender Distribution"/>
        <s v="Categorization Summary"/>
        <s v="Q1 2025"/>
        <s v="BE Priority model"/>
        <s v="[Spike] Investigate self-hosted github runners"/>
        <s v="[BE] Processing eml attachments review"/>
        <s v="Remove Users API Call from DeepView"/>
        <s v="Actors Only Display in DeepView When Participating in Thread in Project"/>
        <s v="Recon Preprocessor Replaces DB Record When Processing Duplicates"/>
        <s v="Update AWS Java SDK to version 2"/>
        <s v="DeepView filters fail with special characters"/>
        <s v="Figure out how to handle long-running database migration scripts"/>
        <s v="BE Nested Subgroups"/>
        <s v="ML Nested Subgroups"/>
        <s v="Nested Subgroups"/>
        <s v="ML Priority Model"/>
        <s v="[DRAFT] Update Classification to use Single Runtime"/>
        <s v="Research best way to support nested subgroups"/>
        <s v="Model for Email Priority"/>
        <s v="DeepView Recon Integration"/>
        <s v="Actionable Data - OR filter"/>
        <s v="no label"/>
        <s v="Create Serving Runtimes for Inference and Association models"/>
        <s v="Migrate K8s clusters from Calico to Cilium"/>
        <s v="Install namespaced Kserve model mesh"/>
        <s v="DeepView - Counterparties and Email Addresses not project scoped?"/>
        <s v="Categories Across Time - Fix Query"/>
        <s v="Create endpoints to provide data for DeepView"/>
        <s v="Set up Kafka Queue for Automations"/>
        <s v="HITL feedback for Automations Back End work"/>
        <s v="RBAC for DeepRecon"/>
        <s v="HITL feedback for Automations"/>
        <s v="Prediction-middleware deploy job fails"/>
        <s v="Automation Insights in DeepView"/>
        <s v="Filter process models returned by the Automations API"/>
        <s v="Create DeepGPT Onboarding Script"/>
        <s v="Create Update APIs to support customer management of Project Scoped Authorization"/>
        <s v="Allow DeepView queries with multiple groups to be sorted by value"/>
        <s v="Create Retrieval APIs to support customer management of Project Scoped Authorization"/>
        <s v="Create Schema to support customer management of Project Scoped Authorization"/>
        <s v="Project Scoped Authorization for Self Hosted Customers"/>
        <s v="Deploy Broadridge Hotifx Version of Categorization to Prod"/>
        <s v="Dynamically Update Pretoken Generator Lamba"/>
        <s v="Update API calls for DeepView to include Project"/>
        <s v="Give Investors a Sandbox Environment (Separate from Demo)"/>
        <s v="Can't Find File for Heavy Extraction"/>
        <s v="Investigate Preprocessor Downtime"/>
        <s v="Value Too Long for Actors Table"/>
        <s v="24Q4-PenTest: Sensitive Data Stored in LocalStorage"/>
        <s v="24Q4-PenTest: TLS Misconfiguration - Weak Ciphers in Use"/>
        <s v="24Q4-PenTest: Wordpress &quot;wp-cron.php&quot; file enabled"/>
        <s v="24Q4-PenTest: Insufficient Session Expiration"/>
        <s v="24Q4-PenTest: Information Disclosure"/>
        <s v="24Q4-PenTest: CVE-2018-6389 - Wordpress &quot;load-scripts.php&quot; Resource Exhaustion"/>
        <s v="24Q4-PenTest: Wordpress xmlrpc.php File Enabled"/>
        <s v="24Q4-PenTest: Clickjacking"/>
        <s v="24Q4-PenTest: Missing HTTP Security Headers"/>
        <s v="24Q4-PenTest: CORS Misconfiguration"/>
        <s v="24Q4-PenTest: User Enumeration on Reset Password"/>
        <s v="24Q4-PenTest:  User enumeration on login page"/>
        <s v="Automate Data ingress per tenant"/>
        <s v="Design Model Management UI"/>
        <s v="Model Training Management BE Design"/>
        <s v="Model training and status UI"/>
        <s v="Expose model training status to customers"/>
        <s v="Cleanup Unused DR Infra"/>
        <s v="No result returned from signature model"/>
        <s v="Customer Trainable Heavy Extraction"/>
        <s v="Run prod workloads on spot instances"/>
        <s v="Automate the Training Pipeline"/>
        <s v="Customers can train their own Heavy Extraction models (including self-hosted)"/>
        <s v="Corporate Earnings Document Training"/>
        <s v="Create Troubleshooting Script"/>
        <s v="Create Troubleshooting Guide"/>
        <s v="Self Hosted Customer Support"/>
        <s v="Logging for Python Workers"/>
        <s v="DeepSee Troubleshooting"/>
        <s v="Categories Across Time Empty"/>
        <s v="Deploy new signature model"/>
        <s v="Store signature model version in database"/>
        <s v="CLONE - Press the big red button on signature removal model"/>
        <s v="Link source to project"/>
        <s v="Hook RFP to S3 for POC"/>
        <s v="HighBridge POC (No APIs)"/>
        <s v="Design Data Source Creation"/>
        <s v="OPA Policies for DeepRecon"/>
        <s v="Categorization Model Per Project"/>
        <s v="Project Resource APIs"/>
        <s v="Send Emails from DeepRecon (User writes the email)"/>
        <s v="Test migrating experiments in mlflow"/>
        <s v="Send emails from DeepRecon with GPT"/>
        <s v="Update inference to support nested subgroups"/>
        <s v="Update model training to support nested subgroups"/>
        <s v="DeepPilot Client is Built Locally"/>
        <s v="UI - DeepView Recon Root Cause Analysis Page"/>
        <s v="Paginated API for Accenture"/>
        <s v="DeepRecon Process Alert Page"/>
        <s v="Cleanup Signature Removal Migration"/>
        <s v="Evaluate signature removal model for production"/>
        <s v="Completed emails shouldn't show up in Status page"/>
        <s v="DeepGPT For Metrics Information"/>
        <s v="AFT Connector"/>
        <s v="Update key-matching UI to support matching nested subgroup terms with nested subgroup terms"/>
        <s v="Update key-matching UI to support matching nested subgroup terms with non subgroup terms"/>
        <s v="Add content map UI for nested subgroups"/>
        <s v="Placeholder initiative for End 2024"/>
        <s v="Enable Self hosted customers to train categorization model"/>
        <s v="UI - Nested Subgroups"/>
        <s v="Add Status field to Actionable Data"/>
        <s v="Execute Automations when Email is Completed"/>
        <s v="Error Rate SLO"/>
        <s v="[BE] Error while saving the extracted table"/>
        <s v="Set Up/Configure DTCC Tenant"/>
        <s v="Export Data from DeepView Graphs"/>
        <s v="Make DeepRecon Enterprise-Grade Product"/>
        <s v="Improved Complete Button"/>
        <s v="Vantage POC"/>
        <s v="DeepView- DeepRecon Root Cause Analysis Page"/>
        <s v="Demoable RFP Workflow"/>
        <s v="Modify helm charts to allow for scaling of 0 in DR cluster"/>
        <s v="Allow for fine-grained onboarding enable/disable"/>
        <s v="Create method for secret replication to DR cluster"/>
        <s v="[Spike] Research CNPG failback mechanisms"/>
        <s v="ML - Telemetry / Logging for ML Pipeline"/>
        <s v="Public Repositories"/>
        <s v="INFRA - Federated Model Management (de-siloing learning from tenants)"/>
        <s v="BE - DeepGPT Steel Thread"/>
        <s v="Don't create extraction response audit record when called by Pilot"/>
        <s v="UI - Access and Read all messages in the datasource"/>
        <s v="UI - 1.5 Changes to labels need to be made upon receipt of feedback (Process glossary implementation)"/>
        <s v="BE - Production and Demo Support Q4 2023"/>
        <s v="BE - 1.2 Smooth categorization training - clustering, classification, incorporating HITL feedback, retraining"/>
        <s v="BE - Monitoring and Observability"/>
        <s v="ML - Light extraction phase 2"/>
        <s v="INFRA - Accenture implementation SSO and UAT"/>
        <s v="BE - DeepRecon Task/RBAC"/>
        <s v="BE - Utilities forced UX Debt to move quick"/>
        <s v="BE - 5.2 Process Logic to set priority on email"/>
        <s v="BE - Infrastructure and Application Monitoring and Logging"/>
        <s v="BE - Inbox Status Page"/>
        <s v="BE - Create labeling service reviewing data and providing human validation"/>
        <s v="BE - Optimize Heavy Extraction"/>
        <s v="BE - Provide DeepSee Artifacts to Self Hosted Customers"/>
        <s v="BE - Build Non-existing Charts"/>
        <s v="BE - CI/CD"/>
        <s v="BE - Improved signature cleaning"/>
        <s v="BE - Reduce Errors in DeepRecon"/>
        <s v="UI - Content Map - General Backlog of Items (unprioritized)"/>
        <s v="UI - Technical Enablement and Technical Debt Bucket for Process Automation Back End Team"/>
        <s v="UI - Work items for display only"/>
        <s v="UI - Enhancement to arrays"/>
        <s v="UI - DeepRecon Task/RBAC"/>
        <s v="UI - Ensure all terms have the right data associated with it"/>
        <s v="UI - Production and Demo Support Q4 2023"/>
        <s v="UI - 1.2 Smooth categorization training - clustering, classification, incorporating HITL feedback, retraining"/>
        <s v="UI - Create labeling service reviewing data and providing human validation"/>
        <s v="UI - 1.1 DeepRecon uploads new emails successfully to train"/>
        <s v="UI - Support POC's For Sales Team"/>
        <s v="UI - Existing Customers - Onboarding and Expansion"/>
        <s v="UI - Existing Customers - Production Support"/>
        <s v="Multiple Subgroups"/>
        <s v="Multiple Projects in DeepRecon"/>
        <s v="Approval Workflow for DeepPilot HITL Feedback"/>
        <s v="Broadridge Able to Deploy to QA and PROD"/>
        <s v="Demo Automations and Status Page in Customer Self Hosted Environment"/>
        <s v="[BE] Key values table extractions false positives"/>
        <s v="[BE][PredictionApi] get extracted document method failing"/>
        <s v="PILOT Image Security Vulnerability Mitigation 20"/>
        <s v="SPIKE Feature Store"/>
        <s v="Select feature store tool"/>
        <s v="Attached PNG fails heavy extraction"/>
        <s v="Provision Accenture DR environment"/>
        <s v="API Schema Management"/>
        <s v="[API] Update the documentation site CI/CD pipeline to consume published APIs"/>
        <s v="[API] Determine if there is an automated way to detect repositories with API specs"/>
        <s v="[API] Centralize shared API testing code in one spot to avoid repetition"/>
        <s v="[API] Ensure API repositories adhere to the naming scheme"/>
        <s v="Request Exceptions for pip and setuputils vulnerabilities"/>
        <s v="Update how lookup tables are used in FEEL expressions"/>
        <s v="Handle Imbalanced Dataset"/>
        <s v="Accenture HA database connections die"/>
        <s v="Make zip file processing more robust"/>
        <s v="Check modelchain version before extracting documents"/>
        <s v="[BE] Convert Task Completion Report Script to Java"/>
        <s v="CLONE - VCS- font annotation issues"/>
        <s v="Investigate JPM Extractor service restarts"/>
        <s v="Test regional failover"/>
        <s v="Visualizing Ontology"/>
        <s v="Make the dealfeed lambda fail more gracefully"/>
        <s v="ConcurrentModificationException While Extracting Table"/>
        <s v="Update deeprecon-messages onboarding job image"/>
        <s v="CI Image Security Vulnerability Mitigation 4"/>
        <s v="CI Image Security Vulnerability Mitigation 3"/>
        <s v="Quarterly backup restoration testing"/>
        <s v="Update initial data script and add to extractor-service migrations"/>
        <s v="Enable customers to trigger the training of the categorization model"/>
        <s v="Create APIs to Expose Model Management Operations"/>
        <s v="Migrate Modelchain Deployment from GitHub Actions to Workflow"/>
        <s v="Create Workflow for Heavy Extraction Model Training"/>
        <s v="Enable Review of DataSet before Training"/>
        <s v="Create Workflow that executes Heavy Extraction DataSet creation"/>
        <s v="Code Security Vulnerability Mitigation"/>
        <s v="Public Terraform Repository"/>
        <s v="Public Helm Repository"/>
        <s v="Public Docker Repository"/>
        <s v="Enable Self Hosted Categorization Management"/>
        <s v="Enable Self Hosted Heavy Extraction Training and Promotion"/>
        <s v="Enforce 180s timeout"/>
        <s v="Automated Signature Model Training and Deployment"/>
        <s v="[BE] DB Transaction Root Cause"/>
        <s v="Better handling of very large documents"/>
        <s v="Update alerting on MLP so we know when deals fail"/>
        <s v="Create a Github workflow to build the mlflow-pyfunc container"/>
        <s v="Failed Tests Prevent Promotion to Production"/>
        <s v="Productionalize DeepGPT"/>
        <s v="DeepGPT CI/CD"/>
        <s v="Containerize DeepGPT"/>
        <s v="Set otel status_code to enable consistent error trace collection"/>
        <s v="Uploading emails is broken in Pilot UI"/>
        <s v="Setup pgvector for DeepGPT"/>
        <s v="[BE] preprocessor - index error"/>
        <s v="[BE] preprocessor -Failed to process message with DeepPilot"/>
        <s v="Pilot needs to support .pst files"/>
        <s v="Intermittent Testing Issues"/>
        <s v="Some of the Postgres temp roles are not being deleted"/>
        <s v="docs.deepsee.ai auth"/>
        <s v="Update blockly to JSON"/>
        <s v="Test building image for model deployment"/>
        <s v="Internal Documentation Portal"/>
        <s v="Make Alerting and Dashboards part of deployment"/>
        <s v="Create Meaningful alerts for DeepRecon and DeepPilot for Accenture and JPM"/>
        <s v="Create Accenture Dashboard in Datadog"/>
        <s v="SPIKE: Rollbacks"/>
        <s v="Rollbacks"/>
        <s v="SPIKE: UI in Local Integration Environment"/>
        <s v="Jankiest of Local Development Environments"/>
        <s v="Local Development"/>
        <s v="Create an Integration test that covers the DCS-650 Scenario"/>
        <s v="Update Sagemaker inference instances type"/>
        <s v="Update IAM Roles to be more restrictive"/>
        <s v="DeepRecon restarts during labelling process"/>
        <s v="Disable Label Deletion and Renaming in DeepRecon"/>
        <s v="Predicted label provided to ml workflows for dataset training"/>
        <s v="Compare Glider and Bros model for extracting "/>
        <s v="[DRAFT] E2E Testing for DeepRecon Email Extraction"/>
        <s v="[DRAFT] Manage Models Locally in Tilt w/ MLFlow"/>
        <s v="[DRAFT] Remove Application Specific JWT Auth From DeepRecon API"/>
        <s v="[DRAFT] Update Preprocessor S3 Auth to Function with Minio"/>
        <s v="Integrate With Lookup Tables for Email Text Filtering"/>
        <s v="Integrate With Lookup Tables for Is Reply Logic"/>
        <s v="Update Tilt to be able run with new Helm chart structure"/>
        <s v="Synthetic Data"/>
        <s v="Clean Up Current Infrastructure"/>
        <s v="Content Map Creatation"/>
        <s v="Validate Training for Broadridge Categorization Model"/>
        <s v="Refactor PyFunc Images"/>
        <s v="Deploy OPA per tenant"/>
        <s v="Delete 4 Duplicate Content Maps"/>
        <s v="Model Management in Self Hosted Environments"/>
        <s v="Repository Sharing"/>
        <s v="New project in demo"/>
        <s v="DeepPilot - Reduce BE Errors"/>
        <s v="Existing Customers - Production Support"/>
        <s v="Production and Onboarding Support"/>
        <s v="Update Inference Pipeline to use updated Data Validation"/>
        <s v="Refactor Data Validation Step in Heavy Extraction"/>
        <s v="Structured Data Extraction is Updated to Support Nested and Multiple Subgroups"/>
        <s v="Document ArgoCD application deployment steps in tenant clouds"/>
        <s v="Move Terraform modules to a different repo from Terragrunt"/>
        <s v="Prevent archives from being re-extracted"/>
        <s v="docx conversion dropping formulas"/>
        <s v="Modify StatefulSets to be in different AZs"/>
        <s v="Provision subnets and Update node groups in all clusters to span 3 AZs"/>
        <s v="Implement Signature Removal Model in Preprocessor"/>
        <s v="Limit rate at which documents are sent to heavy extraction"/>
        <s v="Have Execution Manager extract email attachments"/>
        <s v="Create Config Map to Track DB Migration Image Updates"/>
        <s v="Troubleshoot why python apps with otel annotations aren't sending traces"/>
        <s v="Move s3-assets origin for all tenants to point to k8s"/>
        <s v="Migrate infra-platform Terraform objects to be managed by Terragrunt"/>
        <s v="Provision EKS control plane in a different subnet than Node Groups"/>
        <s v="Move provisioning of ArgoCD to Terraform"/>
        <s v="Move provisioning of Vault to Terraform"/>
        <s v="Move provisioning of OTEL to Terraform"/>
        <s v="Move provisioning of cilium to Terraform"/>
        <s v="Move provisioning of cluster autoscaler to Terraform"/>
        <s v="Move provisioning of istio to Terraform"/>
        <s v="[Spike] Research using EKS blueprints in Terraform"/>
        <s v="Change EKS VPCs to /16 CIDR"/>
        <s v="Optimize Heavy Extraction"/>
        <s v="Add Functional Tests for DeepRecon (exc Heavy Extraction) to CD pipeline"/>
        <s v="extract and categorize returning 200 when heavy extraction times out."/>
        <s v="Dynamic/contingent checklists "/>
        <s v="Configurable Output for DeepPilot"/>
        <s v="Address Model Startup Time"/>
        <s v="Heavy Extraction Fails on Blank PDFs"/>
        <s v="Approval Workflow for extraction update in work items"/>
        <s v="Change Management for Annotation Updates in WI"/>
        <s v="Add statusChangeDate and statusChangeHour to WorkItems"/>
        <s v="stop forwarding aws-cluster-autoscaler logs to Datadog"/>
        <s v="Send term extractions to DeepView"/>
        <s v="[spike] Referencing one checklist item within another checklist item"/>
        <s v="Interpret Mathematical Formulas"/>
        <s v="New Term Extraction Model doesn't seem to have learned from updated feedback"/>
        <s v="HSTS not enforced on api.dev.deepsee.ai (reported by Nessus)"/>
        <s v="Remove WIT tables"/>
        <s v="Monitoring and Observability"/>
        <s v="Operations Management"/>
        <s v="Remove Document Ref from Prediction API and Schema."/>
        <s v="Remove 30 second timeout on Dev Ingress"/>
        <s v="Connect DeepPilot Process Alert BREAKS WITH COMMENTS WITH USER ID to DeepView Service"/>
        <s v="Connect DeepPilot Counterparty Summary HOURLY BREAKOUT ON ANY DAY BY PRODUCT WORK ITEM to DeepView Service"/>
        <s v="Connect DeepPilot Counterparty Summary Breaks Over Time to DeepView Service"/>
        <s v="Connect DeepPilot Counterparty Summary VOLUME OF WORK ITEMS BY COUNTERPARTY to DeepView Service"/>
        <s v="Connect DeepPilot Process Alerts COUNTERPARTIES GENERATING BREAKS  to  DeepView Service"/>
        <s v="Deploy Pod Autoscalers In Kubernetes For DeepView"/>
        <s v="Add Monitoring for Spot Instance Turnover"/>
        <s v="Review Historical Average of Resource Utilization"/>
        <s v="Reporting on Usage Density "/>
        <s v="Ensure proper labeling of Application Pods In Our Kubernetes Environment"/>
        <s v="Enforce Resource Limits on OPA Policies"/>
        <s v="Creating a Cloud Cost Model for Deeprecon"/>
        <s v="Automations for DeepRecon"/>
        <s v="Bulk Holiday Calendar Update"/>
        <s v="LLM Infra deployment"/>
        <s v="Make Claude 3 part of the DeepGPT deployment"/>
        <s v="Neo4J schema deployment"/>
        <s v="Store the index for reconciliation item details"/>
        <s v="Clean up Argo Workflows"/>
        <s v="Connect DeepPilot Process Analysis TOP TERMS WITH USER EXTRACTION FEEDBACK to  DeepView Service"/>
        <s v="System Hygiene"/>
        <s v="CI/CD"/>
        <s v="Automations"/>
        <s v="Technical Debt"/>
        <s v="Store the version of used lookup tables"/>
        <s v="Execution Manager Callback to Extract and Categorize API"/>
        <s v="Categorization is updated to call back to Execution Manager"/>
        <s v="Checklist Process Calls back to Execution Manager"/>
        <s v="Create Processing Controller in Execution Manager"/>
        <s v="Enable Execution of Checklist Process via API"/>
        <s v="Manage Processing from Execution Manager"/>
        <s v="Update DeepRecon to use Execution Manager for Extraction"/>
        <s v="Create Extraction Callback in Execution Manager"/>
        <s v="Manage Light Extraction via the Execution Manager"/>
        <s v="Manage Extraction from Execution Manager"/>
        <s v="Migrate APIs to Execution Manager"/>
        <s v="Create And Migrate Execution Manager Database"/>
        <s v="Create Execution Manager Service"/>
        <s v="Execution Manager Service"/>
        <s v="Execution Management"/>
        <s v="API updates phase 2"/>
        <s v="Light extraction phase 2"/>
        <s v="Heavy extraction took 20 minutes to process an email with a logo image"/>
        <s v="Unified Secrets Management With Vault"/>
        <s v="Unified Secrets Management"/>
        <s v="Move Pipeline Evaluation Step to New Solution"/>
        <s v="Classification API Response Time Increased"/>
        <s v="Automate manual steps of DeepView deployment"/>
        <s v="Update API for Differentiate Labeling Sources in the Interface"/>
        <s v="Design and Implement DeepGPT API"/>
        <s v="DeepGPT Service"/>
        <s v="DeepGPT Steel Thread"/>
        <s v="Backend Technical Cohesion"/>
        <s v="Technical Cohesion"/>
        <s v="Technical Enablement"/>
        <s v="Process Glossary UI"/>
        <s v="Allow deepview count requests to count only the latest record"/>
        <s v="Design workflow for retraining the logo classifier"/>
        <s v="Validate the model for logo classification"/>
        <s v="Train and deploy model for logo classification"/>
        <s v="Exclude logos from heavy extraction"/>
        <s v="PDFs with Forms Fail to Upload"/>
        <s v="Add tests for the DeepPilotBacklogProcessor "/>
        <s v="Differentiate Labeling Sources in the Interface"/>
        <s v="Everything into Kubernetes"/>
        <s v="Use ING data to identify expected load on DeepRecon"/>
        <s v="[BE] Re-Write Query Logic in DeepView"/>
        <s v="JPM Model Training - March 28-31"/>
        <s v="[BE] Fix minor DeepPilot API violations"/>
        <s v="Improved signature cleaning"/>
        <s v="Enable the RDS Proxy for the Extractor Service"/>
        <s v="Add Monitoring For JPM RDS "/>
        <s v="Data extraction needs to extract Trade ID from email body"/>
        <s v="Support Many to Many Relationship for Normalized Headers &amp; Headers"/>
        <s v="Reduce COGS by 20%"/>
        <s v="Double Tokens found when annotating"/>
        <s v="Filter on Actionable Data Page By Exposure"/>
        <s v="Filter on Actionable Data Page By Age"/>
        <s v="Deploy Registered Application Credentials into Vault"/>
        <s v="Deploy Registered Application Via GitHub Actions"/>
        <s v="BE Service Observability"/>
        <s v="Data Range Filter Needed"/>
        <s v="Create Microsoft Tenants for DeepRecon Outlook Integration"/>
        <s v="Create Status Page API"/>
        <s v="Add Encryption Key Rotation"/>
        <s v="JPM Model Training - March 7-11"/>
        <s v="Security Infrastructure Optimization"/>
        <s v="[BE] Update date normalization to parse times from dates"/>
        <s v="[Spike] Research Options For Serving Models In Kubernetes"/>
        <s v="Add support for RTF attachment to return extractions"/>
        <s v="The image in the body and image attached did not return extractions"/>
        <s v="Add Wait to the CICD pipeline for deployment approval"/>
        <s v="[BE] Update the documentUrl field in work item details to use original rendition"/>
        <s v="Report Duplicate Emails"/>
        <s v="[SPIKE] PDF Reader Exploration"/>
        <s v="Test Backup Recovery for Databases in Deeprecon"/>
        <s v="[Spike] Investigate Using ARM Instances"/>
        <s v="SPIKE: Figure out how to point the UI to an individual value in a cell with multiple values"/>
        <s v="Replace all the user names with DeepSee on Terms "/>
        <s v="Speed up Inference"/>
        <s v="SFTP Connector"/>
        <s v="Microsoft Outlook 365 connector"/>
        <s v="Streamlined new tenant creation"/>
        <s v="Improved data loss prevention controls"/>
        <s v="DeepViewer Advanced Filters"/>
        <s v="Enhanced sub-group"/>
        <s v="Auto-generated work reponses"/>
        <s v="Enhanced email search and filters"/>
        <s v="Phase 1 automations (Outlook updates)"/>
        <s v="Custom outlook flag support"/>
        <s v="Deepsee Ontology Visualization"/>
        <s v="Auto-generated Responses"/>
        <s v="Auto-generated question and answer"/>
        <s v="Customer knowledge base"/>
        <s v="Sentiment generation"/>
        <s v="DeepPilot Counterparty Summary"/>
        <s v="DeepPilot Process Summary"/>
        <s v="Auto-generated work item context"/>
        <s v="Double-click to view dashboard messages"/>
        <s v="Real-time Status"/>
        <s v="Finish Deployment of DeepView As HA"/>
        <s v="Clean Up Completed Argo Workflows"/>
        <s v="Reset and reprocess messages in Dev"/>
        <s v="Validate All Vault Secret Configs To Include a Valid Refresh Period"/>
        <s v="Connect DeepRecon Status Page Age Bucket to  DeepView Service"/>
        <s v="Connect DeepRecon Status Page Categories to  DeepView Service"/>
        <s v="Connect DeepRecon Status Page Counterparties to  DeepView Service"/>
        <s v="Connect DeepRecon Status Page email volumes to  DeepView Service"/>
        <s v="Enable Egress from Tenant VPC to Microsoft Graph API"/>
        <s v="Initial Webhook Design"/>
        <s v="Migrate Broadridge to DIG"/>
        <s v="Migrate Accenture to DIG"/>
        <s v="Migrate JPM to DIG"/>
        <s v="Migrate Customers to DIG"/>
        <s v="DeepSee DIG Connector"/>
        <s v="DIG Webhook Implementation"/>
        <s v="Registered App Terraform"/>
        <s v="Anypoint Studio Terraform"/>
        <s v="Build initial DIG implementation"/>
        <s v="DIG 1.0"/>
        <s v="Connect DeepRecon Root Cause page Process Variants to DeepView"/>
        <s v="Connect DeepRecon Root Cause page tree to DeepView"/>
        <s v="Connect DeepRecon Root Cause page Top 10 common categories by counterparty to DeepView"/>
        <s v="Add date constraints to DeepView"/>
        <s v="Index all data columns in DeepView"/>
        <s v="Truncate large responses from DeepView"/>
        <s v="UI for Generative Email Replies"/>
        <s v="[BE] Add $value to the DeepView orders parameter"/>
        <s v="[BE] correctly return extracted data"/>
        <s v="[BE] wrong order of model versions"/>
        <s v="Dashboard Updates"/>
        <s v="[Placeholder] Replace Sagemaker Endpoints With K8s Solution"/>
        <s v="[Placeholder] Replace Sagemaker Pipelines With K8s Solution"/>
        <s v="Unify ML Workflows and Model Serving Off of Sagemaker"/>
        <s v="Add Metadata to emails from DeepRecon"/>
        <s v="Deploy DeepView Production Using Knative"/>
        <s v="Deploy DeepPilot Production using Knative"/>
        <s v="Deploy Deeprecon Production using Knative"/>
        <s v="[Spike] Research Using Knative For Statefulsets"/>
        <s v="Update Dev DeepView Services To Leverage Knative"/>
        <s v="Update Dev DeepPilot services to leverage Knative"/>
        <s v="Update Dev Deeprecon Services To Leverage Knative"/>
        <s v="Deploy Knative Serving Across All Clusters"/>
        <s v="Identify if communications are internal or external"/>
        <s v="Provide info about priority and action in api"/>
        <s v="Update the Tenants Configuration To have More Dynamic Per API configuration"/>
        <s v="*Measuring Allocations - Be Data Driven*"/>
        <s v="*Stop using SageMaker*"/>
        <s v="*COGS ~30% cost savings*"/>
        <s v="*Composable Terraform and Helm scripts*"/>
        <s v="*Argo consolidation (unify orchestration)*"/>
        <s v="[SPIKE] Research How To Manage External Package Dependencies"/>
        <s v="[SPIKE] Research Operations of KubeCost and OpenCost"/>
        <s v="[Placeholder] Move the Pre-processing and Inference Pipelines Into Argo Workflows"/>
        <s v="Infrastructure and Application Monitoring and Logging"/>
        <s v="Token Management for Registered Applications"/>
        <s v="UI - Remove dependency on @atlaskit/tree "/>
        <s v="Counterparty EQ approach"/>
        <s v="2.4 Allow for access to emails back in DeepRecon if needed to reference​"/>
        <s v="Ensure All IP's are Whitelisted for Accenture in Production. "/>
        <s v="OCR Improvements"/>
        <s v="Clean Up Onboarding Scripts To Minimize Complexity"/>
        <s v="[SPIKE] Research How to Handle Pilot Access Through Data Integration Gateway."/>
        <s v="Call FEEL endpoint to evaluate Blockly blocks"/>
        <s v="Ensure we are on the latest Version of In All Clusters"/>
        <s v="Ensure the latest version of Istio is Deployed In All the latest clusters"/>
        <s v="Ensure Vault is Upgraded to the Latest Version in All Clusters"/>
        <s v="Get list of Categories from Shared Inbox"/>
        <s v="BE - Light Extraction Content Map"/>
        <s v="Add Light Extraction Terms and Labels to Dynamic Blockly Components"/>
        <s v="5.6 Automation Rules and Appropriate API Calls"/>
        <s v="5.1 Process Logic to set a field on Action / No Action "/>
        <s v="5.3 Call API “DIG” to update priority flag"/>
        <s v="6.4 DeepSee SME Cluster Review​"/>
        <s v="6.3 Cluster Pass​"/>
        <s v="6.1 Pre-Labeling “Systematic / Manual”​"/>
        <s v="6. Train faster on new Processes and Generate PoC Materials"/>
        <s v="2. Deploy Broadridge Production"/>
        <s v="General System Maintenance"/>
        <s v="Anonymize Email Work "/>
        <s v="Parking lot, retraining and back testing bug fixing "/>
        <s v="Verify that thumbs up/thumbs down can be retrieved by product team"/>
        <s v="Operation Blitz"/>
        <s v="1. Deploy Broadridge for POC and Accenture Go-Live (JAN 23)"/>
        <s v="Tech debt"/>
        <s v="Investigate Why MLFlow is Crashing"/>
        <s v="High frequency challenge on subjects - analysis"/>
        <s v="ML model for cleaning disclaimers"/>
        <s v="[DB] Remove duplicated messages from our envs"/>
        <s v="Explore ways to speed up Inference Pipeline"/>
        <s v="Anonymize Email Work"/>
        <s v="Add check for matching term_values in the preprocessing script"/>
        <s v="[FE] Training - annotation lines do not match up to extracted term "/>
        <s v="Syncing Order of ArgoCD App of Apps"/>
        <s v="Failed PNG Document Uploads"/>
        <s v="Enable Full Stack Local Development Of All Resources"/>
        <s v="Extract OCR based on Layout of the documents"/>
        <s v="[TECH DEBT] Delete azure-ocr lambda and related files from workflow"/>
        <s v="Improve clustering for high frequency and groups"/>
        <s v="Train auto-labelling model for DeepRecon"/>
        <s v="Backlog"/>
        <s v="Fix the RBAC permissions for the actions to align with the spreadsheet."/>
        <s v="UI - make process modeler match the rest of the app (dark mode)"/>
        <s v="Re-Architecture of DeepPilot Pipelines"/>
        <s v="Refactoring of DeepPilot Pipelines"/>
        <s v="DeepPilot Cost to Train Reduction"/>
        <s v="Model Endpoints Hosted in Argo Instances"/>
        <s v="Multi-Model Endpoint Instance"/>
        <s v="FILBERT &amp; NSI crossover"/>
        <s v="5.8 [ML] Adapt DeepRecon ML workflows to Projects"/>
        <s v="Adapt model retraining to manual trigger"/>
        <s v="Explore Content Map integration with Accenture"/>
        <s v="3.1 [ML - Heavy extraction ] The models are easily retrained to incorporate user feedback"/>
        <s v="Reduce MLP pipeline runtime per document"/>
        <s v="Add test to verify PILOT-419 (warning when user sets reference execution)"/>
        <s v="5. Critical Enhancements"/>
        <s v="Adding Categories and the Action to Outlook Emails"/>
        <s v="Moving Messages to Destination Folders in Outlook"/>
        <s v="DIG: Update Customer Email Attributes Endpoint for DeepRecon"/>
        <s v="Add tests to verify PILOT-404 (Re-evaluate the test execution when it is set to be the reference execution)"/>
        <s v="PlaceHolder: Ability to use the same email set in different sources"/>
        <s v="Broadridge - Configure DeepPilot Project - UI"/>
        <s v="SPIKE - Testim for BE API endpoints testing."/>
        <s v="Decommission DeepSee 1.0"/>
        <s v="Move all data from DeepSee 1.0 to cold storage"/>
        <s v="Remove ML from DeepSee 1.0"/>
        <s v="[BE] Add support for searching messages in data source by message-id "/>
        <s v="[BE] Add feedback reporting (script/email) "/>
        <s v="[BE+FE] Support attachments that are password protected"/>
        <s v="[ML][SPIKE] How to make light extractions rules dynamic"/>
        <s v="[BE] Incorporate heavy extraction feedback into model retraining"/>
        <s v="[BE] Incorporate thumbs up/down feedback into model retraining"/>
        <s v="[BE] API for new data upload "/>
        <s v="Broadridge POC Dashboards"/>
        <s v="DeepView Version 1.0"/>
        <s v="Preconfigured Static Dashboards for DeepRecon"/>
        <s v="Explore new Azure OCR for reading order/layout information"/>
        <s v="DeepView Service: Store consumer records in database"/>
        <s v="[SPIKE] Investigate/discuss how to implement RECON-1979"/>
        <s v="[BE] Add doc(x) attachments support - BE doc(x) to pdf "/>
        <s v="[BE] Support for compressed attachments"/>
        <s v="Refactor Regression Testing "/>
        <s v="Refactor Regression Testing Workflow"/>
        <s v="Create Crowdsrike Workflows"/>
        <s v="Create Crowdstrike SA to Own and Run Workflows "/>
        <s v="Create List that Maps Image to Engineering Teams"/>
        <s v="Add CODEOWNERS Config to Repos"/>
        <s v="[BE] Remove model and human labels from GET /message/labels endpoints"/>
        <s v="[BE] Remove: unused query parameters in GET /message/labels"/>
        <s v="Bug: Invalid output form /inquiries endpoint"/>
        <s v="1.6 Updates to DeepRecon API used by Accenture"/>
        <s v="1.1 DeepRecon uploads new emails successfully to train"/>
        <s v="1.3 The light extraction results need to appear accurate"/>
        <s v="1.4 Feedback is received through the UI on when it is accurate or not"/>
        <s v="1.5 Changes to labels need to be made upon receipt of feedback (Process glossary implementation)"/>
        <s v="1. Email categorization and light extraction core functionality"/>
        <s v="2. Heavy Extraction"/>
        <s v="3. Human in the loop and retraining"/>
        <s v="4. Data to DeepView"/>
        <s v="Bug: fix parsing key-values from cells when there is no whitespace after ':'"/>
        <s v="Bug: 409 when changing dataset name while data set is in training"/>
        <s v="Update Applications to Java Shared 2.0.2"/>
        <s v="Implement Textract's Layout OCR feature"/>
        <s v="Make the current pipeline configurable to run multiple OCR settings"/>
        <s v="Upgrade Azure OCR to latest version"/>
        <s v="Create Reporting and Dashboards For Infrastructure Costs"/>
        <s v="Adjust Output Patch to process all outputs regardless of status"/>
        <s v="Automated Storage Scaling For Persistent Workloads"/>
        <s v="All Kubernetes Costs are Reported and Allocated Correctly"/>
        <s v="Properly Tag All Cloud Provisioned Resources"/>
        <s v="3. Decrease Email Cost to ~$.002 (DB Automation &amp; K-Native)​"/>
        <s v="4. Measure tenant cost and count per email​"/>
        <s v="5. Deploy new DR tenants in under a day​"/>
        <s v="Migrate to using the normalized_name of terms from the UI friendly term name"/>
        <s v="DeepView Service: Dategrain"/>
        <s v="DeepView Service: Null filter"/>
        <s v="DeepView Service: Sum"/>
        <s v="DeepView Service: Average"/>
        <s v="Synthetic Data Generation"/>
        <s v="[FOR REFINEMENT] Training dataset with error status "/>
        <s v="Build Data Model Entities for DeepRecon"/>
        <s v="Data Loss Prevention"/>
        <s v="Documentation about on-boarding and Infrastructure"/>
        <s v="Deploy Knative Services"/>
        <s v="DeepRecon Secured"/>
        <s v="Full Stack Local Development For DeepRecon"/>
        <s v="Turn off the feeds into DeepSee 1.0"/>
        <s v="Migrate JPM Legacy Products"/>
        <s v="Legacy Decommission to save ~$10K/month"/>
        <s v="DeepView Delights with DeepRecon Data"/>
        <s v="DeepRecon Deploys Faster/Better/Cheaper"/>
        <s v="DeepGPT Delights for DeepRecon"/>
        <s v="DeepRecon Delights"/>
        <s v="Add Kafka connection/credential info to DeepPilot "/>
        <s v="Content Maps - ARN .docx file is parsed incorrectly"/>
        <s v="[BE] Label Challenge Updates Don't Save in Broadridge"/>
        <s v="Ensure all connections to Postgres are done over a secure encryption method"/>
        <s v="Infrastructure Density Improvement"/>
        <s v="Doc Version Comparison"/>
        <s v="DeepView - User Defined Reports"/>
        <s v="DeepView - User Customized Views"/>
        <s v="DeepRecon single environment for production and uat"/>
        <s v="Categorization feedback API from 3rd party workflow system/Service now"/>
        <s v="Q1 2024"/>
        <s v="DeepSee Product Roadmap"/>
        <s v="[FE] Add information Icon in multiple places"/>
        <s v="Legacy Decommission"/>
        <s v="DeepView Aggregated Data Visualizations"/>
        <s v="refactor WorkItem Outputs code"/>
        <s v="Password Protected Emails and Attachments"/>
        <s v="Update mlops-sync-hooks required packages "/>
        <s v="Ph1 DeepRecon Automation"/>
        <s v="[FE] Support new model state in UI "/>
        <s v="[BE] When dataset is created/processing, model tile status is not changed 👎"/>
        <s v="[KK] E2E test for the system"/>
        <s v="Improvements in Text Preprocessing"/>
        <s v="[TECH DEBT] Update all scripts to be able to use the new AWS login functionality"/>
        <s v="Master Root User On Databases"/>
        <s v="Add RBAC authorizations to integration tests (DCS-314 - Prod issue )"/>
        <s v="Investigate build-your-own dashboard widget structures"/>
        <s v="Update deepPilot output python script to include Flagged"/>
        <s v="[BE] API for Health Check status"/>
        <s v="Testing Suite - Add bulk action for expected result on a Subgroup level - Tabular view"/>
        <s v="expected_terms stored in the wrong format"/>
        <s v="Display Context on Actionable Data"/>
        <s v="Counterparty SLA Visualization and Calculator"/>
        <s v="Light Extraction UI and HITL Feedback"/>
        <s v="Return on Investment Calculator"/>
        <s v="Sentiment and Priority from Email"/>
        <s v="Document Crawler"/>
        <s v="Ingested Document and Email Translation"/>
        <s v="DIG Expansion - DeepSee Connector"/>
        <s v="DIG Expansion - Connectors MQ/Kafka &amp; DeepSee Generic"/>
        <s v="Open-source model for Paragraph to Dates"/>
        <s v="Integrate Crowdstrike Vulnerability Scanning with Jira Ticketing"/>
        <s v="Add test to check  &quot;New Blockly Block: &quot;as number&quot;&quot; https://deepsee.atlassian.net/browse/PILOT-15"/>
        <s v="Create SLI Dashboard for DeepView"/>
        <s v="Create SLI Dashboard for DeepRecon"/>
        <s v="Create SLI Dashboard for DeepPilot"/>
        <s v="SEC-301080 - Content Maps - Extra token is added to the annotation"/>
        <s v="Upgrade SpringBoot from 2.7.x to 3.x"/>
        <s v="[UI] Construct Mocked Process Analysis Dashboard"/>
        <s v="Build Tree Poly-line Chart for use in Dashboards"/>
        <s v="[BE] Allow SME to define which data points are required for each category"/>
        <s v="[BE] Add file type and file name to data source ui"/>
        <s v="Address Critical Vulnerability in deeprecon-atlas-dealfeed-lambda"/>
        <s v="Accenture Dev Environment"/>
        <s v="Streamline New Tenant Creation"/>
        <s v="Make sure we have appropriate controls in place to avoid customer data loss"/>
        <s v="Optional Tenant VPC Network Provisioning "/>
        <s v="Provision a Transit Gateway For Deepsee VPC"/>
        <s v="Enable options for Connecting to DeepSee over Private Networks"/>
        <s v="Need to support deploying Accenture as a Mutli-Region HA configuration"/>
        <s v="[BE][preprocessor] Fis errors found during broadridge data processing"/>
        <s v="Datadog Dashboard for MongoDB Metrics"/>
        <s v="Datadog Dashboard for Kafka Metrics"/>
        <s v="Datadog Dashboard for Postgresql Metrics"/>
        <s v="Datadog Dashboard for Redis Metrics"/>
        <s v="Datadog Dashboard for Clickhouse Metrics"/>
        <s v="Create Datamodel APIs to support Query creation"/>
        <s v="Initial Infrastructure for DeepView"/>
        <s v="Paragraph to Dates Model"/>
        <s v="Paragraphs to dates"/>
        <s v="[BE] Speed up checklist processing"/>
        <s v="Enable storing of externally normalized values"/>
        <s v="Make EKS API endpoints "/>
        <s v="Create a Change Management project and workflow"/>
        <s v="Create Dashboard Management API"/>
        <s v="[BE] Allow users to specify where a subgroup starts when providing a mapping expression for a subgroup term"/>
        <s v="Model Modularity Refactor"/>
        <s v="Team Onboarding Documentation"/>
        <s v="DeepRecon Overview Documentation"/>
        <s v="Model Deployment Documentation"/>
        <s v="Training a Model Documentation"/>
        <s v="Documentation for Critical Processes - FILBERT"/>
        <s v="Train and deploy the model end-to-end using textract OCR"/>
        <s v="[ML DeepRecon] Issues discovered in labelling"/>
        <s v="[BE] Rename DeepPilot repositories and artifacts"/>
        <s v="[BE] Promethia API part 1"/>
        <s v="Data visualisation based on Jupyter notebooks"/>
        <s v="PST file processing"/>
        <s v="Review labels after training process "/>
        <s v="Content Maps - Add Apply to All Subgroups option for bulk actions with the term"/>
        <s v="Re-architect Flower to use gRPC Re-Request Transport"/>
        <s v="[SPIKE] Hybrid Cloud Networking"/>
        <s v="[SPIKE] Can we use Open Tofu"/>
        <s v="Create tests for BE Nightly Build in Staging Environment"/>
        <s v="Add tests for Process Model -Testing Suite test cases"/>
        <s v="Add Pod GC for successful workflows in Promethia Workflows"/>
        <s v="Annotation Box Jumping Around"/>
        <s v="Design flow which will allow the user to resolve conflicts between datasets in datasource 👎"/>
        <s v="[Placeholder] BroadRidge POC Deployment"/>
        <s v="[SPIKE] Research Outbound Egress Control Options"/>
        <s v="[BE] Add RBAC Policy verification to integration tests"/>
        <s v="Fix the CD Pipeline in the CookieCutter project(s)"/>
        <s v="Production support to Accenture"/>
        <s v="Mandatory use of VDI to access production environment"/>
        <s v="[FE] Actionable Data - in EDIT area 2 components are not connected. "/>
        <s v="[UI] Circle of Life has missing text in FireFox"/>
        <s v="Testing Suite - 'Last updated by' column is not populated with data after the first update in a tabular view"/>
        <s v="GET workItem should start using new code to construct the WorkItem object"/>
        <s v="Make the helm repo private"/>
        <s v="Automatically create PRs for new base image builds"/>
        <s v="Additional performance improvement on work item status update"/>
        <s v="Finalize Modelchain Management"/>
        <s v="Memory issues with analyze_annotations script in Argo workflow"/>
        <s v="Don't create a new message when running message extraction again on the same path via Preprocessor API"/>
        <s v="Add test for Docs under Test Tab https://deepsee.atlassian.net/browse/PILOT-206"/>
        <s v="[BE] Add Integration test for &quot;Copy Checklist with new Content Map&quot; functionality."/>
        <s v="Add attribute for human-friendly name for system ID"/>
        <s v="[Tech Debt] Update code in mlrig and mlp repos to adapt to the new SSO login when running it locally"/>
        <s v="Store which docs/predictions were used for each model training (each modelchain version)"/>
        <s v="MuniBond GPT"/>
        <s v="[BE] Set up nightly build for long-running integration tests"/>
        <s v="[BE] Add Terms/Term Group integration tests"/>
        <s v="[BE] Add more checklist integration tests"/>
        <s v="[BE] Add content-map unstructured annotation integration tests"/>
        <s v="[BE] Add work-item unstructured annotation integration tests"/>
        <s v="[BE] Add work-item integration tests"/>
        <s v="[BE] Use SSL for connecting to the database"/>
        <s v="Leverage The RDS Proxy For Database Connections"/>
        <s v=" Create test for https://deepsee.atlassian.net/browse/PILOT-12 (WI-button for root cause)"/>
        <s v="[BE] Revive script / notebook used to upload training emails data for production"/>
        <s v="Add sealed config for promethia__workflows to changing pod resource requests in vault"/>
        <s v="ML - Use chunks instead of big dataframe for ml input and output"/>
        <s v="BE - Use chunks instead of big dataframe for ml input and output"/>
        <s v="Per Tenant Data System Dashboards"/>
        <s v="Configure Service Level Operational Dashboards Per Tenant"/>
        <s v="Deploy a Global Load Balancer to Direct Traffic Across Multiple Regions"/>
        <s v="[FE] Connect API to update name, parent and description"/>
        <s v="CrowdStrike: Critical -S3 bucket configured for public access"/>
        <s v="[BE] API to update name, parent and process description"/>
        <s v="[BE] Use DeepPilot's model creation date when computing Last Training Date"/>
        <s v="CrowdStrike: Critical - NLB/ALB configured as publicly accessible on non-web ports."/>
        <s v="CrowdStrike: Critical - RDS instance configured for public access"/>
        <s v="CrowdStrike: Critical - EC2 high privileged instance profile with IAM managed policy while IMDSv1 is enabled"/>
        <s v="CrowdStrike: Critical - ELB configured as publicly accessible on non-web ports."/>
        <s v="CrowdStrike: Critical - IAM Root account configured with Virtual MFA"/>
        <s v="CrowdStrike: Critical - EKS cluster with open VPC CIDR range for public access"/>
        <s v="CrowdStrike: Critical - EC2 instance allows global public internet SSH access (port 22)"/>
        <s v="CrowdStrike: Critical - EC2 instance publicly configured allows global public IP in ingress rule(s) on non-web ports"/>
        <s v="CrowdStrike: Critical - EC2 instance publicly configured allows global public IP in ingress rule(s)"/>
        <s v="[Spike] CrowdStrike: Critical - IAM policies that allow full (*:*) administrative privileges attached to role"/>
        <s v="IAM policies that allow full (*:*) administrative privileges attached to role"/>
        <s v="Increase size of JPM RDS database"/>
        <s v="[NEED UI] Provide ability to review and change training labels"/>
        <s v="Review exception"/>
        <s v="[SPIKE] Scaling Sagemaker Endpoints From Zero"/>
        <s v="Pop-Out Work Item Metadata Summary"/>
        <s v="[BE] Add modelchain name and version to Get Work-Item/work-item-id headers"/>
        <s v="[UI] Add model chain and version to the work item landing page table"/>
        <s v="[BE] Work Items Landing Page - Add which modelchain and which process model version were used into the table"/>
        <s v="Add trace/log correlation to Java/Python projects"/>
        <s v="Box-to-tokens needs to be able to split tokens even more"/>
        <s v="DeepPilot - Data Lineage Visualization"/>
        <s v="Queue test case executions instead of executing all at once"/>
        <s v="Process variation algo"/>
        <s v="Feed data required for visualisations"/>
        <s v="Multiple/Nested Subgroups"/>
        <s v="Parking lot creation and processing"/>
        <s v="Re-Execute Failed Deals"/>
        <s v="DeepRecon UI with mocked data for all DeepRecon dashboards"/>
        <s v="Engine to decide between light and heavy extraction"/>
        <s v="Light extraction edge cases"/>
        <s v="Adapt ML to support training using 200 messages"/>
        <s v="Create one model using all training datasets available and integrate that to the workflow"/>
        <s v="Resolve Conflicts between 2, 3 or 4 categories"/>
        <s v="Set `MessageProcessing.ingestion_version` to the current version of Preprocessor"/>
        <s v="Accenture API"/>
        <s v="Display data extraction results and enable feedback process on Actionable data page"/>
        <s v="High Availability and other infrastructure requirements for Accenture"/>
        <s v="Trigger DeepPilot template"/>
        <s v="Archive a message"/>
        <s v="Flag an email"/>
        <s v="Generate an alert"/>
        <s v="Q2 2023"/>
        <s v="Cancelled Epics"/>
        <s v="DeepRecon Production Support"/>
        <s v="DeepSee E2E testing and Production support"/>
        <s v="Manage Process Glossary - Create, Rename, Delete"/>
        <s v="Enabling user roles for Accenture"/>
        <s v="Retraining &amp; Backtesting the categorization model"/>
        <s v="More Asset Groups are extracted by the model than expected"/>
        <s v="Model does not pick up extraction from the document"/>
        <s v="[BE] Store modelchain configurations "/>
        <s v="[BE] Have the inference-execution endpoint verify the sha256 value of documents"/>
        <s v="[promethia__models]: Create trigger to insert ml models after source is created"/>
        <s v="Archive Test Cases"/>
        <s v="Resolve Clickhouse Storage issues in DEV/Demo"/>
        <s v="Pilot Enhancement and Refinements phase 2"/>
        <s v="Pilot Enhancement and Refinements phase 1"/>
        <s v="Being able to Communicate With MLFlow from All Environments"/>
        <s v="[SPIKE] BE Suggested Actions integration"/>
        <s v="Remove ml-service from Vault"/>
        <s v="Dates in array are not separated in data augmentation model for scrubbed document"/>
        <s v="Work-Item: XML values are not showing correctly and no pop box appears"/>
        <s v="Categorization of replies and subsequent messages"/>
        <s v="Foundational changes to Process Discovery Architecture"/>
        <s v="Continuous data source ingestion workflow"/>
        <s v="Training dataset creation, view inquiry and view message thread "/>
        <s v="Labelling challenges implementation"/>
        <s v="Single model training and testing"/>
        <s v="Near real time categorisation and parking lot creation"/>
        <s v="Table content extraction bug fixing and excel files parsing"/>
        <s v="APIs - Accenture to submit the message to DeepRecon "/>
        <s v="Integration between DeepRecon and DeepPilot ( Content Map )"/>
        <s v="[ML] Tech Debt"/>
        <s v="Optimization of Model/Pipeline"/>
        <s v="Multi-Model Comparison Evaluation &amp; Analysis "/>
        <s v="Model Drift Detection "/>
        <s v="[PLACEHOLDER] Confirm Multi-Model Works in Pipeline"/>
        <s v="Sentiment Analysis"/>
        <s v="Templates Onboarding"/>
        <s v="Template Drafting"/>
        <s v="Cost Allocation"/>
        <s v="System Health Dashboard"/>
        <s v="Process Modeler for Templates"/>
        <s v="Defensive Annotations"/>
        <s v="Change Management for DeepPilot Lists"/>
        <s v="Populated Knowledge Base"/>
        <s v="Ontology MVC"/>
        <s v="Data Model MVC"/>
        <s v="What's Happening View"/>
        <s v="[BE] How to show original label assignment in resolve conflict label challenges "/>
        <s v="[BE] Integrate ML Parking Lot Workflow into promethia workflows"/>
        <s v="[BE] Trigger Single Model Workflow when Parking Lot workflow is finished"/>
        <s v="Update pydantic to v2 in promethia ml workflows"/>
        <s v="Update pydantic to v2 in promethia workflows"/>
        <s v="Update pydantic to v2 in promethia api"/>
        <s v="DeepView for Pre-Defined Dashboards"/>
        <s v="Update export/import apis to support additional checklist resources"/>
        <s v="Production and Demo Support Q4 2023"/>
        <s v="[BE] OOM for specific message in CITI data"/>
        <s v="Model Training for JPM Updates"/>
        <s v="Archive/Deactivate/De-Dupe terms"/>
        <s v="Access and Read all messages in the datasource"/>
        <s v="Data Pipeline"/>
        <s v="Add Tiles to UI"/>
        <s v="Capture Origin"/>
        <s v="Ensure all terms have the right data associated with it"/>
        <s v="Make Activity Section Customizable"/>
        <s v="Dashboard API and Service"/>
        <s v="How do we expose this data to a client"/>
        <s v="Implement in services"/>
        <s v="Deploying messaging infrastructure"/>
        <s v="Service Layer over data source"/>
        <s v="Querying Approach"/>
        <s v="Messaging to Data Source"/>
        <s v="Improve model training time with and without data augmentation"/>
        <s v="Create Dashboards Page Inside DeepPilot"/>
        <s v="DeepLearning Model for Message Categorization"/>
        <s v="Suggested Action to Improve the Model Rating"/>
        <s v="Annotation feedback"/>
        <s v="DeepRecon - Enhanced Communication Rationalization"/>
        <s v="Write term_prediction_feedback records for structured predictions"/>
        <s v="Document Crawler - Historical and Synthetic Visualization"/>
        <s v="DeepRecon backlog"/>
        <s v="DeepRecon Q3/2023"/>
        <s v="DeepRecon Q4/2023 "/>
        <s v="Data lineage "/>
        <s v="Hook Up UI to DeepView Service"/>
        <s v="Define Query End Points and generate initial data"/>
        <s v="Work-Item: Editing the values in the content map shouldn't recalculate the work item anymore after it's completed."/>
        <s v="Data Provision APIs"/>
        <s v="Messages from other mailboxes ( previously called fallback messages )"/>
        <s v="Autolabelling"/>
        <s v="Feeding data to Onthology"/>
        <s v="Audience identification (Internal vs External)"/>
        <s v="HITL Data extraction Heavy+Light Extraction"/>
        <s v="Light extraction standalone component"/>
        <s v="[UI] Search, filter and see all messages processed in the data source"/>
        <s v="[ML]Create a separate task for classification within the workflow"/>
        <s v="Automate Secret Rotation for Vault"/>
        <s v="Training taking too long to complete"/>
        <s v="View Term  Group - The list should not scroll behind the buttons."/>
        <s v="[FE] Email AUDIENCE is N/A --&gt; N/A"/>
        <s v="[BE] Search, filter and see all messages processed in the data source"/>
        <s v="Remove inferencePipeline feature flag"/>
        <s v="Content Map - scrollbar sometimes freezes the page"/>
        <s v="Content Map - extra text is extracted with selected token (Unstructured)"/>
        <s v="Improve Blockly"/>
        <s v="Content Maps - documents upload failed for BKR (Unstructured)"/>
        <s v="Enforce main/master branch protection for poduction repositories"/>
        <s v="Update scripts to handle augmented data in inference step"/>
        <s v="Remove term_group versioning"/>
        <s v="Ontology (Minimum Viable Concept)"/>
        <s v="Ontology Dependency Mapping"/>
        <s v="Remove the table label_challenge_to_label_association, and remove it's references from models"/>
        <s v="[SPIKE] Description and documentation of deprioritized items from the fundamental changes in the Architecture"/>
        <s v="Run workflow simulations on real data"/>
        <s v="Rewrite queries to pull association data of term-associations and association-feedback"/>
        <s v="Update annotations limit"/>
        <s v="Update handling of conflicts between subgroup and term indexes"/>
        <s v="Appropriate management of subgroup_index and term_index fields in predictions"/>
        <s v="[BE] Convert Error message to text that can be understood by humans"/>
        <s v="Expose public API to the customer"/>
        <s v="Additional DeepPilot Process Model Features"/>
        <s v="Make a separate endpoint to return outputs"/>
        <s v="Add conditional application of deltas to Perseus"/>
        <s v="Testing Suite Phase 3"/>
        <s v="[promethia__api]: Add action to run linter in GitHub"/>
        <s v="Augment Characters in Random Words"/>
        <s v="Create Cert for Multi Cluster Mesh (Istio/Cilium)"/>
        <s v="Remove duplicate features DeepRecon and DeepPilot"/>
        <s v="DeepRecon Extraction algorithm - Light vs Heavy"/>
        <s v="Link work item details to manual checklist item parameters"/>
        <s v="SOC 2 Type 2 - On-going Program Maintenance"/>
        <s v="Update pydantic to v2 in promethia models"/>
        <s v="Increase timeout in FL server to handle long training times"/>
        <s v="Instrument Flower Servers with Open Telemetry"/>
        <s v="Update backup jobs to copy cross region and not cross account"/>
        <s v="Run tests against the extractor service as part of rdb-schema builds"/>
        <s v="Centralized Logging"/>
        <s v="Monitor Logs in Cognito"/>
        <s v="Mitigate Github 3rd Party Action Security Risks  "/>
        <s v="Enhancement to arrays"/>
        <s v="Remove the solution_configurations table"/>
        <s v="Setup Environment to host FIBO &amp; Initial GPT Prototypes"/>
        <s v="[API] Fix count for GET endpoints with filters"/>
        <s v="Review Permissions for Argo Workflows"/>
        <s v="What's Happening Page - Email Traffic in Data section"/>
        <s v="What's Happening Page - People in Data section"/>
        <s v="What's Happening Page - Teams in Data section"/>
        <s v="What's Happening Page - SLA Response Time in Data section"/>
        <s v="What's Happening Page - Exceptions (Processing) box in Activity section"/>
        <s v="What's Happening Page - Activity Email Traffic block"/>
        <s v="Update Federated Learning Model with a New Training"/>
        <s v="Run federated learning on all JPM content_maps once errors are resolved"/>
        <s v="Refactor Federated Learning for Master Term List"/>
        <s v="Process models- Changing the source name is not updating the calculation correctly."/>
        <s v="[DRAFT] Keep history of changes in labels"/>
        <s v="Document Generation Workflow - Support of in-progress documents"/>
        <s v="DocCrawler Content Group Pairing"/>
        <s v="Install and configure cert-manager with Vault CA and IstioCSR"/>
        <s v="Create root and Vault intermediate certificates and import them into Vault"/>
        <s v="Determine a FQDN/DNS/TLD scheme for our K8s clusters"/>
        <s v="Project Scoped Document Annotation Endpoint Should Not Be Deprecated"/>
        <s v="Allow adding multiple tags to base images"/>
        <s v="Cognito Gets Invoked Three Times on Login"/>
        <s v="How to structure Payload to Handle Proper Project Driven Scopes"/>
        <s v="Include Role/Permissions info to UI"/>
        <s v="[Spike] How should we handle service to service communication in the context of RBAC."/>
        <s v="Update the pre-token lambda generator to leverage the RBAC Services API"/>
        <s v="Implement the RBAC API Service "/>
        <s v="Scaffold the RBAC Service API Repository and CI/CD"/>
        <s v="Define the API Contract for the RBAC Service API"/>
        <s v="Checklist item Calculation Safeguards "/>
        <s v="Fix non-admin cluster access roles in terraform/elsewhere"/>
        <s v="Multi-Model Instance AWS Reconfiguration"/>
        <s v="Add Term to Group Breaks new content map docs if added between existing terms"/>
        <s v="Document Keeps Failing in ML Pipeline"/>
        <s v="[SPIKE] Human in the loop"/>
        <s v="API Wrapper for the table extraction"/>
        <s v="[SPIKE] Securely store decision logs from OPA"/>
        <s v="Integrate Dynamic Admission Webhooks for OPA"/>
        <s v="[Spike] How to effectively test Terraform"/>
        <s v="Use RBAC for Get Projects"/>
        <s v="Bug when running create_dataset API"/>
        <s v="Customer-data &lt;&gt; Infrastructure for SIEM"/>
        <s v="Create Prediction API to support Predictions from multiple sources"/>
        <s v="Integrate with Accenture Single Sign On In Barclay's Environment"/>
        <s v="RBAC - Processor role can edit checklist and save (but not publish)"/>
        <s v="Don't Show Projects that user doesn't have access to"/>
        <s v="Add a service status endpoint"/>
        <s v="Port the table extraction from Java Preprocessor to Argo Workflow"/>
        <s v="Issues Noticed with Current Model (jpm prod deployed 7/10)"/>
        <s v="Handle adding to dataset actors with aliases"/>
        <s v="Add Structured Mapping Expressions to Term Group export"/>
        <s v="Improve Download Report Format"/>
        <s v="Model retraining"/>
        <s v="Accenture implementation SSO and UAT"/>
        <s v="Handle duplicated MESSAGE-ID in preprocessor"/>
        <s v="AWS Secrets Revealed in Response"/>
        <s v="Username Enumeration "/>
        <s v="SSH Weak Key Exchange Algorithms Enabled"/>
        <s v="HSTS Missing From HTTPS Server (RFC 6797)"/>
        <s v="[Continuous data ingestion]Understand and fix the problem with cron job not being closed after the task is finished"/>
        <s v="Remove Deprecated APIs"/>
        <s v="Expose API for domain"/>
        <s v="Add Performance Bench Marking to the OPA Policy Workflows"/>
        <s v="Sign the OPA Policy Bundles"/>
        <s v="Generate Annotation Inconsistency summary for jpm"/>
        <s v="Option to skip the preprocessing step when running the training pipeline"/>
        <s v="Make sure federated learning works with Multi-GPU training"/>
        <s v="Give each actor a role (custodian, bank, asset management, pension fund, hedge fund , etc...)"/>
        <s v="Continuous process automation opportunities"/>
        <s v="DeepRecon Pre-Accenture go-live upgrades"/>
        <s v="Turn on Kyverno Image Policy Enforcement"/>
        <s v="Gap Analysis Unsigned Images"/>
        <s v="Deploy Kyverno In Audit Mode to K8s"/>
        <s v="Update builds to use shared docker image build action"/>
        <s v="What's Happening View from DeepGraph"/>
        <s v="Configure Various Infrastructure Components"/>
        <s v="[Mulesoft] Create a Mechanism To Share SFTP Credentials"/>
        <s v="Enable Public API Documentation"/>
        <s v="Add a Term to a Term Group will cause failed doc uploads to content maps. "/>
        <s v="Clickjacking"/>
        <s v="SSL Certificate Cannot Be Trusted"/>
        <s v="Upgrade Aurora DB Cluster"/>
        <s v="302963 - Incorrect extraction from Payment at Maturity paragraph"/>
        <s v="Add clustering stats to determine similarly grouped documents"/>
        <s v="ML workflow - review challenge updates"/>
        <s v="Supporting Multi-Region HA and Failover"/>
        <s v="Operationalize New Tenant Model Creation"/>
        <s v="Modify Work Items API to only accept and return a single comment in feedback"/>
        <s v="Many Deals Failing to Extract"/>
        <s v="tokens extracting out of order"/>
        <s v="[Continuous data ingestion] Register data required for lineage visualisation"/>
        <s v="deepseeai/mlp:pyproject.toml - Remote Code Execution (RCE) in reportlab"/>
        <s v="Prevent invalid document processing status transitions"/>
        <s v="Wireframe(s) for contact master"/>
        <s v="[UI] Integrate with defensive annotation API responses"/>
        <s v="Manage and merge proposals "/>
        <s v="[UI] List proposal and approval UI"/>
        <s v="[UI] Let Users Create Content Maps"/>
        <s v="License Management Service"/>
        <s v="Manually Manage Licenses"/>
        <s v="Create Checklists from Scratch"/>
        <s v="Clone and edit existing checklists"/>
        <s v="POC Generate PDF"/>
        <s v="Show PDF Differences"/>
        <s v="[UI] Support Generating PDF"/>
        <s v="[UI] Make certain stencils tenant-specific"/>
        <s v="[UI] Consume Company House Data"/>
        <s v="Identify and Normalize European Date Formats"/>
        <s v="Update Backup Module In Terraform to Store Backups In Multiple Regions"/>
        <s v="Wireframe(s) for the domain configuration page"/>
        <s v="[UI] Process Model Test Suite"/>
        <s v="Use confidence level in Process Model"/>
        <s v="Improve Work Item Processing &amp; Management Scale"/>
        <s v="Merge predictions and feedback so that they can all be used by DeepRecon AND DeepPilot"/>
        <s v="D3O - MVP"/>
        <s v="Templates Live - Insurance Application Review"/>
        <s v="Record De-duplication"/>
        <s v="Term and/or Clause Variance"/>
        <s v="Web Query"/>
        <s v="A4A user UI"/>
        <s v="AI Generated Response"/>
        <s v="Auto-Complete for Anything - Semantic Searching"/>
        <s v="Term Creation and Structure Controls"/>
        <s v="Symphony Integration"/>
        <s v="Generic Chat Integration"/>
        <s v="User Interface for DIG"/>
        <s v="Ontology Insight Workflow - Alerts and Comments"/>
        <s v="Predictions"/>
        <s v="User-Customizable Dashboards in DeepSee View"/>
        <s v="Templates Live - Sanctions Screening"/>
        <s v="Handling of incorrectly sent content"/>
        <s v="Apply LLM to DeepSee Knowledge Base to address broad A4A"/>
        <s v="Attachment Processing without prior separation"/>
        <s v="Cloud Agnostic - Multi-Quarter Project"/>
        <s v="FILBERT Expansion"/>
        <s v="Sampling and Decoding Techniques"/>
        <s v="Training and Fine-Tuning"/>
        <s v="Model Integration"/>
        <s v="Data Generation for Input Prompts"/>
        <s v="Generative Language Model (Transformer)"/>
        <s v="ISO/SOC 2 - ISMS Priorities"/>
        <s v="Query External Systems"/>
        <s v="Disaster Recovery"/>
        <s v="High Availability"/>
        <s v="Templates Live - Client Record Review"/>
        <s v="Federated Model"/>
        <s v="Customers can execute a DeepPilot Template from DeepRecon Systematically"/>
        <s v="Document flow and states"/>
        <s v="SOC II Type II - Kickoff and Progress"/>
        <s v="Data Integration Gateway v1"/>
        <s v="User Regression Testing"/>
        <s v="Equivalent Values"/>
        <s v="FILBERT Pipeline  Regression Testing"/>
        <s v="Create a Templated Email/Report - MVP"/>
        <s v="DeepRecon - Process Variation UI"/>
        <s v="DeepRecon - Real-time model categorization results"/>
        <s v="Insights from DeepGraph - Without Ontology production with what is developed"/>
        <s v="Insights from DeepGraph - Ontology"/>
        <s v="Home UI aka Circle of Life"/>
        <s v="Templates Live - OTC Confirmation, OTC Affirmation, Trade Allocation, SSI Validation, Payment Validation"/>
        <s v="Change workflow, proposals, and approvals"/>
        <s v="HITL from Workflow Improvements"/>
        <s v="Ensuring multiple users don't overwrite each other"/>
        <s v="Drafting Template Features"/>
        <s v="Building Safe Guard for the ML Models - Moving towards user triggered training"/>
        <s v="Training Data Augmentation to deliver model accuracy and support non-standard responses."/>
        <s v="Template Email and Document Output"/>
        <s v="DeepPilot Pre-Defined Reports"/>
        <s v="Autocomplete for Anything (A4A) Pre-Processing and Parsing Engine"/>
        <s v="ML Pipeline Re-Work"/>
        <s v="Display In-line exception context For DeepPilot"/>
        <s v="RBAC enhancements"/>
        <s v="ML Governance Documents"/>
        <s v="AI TRiSM Visualization"/>
        <s v="What's Happening View from DeepView"/>
        <s v="Pre-Defined Dashboards"/>
        <s v="DIG - Data Feed Ingestion Phase II"/>
        <s v="Semantic Search of KnowledgeGraph"/>
        <s v="Templates Live - Onboarding"/>
        <s v="DIY Template"/>
        <s v="Data Lineage Visualization"/>
        <s v="Maintaining a production and testing version of the process model and FIBERT models"/>
        <s v="Improve integration with Templates and DeepRecon"/>
        <s v="Templates - Enhancements and refinements discovered during migration"/>
        <s v="Update Rules for how Feedback is used for Training"/>
        <s v="Archive Work Items"/>
        <s v="Add safeguards to prevent dangerous calculation expressions"/>
        <s v="CLONE - Return matching and mismatching values on Array comparison"/>
        <s v="[SPIKE]  Figure out why Flower is not working with Istio"/>
        <s v="[TECH] Execute Integration tests against INT on PR"/>
        <s v="Consolidate Term Definitions across Tenants"/>
        <s v="[Foundational Architecture] Tilt scripts and instructions for Windows users"/>
        <s v="Return matching and mismatching values on Array comparison"/>
        <s v="Some Unstructured Content Map Documents Failed"/>
        <s v="Evaluation fails for association for missing subgroups."/>
        <s v="Enable Normalization Testing"/>
        <s v="ING - test documents did not extract some values annotated in similar training examples "/>
        <s v="[SPLIT] Create user managment in backend"/>
        <s v="[Foundational architecture] Create E2E tests with tilt for promethia__workflows"/>
        <s v="Lookups - The lookup with the same name cannot be created for different project"/>
        <s v="Training Data Seems out of sync with UI/Database"/>
        <s v="Cost Allocation Across Tenants"/>
        <s v="Trigger Pre-Processing and Training Pipelines From Automation"/>
        <s v="MLOPs and Build Processes"/>
        <s v="[SPIKE] Determine Solution for PAM Across our Infrastructure"/>
        <s v="Technical Enablement and Technical Debt Bucket for Process Automation Back End Team"/>
        <s v="Create workflow for actor challenges"/>
        <s v="Create ML workflow for autolabelling"/>
        <s v="Allocation Subgroup Split to Two"/>
        <s v="[UI] Stencil to grab day/month/year from a date term"/>
        <s v="[UI] Checklist Item Name unable to match Checklist Group Name"/>
        <s v="[Spike] Determine a test to understand when services are back up and running as expected"/>
        <s v="[Spike] FInd a Tool to QA Data Backups"/>
        <s v="[Spike] Estimate cost implications of automated backup recovery process"/>
        <s v="Replicate KMS keys into secondary region"/>
        <s v="Update to Allow Multiple Region Capabilities"/>
        <s v="MLRig Q2 Tech Debt"/>
        <s v="[BE] Ensure that creating equivalencies with only numerical values is restricted."/>
        <s v="Broken Pipe on &quot;long running&quot; API calls"/>
        <s v="Raise Error for Model Pushed with Wrong Type"/>
        <s v="Disable oas_api creation in tenant terraform"/>
        <s v="Failing term_extraction due to incorrect type for Negative Prediction Modifier variable"/>
        <s v="Test if we can classify deployments so Jira knows what metrics are what"/>
        <s v="[Tech Debt] Smooth debugging for prediction-middlware lambda"/>
        <s v="Write test cases for not making any predictions"/>
        <s v="Messages which generate broken fallbacks"/>
        <s v="Enforce Egress Policies for Tenants"/>
        <s v="[Tech Debt] Move rule based association pytests from mlp repo to mlrig repo"/>
        <s v="Override Pass/Fail if Term confidence is below a certain threshold"/>
        <s v="Store date terms as String in Context"/>
        <s v="Confirm Plan to Host Multiple Model Endpoints Per Tenant"/>
        <s v="[UI]Add a validation to check the maximum and minimum length of the checklist Label."/>
        <s v="[UI] ChecklistItems- User can't delete the last remaining checklist item."/>
        <s v="Automatically Create Preprocessing Training and Eval Endpoints "/>
        <s v="Develope a Process to Restore Persistant Volume Snapshots Across AWS Accounts"/>
        <s v="Building error stemming from mlops and bros_model refering to each other"/>
        <s v="Add client app for messages"/>
        <s v="Remove Data Validation from Inference Step Function "/>
        <s v="Clean Up Unused Config Files from DB and Repos"/>
        <s v="Automate Open VPN"/>
        <s v="Add a set of base images for docker"/>
        <s v="Integrate Security scanning for containers into deployment pipeline"/>
        <s v="[UI] Blockly Term Input - Provide a search option for terms"/>
        <s v="Remove custom error pages in cloudfront"/>
        <s v=" Metrics Captured for End-to-End MLOps - Entity Association "/>
        <s v="Moving Backups To Cold Storage"/>
        <s v="Consistent model names"/>
        <s v="Option to Manually Allow Process Config"/>
        <s v="IMPROVEMENT: More dynamic configuration of Tenant Config for mlops sync hooks"/>
        <s v="Refactor backup monitoring to allow multi-region"/>
        <s v="Remove mlflow asset backups from tenant terraform"/>
        <s v="Add ability to call prediction middleware lambda from mlp"/>
        <s v="deepseeai/mlrig-mlops-pipeline - Cross-site Scripting (XSS)"/>
        <s v="Build out Process Auitomation for ING Tenant "/>
        <s v="[SPIKE] Ensure services are refreshed when new configuration is deployed"/>
        <s v="[SPIKE] multi-cluster ISTIO deployment"/>
        <s v="Enable Client Usage Metrics on Vault"/>
        <s v="Update prediction middleware to handle extraction for entity association"/>
        <s v="Investigate and Implement WAF Managed Rule Groups"/>
        <s v="Unnecessary and Unused Policies Are Removed From AWS"/>
        <s v="Integrate Groups From Azure AD Into AWS "/>
        <s v="Define System Level Roles and Groups For Access Through Azure"/>
        <s v="Tenant Level Alerts For SLO Violations"/>
        <s v="Use API instead of accessing the database directly"/>
        <s v="Add appropriated licenses to our distribution bundle for open source licenses in use"/>
        <s v="Alerting Configured Across Kubernetes Infrastructure"/>
        <s v="Tenant Level Metrics  for All Tenants"/>
        <s v="Tenant Level Logs For Services Running In Our System"/>
        <s v="Operational Health Dashboards in Datadog"/>
        <s v="[SPIKE] Research and Define a Financial Model For Logging"/>
        <s v="Coordinate PR vs Merge Tests"/>
        <s v="Fix WorkFlow File bros_token_classifier-pipeline.build-on-push.yml"/>
        <s v="[Spike] Research cost implications of Active Standby"/>
        <s v="Update Model Metrics for Multiple Customers "/>
        <s v="Identify Noisy Neighbors"/>
        <s v="Integrate Federated Learning into Different Environments "/>
        <s v="Formalizing an automated approval process for granting credentials "/>
        <s v="Regional Failover Test (Research Task)"/>
        <s v="Allow Entity Association to Skip Over Gaps"/>
        <s v="Self healing mechanism for Fallback messages"/>
        <s v="Adjusting windows to include the option of sliding window"/>
        <s v="Adjusting windows based on term extraction bounding boxes"/>
        <s v="Pipeline Hardening - Q2 2023"/>
        <s v="Update preprocessing step to handle entity association model"/>
        <s v="enforce jira key in commit message - github"/>
        <s v="Preprocess annotations from DB to a format needed for Bros Entity Association model "/>
        <s v="Better error message if pipeline fails because document is blank"/>
        <s v="Easy debugging from prediction middleware"/>
        <s v="Nodes running low on resources"/>
        <s v="Failure to receive Acknowledgement of Receipt from Destination"/>
        <s v="Failure to Authenticate"/>
        <s v="Failure to Process and when reprocessing not creating a duplicate record"/>
        <s v="Failure to Process"/>
        <s v="Failure to Receive"/>
        <s v="Identifying succesful transmission"/>
        <s v="Error Handling for DIG"/>
        <s v="Exporting Data - Transmit the data as defined"/>
        <s v="Exporting Data - Verify Security "/>
        <s v="Exporting Data - Transform/Package"/>
        <s v="Exporting Data - Identify data "/>
        <s v="DIG: Exporting Data From Dig"/>
        <s v="Ingesting Data - Inspect Data"/>
        <s v="MLRig Q1 Tech Debt"/>
        <s v="Replace Sagemaker training instances with spot instances to reduce cost"/>
        <s v="Ending Quote and paranthesis are not being split in split_tokens"/>
        <s v="DeepRecon Product"/>
        <s v="Add demo as a deployment environment for the mlp and mlrig-ops-pipeline deployment workflows"/>
        <s v="Do not create negative predictions in reconciled predictions for subgroups"/>
        <s v="Address Developer Direct Access to Production Data     "/>
        <s v="Filetype errors in Preprocessing pipeline"/>
        <s v="Batch size cold start issue for inference"/>
        <s v="create-dataset going for ds-lab/prod environment"/>
        <s v="Integrate Testing Into the ML Pipeline's Pipeline Deployment"/>
        <s v="Get clean term definitions from API"/>
        <s v="Verify clean annotations"/>
        <s v="Include last page in processing"/>
        <s v="Pipeline Hardening - Q1 2023"/>
        <s v="Deleting Incomplete Multipart Uploads to Lower Amazon S3 Costs"/>
        <s v="Update Term Definitions to Download Correct Form "/>
        <s v="Save all input events for the pre-processing pipeline to S3"/>
        <s v="write a representations record for transcript files"/>
        <s v="Lessons Learnt from Incidents"/>
        <s v="Baseline Configurations Standard"/>
        <s v="New terms do not have prediction made correctly"/>
        <s v="Endpoint requests failing due to apparent issue in bros_model package"/>
        <s v="Donut - DocQA  (Inference)"/>
        <s v="Endpoint to create entity association dataset from database"/>
        <s v="[Placeholder] Remaining Lambdas"/>
        <s v="Add database provisioning to the tiltfile to provision schema and seed data for testing"/>
        <s v="Deploy the middleware through the environments and test"/>
        <s v="Add the prediction middleware to Tilt as a Part of the Pipeline Module"/>
        <s v="Update the lambda code to be served over a flask app"/>
        <s v="Run create-dataset API for only those files that have annotations"/>
        <s v="Support POC's For Sales Team"/>
        <s v="Hygiene: warnings in extractor service logs "/>
        <s v="Create a Test for a Basic Document to Run Successfully "/>
        <s v="Tokens not extracting correctly from paragraph extraction"/>
        <s v="NoSuchKey debugging"/>
        <s v="[Placeholder] Training Pipelines are Moved into Kubernetes"/>
        <s v="Machine Learning Components are Moved Into Kubernetes"/>
        <s v="Add Automated Backups to RDS in PROD"/>
        <s v="[Datascience Laboratory] We need to create read only access users for relevant data inside of production systems for the purposes of model training"/>
        <s v="Existing API Lambda Put Training Dataset is Updated to be served out of a Kubernetes Service"/>
        <s v="Existing API Lambda Put Document Feedback is Updated to be served out of a Kubernetes Service"/>
        <s v="Migrate the required functionality for PUT Document into PUT Document Status API"/>
        <s v="Existing API Lambda Post Insert Records is Updated to be served out of a Kubernetes Service"/>
        <s v="Existing API Lambda Get Terms By Group Name is Updated to be served out of a Kubernetes Service"/>
        <s v="Existing API Lambda Get Terms is Updated to be served out of a Kubernetes Service"/>
        <s v="Migrate Get Projects API to Extractor Service"/>
        <s v="Existing API Lambda Get Inference Pipeline Status is Updated to be served out of a Kubernetes Service"/>
        <s v="Existing API Lambda Get Document Analytics is Updated to be served out of a Kubernetes Service"/>
        <s v="Existing API Lambda Get Documents is Updated to be served out of a Kubernetes Service"/>
        <s v="Existing API's Currently In Lambdas Should Be Moved Into Kubernetes"/>
        <s v="Existing API Lambda Get Document is Updated to be served out of a Kubernetes Service"/>
        <s v="Update the Inference Pipeline To Leverage the New Endpoint Proxy"/>
        <s v="Move The Endpoint Proxy Out Of Lambda And Into Kubernetes"/>
        <s v="Update data_validation function to not implement MDLZ read_validation_csv() functionality "/>
        <s v="Update get-document endpoint to only pull in `is_latest=true` predictions"/>
        <s v="Optimize processing speed in term extraction queue"/>
        <s v="Add encryption parameter for all AWS S3 related functions  "/>
        <s v="Ensure entity association parent ID's also have child records"/>
        <s v="Error Handling on Zero OCR Output"/>
        <s v="parent term prediction ids being filtered"/>
        <s v="OTC-BKR (Unstructured)"/>
        <s v="SEC-302743 (Unstructured)"/>
        <s v="OTC-ARN (Unstructured)"/>
        <s v="Entity Association Inconsistencies Found"/>
        <s v="Enable CloudFront Distribution Logging "/>
        <s v="Start_Preprocessing Refactoring "/>
        <s v="Add filtering criteria to prediction-reconciliation"/>
        <s v="Cloud Agnostic Messaging Solution"/>
        <s v="Create a POC for tilt live updates"/>
        <s v="To achieve full cloud agnosticism we should replace sagemaker with an open source solutin"/>
        <s v="Research pod restart issues with argo workflows/events for tilt"/>
        <s v="Add flags to enable/disable resources being spun up by tilt"/>
        <s v="Fix issue with incorrect pod being targeted for Vault on tilt port-forward"/>
        <s v="Create shared function libraries for tilt"/>
        <s v="Remove resources controlled by operators on a tilt down"/>
        <s v="Deeprecon UI Is Fully Running In Our Clusters"/>
        <s v="Achieving cloud agnostic infrastructure will require we port over Step Functions out of AWS"/>
        <s v="Update put-document-feedback to accept null bounding boxes"/>
        <s v="[BE] Validate document sources when documents are provisioned for a checklist"/>
        <s v="Process Discovery"/>
        <s v="Write prediction-middleware unit tests"/>
        <s v="Template creation"/>
        <s v="Regression Testing Suite"/>
        <s v="Enhance process capability with advanced calculations, lookups, and build a record action"/>
        <s v="Finish core functionality for process model MVP that supports trade aff trade conf temps"/>
        <s v="Deploy new circle home UI to enable users to navigate DeepRecon templates and Decision Intelligence"/>
        <s v="Regression Testing"/>
        <s v="Invoke the pre-processing pipeline using the endpoint and make sure it's working fine"/>
        <s v="Resolve auth token issue when calling the endpoint programatically"/>
        <s v="Test preprocessing pipeline using the API endpoint"/>
        <s v="Continuity &amp; Resilience"/>
        <s v="Update Configuration for Get Terms Name Normalization "/>
        <s v="SLO / SLA monitoring and reporting"/>
        <s v="Standardize Build and Deploy Processes"/>
        <s v="Cloud Agnostic - Build Once Run Anywhere"/>
        <s v="Update prediction-middleware to save outputs in NDJSON format"/>
        <s v="rds module gives deprecation warnings"/>
        <s v="Access Authentication"/>
        <s v="SOC 2 Type 2: Audit Ready"/>
        <s v="MuPDF Images Sent to OCR"/>
        <s v="Delete Dev SageMaker Resources"/>
        <s v="Recreate Test Events Using Scrubbed Data"/>
        <s v="Get Scrubbed Data Stored in S3"/>
        <s v="Remove Customer Data from Dev"/>
        <s v="Deepsee Integration Gateway (DIG)"/>
        <s v="Work Items"/>
        <s v="[BE] Update POST /documents/{documentId}/annotations to handle structured doc mappings"/>
        <s v="Adjust pipeline to use new entity association functions"/>
        <s v="Create entity-association-post-process Lambda"/>
        <s v="Create entity-association-predict Lambda"/>
        <s v="Create SQS queue for entity association"/>
        <s v="Create entity-association-preprocess Lambda"/>
        <s v="[Pipeline Hardening] Set up queue process for entity association"/>
        <s v="[tech debt] modify the behavior of term_group_terms to always populate the term_group_id"/>
        <s v="Update Workflows to Add Tags to All Images"/>
        <s v="Functional/Unit Tests for MLOps Training Pipeline"/>
        <s v="Remove Model Name from Term Extraction Config"/>
        <s v="Write Automated Tests For Argo Workflows Ported Over From Step Functions"/>
        <s v="Fix MLops pipeline train step error"/>
        <s v="DeepRecon deployed into Citi's AWS Environment"/>
        <s v="[UI] Add connecting lines for annotations on work items review page"/>
        <s v="Populate DeepGraph with evaluation results"/>
        <s v="Implement capability to control data traversal while supporting customer requirements (support)"/>
        <s v="Lock down logging statements for customer data"/>
        <s v="JPM GRC validations and security audit ('closed')"/>
        <s v="Set up flower experiment for BROS model"/>
        <s v="Model Governance"/>
        <s v="Full Train Best Epochs Pass"/>
        <s v="Early Stopping Generic Scoring"/>
        <s v="Finance"/>
        <s v="Business Continuity"/>
        <s v="Infrastructure"/>
        <s v="Security"/>
        <s v="Operations"/>
        <s v="Data Governance"/>
        <s v="Add Docker  file to build the deeprecon-ui with nginx"/>
        <s v="Get pull config running for mlflow endpoint"/>
        <s v="Get pull config running for local Flask endpoint"/>
        <s v="[PLACEHOLDER] Finish Work"/>
        <s v="[PLACEHOLDER] Testing of end-to-end"/>
        <s v="Alert When Traffic I Incorrectly Blocked On The WAF For Our Tenants"/>
        <s v="Hyperparam flow"/>
        <s v="Common flag for split_tokens after merging ml-rig and mlrig repos"/>
        <s v="Design"/>
        <s v="Architecture"/>
        <s v="GRC"/>
        <s v="DataRig"/>
        <s v="Utilities"/>
        <s v="Apps"/>
        <s v="Templates"/>
        <s v="Legacy"/>
        <s v="Core"/>
        <s v="Infrastructure and Build"/>
        <s v="DeepSee Knowledge Graph"/>
        <s v="Content Map"/>
        <s v="Process Modeler"/>
        <s v="Strategy not in use"/>
        <s v="OTC Derivative Affirmation and Confirmation"/>
        <s v="JPM financial product onboarding and support"/>
        <s v="Users are able to normalize data extractions for consistency"/>
        <s v="Users can provide feedback on relationships between extracted values"/>
        <s v="User can configure basic arithmetic on extractions in a process model"/>
        <s v="A user can open and do basic configuration on a process model to support their workflow"/>
        <s v="[Defensive Annotations] Update preprocessing pipeline to output searchable text pdf for UI display"/>
        <s v="[Defensive Annotations] Convert PDF to Digitized Text Function Working"/>
        <s v="Save evaluations to DeepGraph"/>
        <s v="Integrate Document Endpoints with DeepGraph"/>
        <s v="Add DeepGraph integration into pipeline"/>
        <s v="Provide validation for structured annotations in a content map"/>
        <s v="Implement labeling and autolabelling when DeepSee processes emails in batch"/>
        <s v="Gather Info on AWS Elastic Disaster Recovery"/>
        <s v="[Defensive Annotations] Identify document anomalies"/>
        <s v="Log Difficult Entity Association Documents "/>
        <s v="Home UI - Q4"/>
        <s v="Pre-Atlas Maintenance and Minor Improvements"/>
        <s v="Utilities forced UX Debt to move quick"/>
        <s v="Items completed in previous quarters"/>
        <s v="Work Items from Process Model Output Q1 priorities"/>
        <s v="Content Map: Unstructured Data Q1"/>
        <s v="Enable Password Rotation On Our Vault Secrets"/>
        <s v="Password Rotation Should Exclude Backticks Because It interferes with Sourcing Environment Variables"/>
        <s v="Create Private API for storing Term Predictions with raw, normalized, and formatted values"/>
        <s v="Connect DeepSee 1.0 (atlas/advisor) roles to JPM SAML"/>
        <s v="Finish Up Messages Tenant Automation"/>
        <s v="Pull Out Package Dependencies on Relevant Lambdas"/>
        <s v="Update GitHub Workflows"/>
        <s v="Port The UI into our Kube Cluster"/>
        <s v="Move API Integration Directly Into The K8s Cluster"/>
        <s v="SPIKE: design, architect, and document solution to replace sqs"/>
        <s v="Switch SQS to Kafka messaging where appropriate"/>
        <s v="Port over the inference pipeline to argo workflows "/>
        <s v="Port over The Preprocessing step function to Argo workflows"/>
        <s v="Implement architecture to replace sagemaker"/>
        <s v="SPIKE: research and architect solution to replace sagemaker"/>
        <s v="report all repo test coverage using coveralls"/>
        <s v="unified coding standards enforced by linting across repositories "/>
        <s v="hooks to ensure basic checks occur before pushes to the remote repository"/>
        <s v="Single command to bootstrap new rand existing repositories"/>
        <s v="[SPIKE] Investigate Solutions for No Access to Data Outside of the Tenant Network"/>
        <s v="Tech Debt - Q4"/>
        <s v="Save for later quarters "/>
        <s v="Delete All Customer Data from Non Prod Sources"/>
        <s v="Set Up Environment on New EC2 Instance"/>
        <s v="Migrate to EC2 for SocII Data Compliance"/>
        <s v="Explore Best Federated Learning for our Environment"/>
        <s v="No Access to Data Outside of the Tenant Network"/>
        <s v="Phase 1 - What happened view default view, search bar, forward navigation and 5 visualisations"/>
        <s v="Limiting Current Executions"/>
        <s v="Set Up Endpoint to Trigger Pipeline"/>
        <s v="Update Default Training Settings"/>
        <s v="Add Ability to Cancel Training"/>
        <s v="Basic Status Report on Model Performance"/>
        <s v="Set Up Model Training on an Endpoint for Ad-Hoc Runs"/>
        <s v="Set Up Queries from Logs to Generate Graphs to Monitor in DataDog"/>
        <s v="Track Memory Usage per Lambda"/>
        <s v="Track Average Computer Time per Lambda"/>
        <s v="Track Average Compute Time per Document"/>
        <s v="Telemetry / Logging for ML Pipeline"/>
        <s v="[Pipeline Hardening] Speed up snap to boxes"/>
        <s v="Update Configs to Point to Correct Endpoint"/>
        <s v="[End-to-End] Implement Versioning of Training Dataset and Records"/>
        <s v="[Negative Labeling] Store Model Predictions Not In Content Map"/>
        <s v="[Negative Labeling] Immunize the Model Against Negative Labeling"/>
        <s v="Monitoring and Incident Response"/>
        <s v="Unified Platform Identity"/>
        <s v="Disaster Recovery (Operation Catastrophe)"/>
        <s v="SOC 2 type 1 manual preparedness ('auditor complete')"/>
        <s v="Build and Deploy Pipeline"/>
        <s v="Add Auth to Istio to Secure Elastic IPs used by K8s "/>
        <s v="The DevOps Team Should Be Able To Access Instances in the Kubernetes our clusters"/>
        <s v="Set up workflow in mlp"/>
        <s v="Impact Assessment"/>
        <s v="STP Function in Prediction Reconciliation Working with New Framework "/>
        <s v="[Tech Debt] Centralize Packages Currently Used Into One"/>
        <s v="[Tech Debt] All Lambdas Owned by ML in MLRig Repo"/>
        <s v="[End-to-End] Remove Randomness in Training Setup"/>
        <s v="Remove Hegertest Namespace From Our Non-Prod Kubernetes Cluster"/>
        <s v="Fix UUI JSON serialization error in start-preprocessing"/>
        <s v="Fix issue in start-preprocessing with parsing solution_id"/>
        <s v="Perseus did not reported error that was reported by the db engine"/>
        <s v="Configure Messages S3 Bucket Permissions"/>
        <s v="Automated Tests for the Terms API"/>
        <s v="Automated Tests for the Documents API"/>
        <s v="All API's for Deeprecon should be available based on routes rather than domains"/>
        <s v="Automate provisioning of all necessary buckets for messages"/>
        <s v="Adjust inference pipeline to handle large uploads of documents"/>
        <s v="Federated Model Management (de-siloing learning from tenants)"/>
        <s v="Flatten input sections into single matrix, make batch size configurable"/>
        <s v="End user ML model extraction testing framework"/>
        <s v="Create an Instance of ArgoWorkflows For Internal Operational Workflows"/>
        <s v="Convert mlp-preprocessing-pipeline into an Argo Workflow"/>
        <s v="Convert mlp-inference state machine to an argo workflow"/>
        <s v="Convert MLP-Main-Function-Into  Argo Workflows"/>
        <s v="[UI] Further simplify the structured data config panel for non-technical users"/>
        <s v="[BE] Update api endpoints to require a request body"/>
        <s v="POC Preparation and Execution Q4 2022"/>
        <s v="Content Map: Foundation &amp; Structured Data Q4"/>
        <s v="Ability to extract unstructured data from text and table heavy documents (affirmation and confirmation)"/>
        <s v="Data Snapshot for Messages Demo Tenant"/>
        <s v="Improve error handling in term-extraction, prediction-middleware functions"/>
        <s v="Clean up DeepRecon STG Tenant"/>
        <s v="[SPIKE] Investigate and Design Architecture to Allow Direct Connections To MLFlow From GithHub Workflows"/>
        <s v="Create a Dashboard In Grafana To Enable Visualization of Cloud Cost Data"/>
        <s v="Deploy Grafana Into Our Kube Cluster"/>
        <s v="Deploy Prometheus Into Our Prod and Non Prod Clusters"/>
        <s v="Work item: export details for completed work for customer audit purposes"/>
        <s v="ML Ops Fast Follow (unprioritized)"/>
        <s v="Experiment on various methods"/>
        <s v="Establish a baseline current memory "/>
        <s v="Create a Test Set of Documents "/>
        <s v="Perseus functional test suite"/>
        <s v="Enable Synchronous Deployments Through MLFlow"/>
        <s v="[SPIKE] Investigate Better Options for Kubernetes Node Group Management"/>
        <s v="Deploy Kubernets Cluster Auto Scaler in all AWS Accounts"/>
        <s v="[UI] [Tech] Add automated tests for autoscrolling to annotations when terms are selected"/>
        <s v="Add answer endpoint to API Gateway in terraform"/>
        <s v="Create answer endpoint"/>
        <s v="[UI] [Tech] Automated tests can sometimes fail"/>
        <s v="Deploy model with SPADE tagging in Sagemaker as an endpoint"/>
        <s v="[Pipeline Hardening] Optimize memory usage on train step in bros token classifier training pipeline"/>
        <s v="Update Training Script to Create Super_Terms"/>
        <s v="Update API to enable mapping entity associations"/>
        <s v="DeepRecon Apps Load Balancer Not Provisioned In Terraform"/>
        <s v="Re-train JPM data with SPADE tagging and sliding window"/>
        <s v="Remove Unused Tenants"/>
        <s v="Fine Tuning JPM Data"/>
        <s v="JSON validation for database schema manifests"/>
        <s v="Validation for state objects"/>
        <s v="Delta -&gt; State validation"/>
        <s v="Ability for Perseus to provide &quot;dry run&quot; information"/>
        <s v="[TECH] API Error Responses to match RFC 7807"/>
        <s v="Implement Search - Datalab/Messages"/>
        <s v="Notify Repo Owners when Dependabot Alert is Found"/>
        <s v="Map out BE API needs for entity association"/>
        <s v="UX design - User Access"/>
        <s v="UI design - User Access"/>
        <s v="Default Visualizations"/>
        <s v="Add “Data Preview” to the Search Results"/>
        <s v="Parse &amp; Load Actual Email Data"/>
        <s v="Run Experiments Until Model is AWESOME"/>
        <s v="Fix predictions not showing up in the UI"/>
        <s v="[TECH] Improve Lambda Deployment"/>
        <s v="Fix negative predictions showing up in UI"/>
        <s v="Developer Productivity"/>
        <s v="InfraRig Tech Debt Q3"/>
        <s v="All K8s Level Components Should be deployed using ArgoCD"/>
        <s v="DS-Telemetry Helm Template Doesn't Allow Overriding Values for Datadog"/>
        <s v="Adapt inference and postprocess function based on the new preprocessing function"/>
        <s v="[UI] Atlas text annotation tool available in content map and work items"/>
        <s v="JPM Users Should automatically be added to groups based on custom attributes from the JPM IDP"/>
        <s v="Messages can be Developed Locally"/>
        <s v="Get train model running locally"/>
        <s v="Datalab file consumption"/>
        <s v="Update BROS training step to match JPM training script"/>
        <s v="Add data augmentation for JPM data"/>
        <s v="Implement spade tagging for BROs model"/>
        <s v="Implement multi-page sliding window with overlap"/>
        <s v="Review Access Permissions for Secrets In AWS Dev"/>
        <s v="DataLab MVP for DeepRecon"/>
        <s v="Provide business intelligence by allowing users to review actions taken and data processed in DeepSee"/>
        <s v="[UI] Error Screen for Tenant Config Failure"/>
        <s v="Knowledge Graph Markets"/>
        <s v="Modify training to handle sliding window"/>
        <s v="Train reconciliation model with updated data - with term names and without term names"/>
        <s v="Set up pipelines with Github Actions"/>
        <s v="Model Driven Multi-Value Reconciliation Prediction"/>
        <s v="Error analysis on model predictions "/>
        <s v="Hyper-parameter tuning to find the model that gives the best evaluation metrics"/>
        <s v="End-to-End Training (HITL)"/>
        <s v="Allow Product to set a schedule for model retraining from every 4 hours, End of Day @ ____, Every Week @ ____, Never"/>
        <s v="Lymba Evaluation"/>
        <s v="Tech Debt - Q3"/>
        <s v="Integrate Datadog Monitoring with Istio"/>
        <s v="[UI] Add documentation on how to create Icon components"/>
        <s v="Automate Provisoning of Database Schema In all DBs for Messages"/>
        <s v="Leverage Vault For Secret Injection in Kubernetes Cluster"/>
        <s v="Add monitoring integration to click-house for query profiling and system performance"/>
        <s v="Add disk encryption to Clickhouse Data Storage "/>
        <s v="Design Database refactor"/>
        <s v="[End-to-End] Create meta data about input to model"/>
        <s v="Prohibit employees / contractors from accessing public public instant messaging."/>
        <s v="Prohibit employees / contractors from accessing public external e-mail servers."/>
        <s v="Prohibit use of read/writeable devices on their desktops/laptops  (e.g., IPODs, CD burners, DVD, zip drives, USB drives)."/>
        <s v="Encrypt removable storage devices (e.g., flash drives, CD, DVD, USB devices and back-up tapes) on the desktops / laptops used by DeepSee employees."/>
        <s v="JPM DeepRecon Migration - Q4 Priorities"/>
        <s v="Hide Sign-Options from Microsoft Login Window"/>
        <s v="Layout Parser"/>
        <s v="Add module for data reconciliation"/>
        <s v="Reconciliation Model Hyper-Parameter Optimization"/>
        <s v="LayoutXML for Q&amp;A"/>
        <s v="[Pipeline Hardening] Testing framework for new generic pipeline"/>
        <s v="BROS Model for Q&amp;A"/>
        <s v="Embed snippets into ALL processing functions or find step function backend solution"/>
        <s v="Model Quality/Drift Dashboard"/>
        <s v="Handoff MLP Repo to DeepRecon"/>
        <s v="Search Query - define to accomplish use cases"/>
        <s v="Datalab schema &amp; query &quot;search&quot; with ML, content map, work items"/>
        <s v="Update atlas-integration model prediction lambda with the new generic lambda"/>
        <s v="Model Deployment - Reconciliation"/>
        <s v="Preprocess Function"/>
        <s v="Automated Retraining"/>
        <s v="[End-to-End] Model Governance / Auditing"/>
        <s v="DeepRecon requirements for Datalab schemas and queries"/>
        <s v="Be able to correlate model Infrastructure Usage back to Cost Per Tenant"/>
        <s v="Infrastructure Density Reporting"/>
        <s v="A sandbox environment for the ML team to train and test their models with production data"/>
        <s v="Deploy ClickHouse for DeepRecon for Messages"/>
        <s v="Train supervised model on customer data"/>
        <s v="Create pre-configured template for Cash Settlement Breaks"/>
        <s v="Users are able to view term extractions and comparisons in a work item"/>
        <s v="Workflow Metrics"/>
        <s v="DeepRecon for Markets - Content Map for Unstructured"/>
        <s v="Process Modeler Utility Q4 Priorities"/>
        <s v="Home UI"/>
        <s v="SPIKE: Release Manifest ArgoCD Demo"/>
        <s v="Add option to open_connection helper that would allow it to ssh tunnel to connect to stg database"/>
        <s v="DeepRecon Task/RBAC"/>
        <s v="Q3 Dashboards"/>
        <s v="DeepRecon Reporting: Alerting, Customer Support, Governance Risk and Compliance Dashboards"/>
        <s v="Fix Invalid Wild Card Cert in Dev - api.dev.deepsee.ai"/>
        <s v="Add Bandit to GitHub Actions Push Build workflow"/>
        <s v="Research workflow triggers"/>
        <s v="Create template k8s yaml definitions"/>
        <s v="Research Monorepo build tools"/>
        <s v="Create POC local dev cluster"/>
        <s v="Research local cluster options"/>
        <s v="Research allowing local k8s to pull local images"/>
        <s v="Research Local dev helpers for k8s"/>
        <s v="Identify Code Needing Refactor"/>
        <s v="Dockerize UI"/>
        <s v="Research Kubeflow and Alternatives"/>
        <s v="Research Knative and Alternatives"/>
        <s v="Local Dev Environment"/>
        <s v="Test BROS Model with Customer Data"/>
        <s v="Test model with customer data for token classification"/>
        <s v="[Tech Debt] Increase unit test coverage"/>
        <s v="[End-to-End] Add DB integration into pipeline"/>
        <s v="Q3 - Priority Compliance / Data Security Items"/>
        <s v="Q4 - Priority Compliance / Data Security Items"/>
        <s v="DeepSee Compliance / Data Security Baseline"/>
        <s v="Delivery Notes"/>
        <s v="Content Mapper Utility"/>
        <s v="Investigate migrating API calls to React Server Side"/>
        <s v="DeepRecon Production UI"/>
        <s v="Knowledge Graph Visualization"/>
        <s v="SOC II Certification"/>
        <s v="Data Integration Gateway"/>
        <s v="Term and Validation Lists"/>
        <s v="Term Creation"/>
        <s v="Customer Environment and Entitlement Setup"/>
        <s v="Work Items from Process Model Output"/>
        <s v="DeepRecon - Dashboarding (dupe of PR-184)"/>
        <s v="Implement a task discovery process based on emails so customers can gain transparency on their team's work"/>
        <s v="Implement Term Base Model "/>
        <s v="Predictive Learning Check Point"/>
        <s v="Migrate JPM to DeepRecon"/>
        <s v="DeepRecon for Materials 0.1 - Delivery Notes"/>
        <s v="DeepRecon for Materials 0.0 - Certificate of Analysis"/>
        <s v="JPM Referenceable Customer"/>
        <s v="Process Modeler Utility"/>
        <s v="Deliver business insights and intelligence to optimize and drive strategic decisions by automating complex work processes for Line of Business users"/>
        <s v="DeepRecon for Markets - Post Trade Derivative OTC Confirmation"/>
        <s v="We deliver business insights and intelligence to optimize and drive strategic decisions by automating complex  work processes for Line of Business users."/>
        <s v="Istio Metrics To Datadog"/>
        <s v="Istio Label Tenant Namespaces with istio Injector Label"/>
        <s v="Istio Configure correct Egress Rules"/>
        <s v="Open Policy Agents For istio"/>
        <s v="Add connection logging to VPN"/>
        <s v="Get bandit running clean on MLP pipeline"/>
        <s v="Disallow Public Access On All Buckets Created In Our AWS infrastructure environment"/>
        <s v="Resiliency and Responsiveness"/>
        <s v="email attachment lambda"/>
        <s v="Content Map: Delete a doc from the UI"/>
        <s v="Update unit test for the universal JPM model after Atlas integration"/>
        <s v="Ensure kube cluster has correct permissions to pull images from our container registry"/>
        <s v="Define the Data Services"/>
        <s v="SPIKE: Determine how network policies interact on Istio and Kubernetes"/>
        <s v="Create mapping of trained model term ids to the backend term ids in Dev, Stg and Prod"/>
        <s v="Standby People for Demo"/>
        <s v="Demo Dry Run"/>
        <s v="Test SSO for Mondelez in Production"/>
        <s v="Set up the Gatekeeper security protocol with Cognito &amp; the IAM security groups"/>
        <s v="Create an API that will provision a new tenant in production"/>
        <s v="Build initial ArangoDB Query Language (AQL) queries to pull data from the graph."/>
        <s v="Create Datalab ArangoDB Python module to pull ArangoDB processing functions into any project."/>
        <s v="Build GraphQL resolver functions to perform AQL queries."/>
        <s v="Set up separate PROD/non-PROD Azure accounts, increase concurrency limits for OCR/Translator services"/>
        <s v="Medium: Ensure CloudTrail logs are encrypted at rest using KMS CMKs"/>
        <s v="Write script to convert AWS step function definition to local equivalent"/>
        <s v="Sync SAM template with step function definitions"/>
        <s v="Security Operations"/>
        <s v="Continuity and Resilience"/>
        <s v="Remove all Dependabot Alerts"/>
        <s v="Experiment with a larger model to see if model performance improves"/>
        <s v="Create Weaviate GraphQL queries to search documents and link with Dgraph queries."/>
        <s v="Tokenize, embed and store document text under Dgraph with proper follows/edge relationships."/>
        <s v="SPIKE: Research how to spin up new tenants with different Use-Cases"/>
        <s v="General Purpose Mechanism For Handling Different Auth Providers Per Tenant"/>
        <s v="Unified Approach to Database Changes "/>
        <s v="SPIKE: Plan and Document MLOPS Pipeline"/>
        <s v="AWS Credentials Per Repository In Github"/>
        <s v="Rotate AWS Github Credentials Automatically on Some Basis"/>
        <s v="Low: Ensure the S3 bucket has access logging enabled"/>
        <s v="Medium:  Ensure the S3 bucket requires MFA to delete objects"/>
        <s v="Ensure we have a way to connect to our databases without bastions"/>
        <s v="Define CI/CD flow with trunk-based branching strategy"/>
        <s v="build a tenant operational dashboard to show system metrics per tenant."/>
        <s v="provision and automate creation of network policies for tenant namespaces "/>
        <s v="Ensure all S3 access logs are being aggregated "/>
        <s v="Ensure all AWS logs are being agreggated"/>
        <s v="Ensure all logs from Kubernetes nodes and pods are being agreggated "/>
        <s v="Through some automated Process non-technical team members can provision their own Tenant"/>
        <s v="Develop production-ready retrieve-and-read model for Mondelez."/>
        <s v="Knowledge Graph"/>
        <s v="High: Lambda Function should have tracing enabled MLP"/>
        <s v="JPM Utilities Build the Business (Arrays, Multi Underliers, Arrays and Calculations)"/>
        <s v="Write python function to search Datalab and client corpus using Haystack/Weaviate and Dgraph combined."/>
        <s v="Connect Haystack/Weaviate to Dgraph."/>
        <s v="Embed the Python Connector snippets into the ML pipeline."/>
        <s v="Setup email notification on Reconciliation service (Sagemaker) restart event"/>
        <s v="JPM Advisor Integration"/>
        <s v="Automate Deployment and Containerization of UI Code"/>
        <s v="Sometimes it may. be necessary to communicate between cloud services, we need to define an Arch pattern for intercommunication"/>
        <s v="Code Scanning"/>
        <s v="Make sure all resources are tagged consistently "/>
        <s v="Write a script to identify un-used jupyter notebook instances older than 24 hours"/>
        <s v="Soc 2 Compliance"/>
        <s v="High: Security Group should not accept traffic other than 80 and 443"/>
        <s v="High: Network ACLs do not allow unrestricted inbound traffic"/>
        <s v="High: Lambda Function should not have Same IAM Role for more than one lambda function"/>
        <s v="a summary"/>
        <s v="Security: Operation Perimeter"/>
        <s v="Full Automation of the MLOps Pipeline"/>
        <s v="Multi-Tenant Infrastructure"/>
        <s v="Automated ML Instance Clean Up"/>
        <s v="Cloud Costs Insights"/>
        <s v="Shutdown all services on the AWS account With the ID: 356848972643"/>
        <s v="Create MLOps Pipeline for Model Build/Train/Deploy with Human-in-the-loop Automation"/>
        <s v="JPM Backlog "/>
        <s v="Documentation of DevOps stuff"/>
        <s v="SPIKE: CircleCI AWS integration way (how and what account we would use)"/>
        <s v="Update terraform cli on Bastion Prod to recent version"/>
        <s v="Add RDS Cluster of DEMO env to FullEnvironmentTerraform code"/>
        <s v="Prepare FullEnvironmentTerraform code to TBD"/>
        <s v="Move terraform state files from Bastion Prod to S3"/>
        <s v="Automate updating DEMO env"/>
        <s v="MLP CircleCI pipeline test "/>
        <s v="JPM Path to Green - Phase IV (Future Work)"/>
        <s v="Potentially support delivery notes"/>
        <s v="JPM Path to Green - Phase III (Remaining Committed Features in Schedule)"/>
        <s v="JPM Path to Green - Phase II (New products in &lt; 100 hrs)"/>
        <s v="CI/CD: Automate Everything"/>
        <s v="ML Pipeline Integration to Atlas and Advisor"/>
        <s v="Add all services to CircleCI for CI/CD and add Test-automation"/>
        <s v="Start KT for all Admin functions"/>
        <s v="Sonicwall KT for Eric and Makayla "/>
        <s v="Check that all Lastpass items are moved to Bitwarden."/>
        <s v="Enable logging for all StateMachines"/>
        <s v="(CA) External integration (data exchange)"/>
        <s v="(CA) External integration (data feed)"/>
        <s v="(RA) End-to-end user-level reporting"/>
        <s v="(RA) Entity audit reporting"/>
        <s v="(RA) Model alerting"/>
        <s v="(RA) Data query"/>
        <s v="(CS) Ticket history"/>
        <s v="(CS) Ticket management"/>
        <s v="(SLA) Model performance"/>
        <s v="(SLA) Experience metrics"/>
        <s v="(SLA) SLA reporting – Infrastructure Provider"/>
        <s v="(SLA) SLA reporting – DataRig"/>
        <s v="(GRC) Compliance audit"/>
        <s v="(GRC) Data integrity"/>
        <s v="(GRC) Risk posture reporting"/>
        <s v="(GRC) Access third-party audit and compliance"/>
        <s v="(CA) Mutual endpoint authentication"/>
        <s v="(CA) Logical data isolation"/>
        <s v="(RA) System security "/>
        <s v="(RA) Issue isolation"/>
        <s v="(RA) Model statistics"/>
        <s v="(RA) Process statistics"/>
        <s v="(RA) Process housekeeping"/>
        <s v="(CS) Support mechanisms"/>
        <s v="(SLA) Customer support"/>
        <s v="(SLA) Service management"/>
        <s v="(SLA) Service agreement"/>
        <s v="(GRC) Credential management"/>
        <s v="(GRC) Disaster recovery"/>
        <s v="(GRC) High-availability"/>
        <s v="(GRC) Data residency"/>
        <s v="(GRC) Boundary access reporting"/>
        <s v="(CA) User-level management"/>
        <s v="(CA) Group-level user management"/>
        <s v="(CA) Least-privileges access (Role-based)"/>
        <s v="(CA) Multi-factor Authentication (MFA) Configuration"/>
        <s v="(CA) Identity-based Access Manager (IdAM) Config"/>
        <s v="Execution Layer Q3 Deliverables"/>
        <s v="Execution Layer Q2 Deliverables"/>
        <s v="Execution Layer Q1 Deliverables"/>
        <s v="Port to Azure"/>
        <s v="Process Modeler - Define an External Validation test"/>
        <s v="Connect - Consume Exogenous Data from Feeds and to configure the input and output of data from the DataRig"/>
        <s v="Knowledge Base - Initial Collection of all information from each Data Object created "/>
        <s v="Entitlement Infrastructure to define what Apps/Templates are available per tenant and sub-tenant along with the templates"/>
        <s v="Demo and POC Environment "/>
        <s v="Process Modeler - Define a Process Map configurable by Product and end-users"/>
        <s v="Advisor - Configurable Display to load a template that consists of all the data for a new process"/>
        <s v="CloudFormation to Terraform Retooling"/>
        <s v="Create a centralized MongoDB ODL to stream current PostgreSQL Data into.  "/>
        <s v="Authentication and Authorization Re-Write"/>
        <s v="Segment Service Re-write"/>
        <s v="Complete Trunk Based Development (TBD) Documentation and take to all teams. "/>
        <s v="Create new FE Infrastructure Stack for Mondelez UI"/>
        <s v="Get all of MLP team on CircleCI with Orbs"/>
        <s v="Retrieve VFX and MDFW packages from deal feeds"/>
        <s v="Clean up Dev Bastion Host Users and prep for transition to OpenVPN. "/>
        <s v="Datadog integration, Instrumentation, and log ingestion. APM, Security. "/>
        <s v="Create labeling service reviewing data and providing human validation"/>
      </sharedItems>
    </cacheField>
    <cacheField name="jira_status">
      <sharedItems count="15">
        <s v="New"/>
        <s v="To Do"/>
        <s v="In Progress"/>
        <s v="Planning"/>
        <s v="Canceled"/>
        <s v="Code Review"/>
        <s v="Blocked"/>
        <s v="In Testing"/>
        <s v="Closed"/>
        <s v="Backlog"/>
        <s v="At Risk"/>
        <s v="Waiting for approval"/>
        <s v="Completed"/>
        <s v="On Track"/>
        <s v="Discovery"/>
      </sharedItems>
    </cacheField>
    <cacheField name="jira_category">
      <sharedItems count="6">
        <s v="Product Roadmap"/>
        <s v="Front End Development"/>
        <s v="Back End Development"/>
        <s v="Core-Infrastructure"/>
        <s v="Security &amp; Compliance"/>
        <s v="FILBERT"/>
      </sharedItems>
    </cacheField>
    <cacheField name="project_key">
      <sharedItems count="6">
        <s v="PR"/>
        <s v="UI"/>
        <s v="BACK"/>
        <s v="CI"/>
        <s v="SC"/>
        <s v="FB"/>
      </sharedItems>
    </cacheField>
    <cacheField name="client_name">
      <sharedItems count="1" containsString="0" containsBlank="1">
        <m/>
      </sharedItems>
    </cacheField>
    <cacheField name="effort_tshirt_size">
      <sharedItems count="5" containsBlank="1">
        <m/>
        <s v="Large"/>
        <s v="Medium"/>
        <s v="Small"/>
        <s v="X-Large"/>
      </sharedItems>
    </cacheField>
    <cacheField name="story_points">
      <sharedItems count="52" containsString="0" containsBlank="1" containsNumber="1" minValue="0" maxValue="191">
        <m/>
        <n v="2"/>
        <n v="5"/>
        <n v="3"/>
        <n v="6"/>
        <n v="8"/>
        <n v="13"/>
        <n v="1"/>
        <n v="17"/>
        <n v="66"/>
        <n v="7"/>
        <n v="76"/>
        <n v="61"/>
        <n v="106"/>
        <n v="23"/>
        <n v="0"/>
        <n v="42"/>
        <n v="63"/>
        <n v="30"/>
        <n v="25"/>
        <n v="20"/>
        <n v="15"/>
        <n v="0.5"/>
        <n v="1.5"/>
        <n v="19"/>
        <n v="80"/>
        <n v="41"/>
        <n v="10"/>
        <n v="34"/>
        <n v="136"/>
        <n v="32"/>
        <n v="184"/>
        <n v="84"/>
        <n v="11"/>
        <n v="60"/>
        <n v="31"/>
        <n v="92"/>
        <n v="130"/>
        <n v="9"/>
        <n v="22"/>
        <n v="21"/>
        <n v="52"/>
        <n v="191"/>
        <n v="14"/>
        <n v="73"/>
        <n v="164"/>
        <n v="150"/>
        <n v="48"/>
        <n v="12"/>
        <n v="44"/>
        <n v="71"/>
        <n v="28"/>
      </sharedItems>
    </cacheField>
    <cacheField name="mapped_feature_id">
      <sharedItems count="1" containsString="0" containsBlank="1">
        <m/>
      </sharedItems>
    </cacheField>
    <cacheField name="mapped_feature_name">
      <sharedItems count="1" containsString="0" containsBlank="1">
        <m/>
      </sharedItems>
    </cacheField>
    <cacheField name="assigned_engineer">
      <sharedItems count="42" containsBlank="1">
        <m/>
        <s v="Kalvin Willison"/>
        <s v="Owen Riley"/>
        <s v="Kannal Mutharasu"/>
        <s v="Chad Hegerhorst"/>
        <s v="Lane Terry"/>
        <s v="Treven Trujillo"/>
        <s v="Anna Kamionowska"/>
        <s v="Darius Ouderkirk"/>
        <s v="Aleksander Winski"/>
        <s v="Ivan Peev"/>
        <s v="Matthew Snow"/>
        <s v="Delaney Barney"/>
        <s v="Jeff Hegerhorst"/>
        <s v="Bill Adams"/>
        <s v="Colleen Leonard"/>
        <s v="Thomas Bell"/>
        <s v="Ross Hamilton"/>
        <s v="Jeff Klassen"/>
        <s v="Konnor Willison"/>
        <s v="Rostyslav Neskorozhenyi"/>
        <s v="Tomasz Morawski"/>
        <s v="Mitesh Yadav"/>
        <s v="Matthew Dembinski"/>
        <s v="Chithra Geetha Manian"/>
        <s v="Loris D'Acunto"/>
        <s v="Kimo Kahookele"/>
        <s v="Sławomir Dawidziuk"/>
        <s v="John Muhlestein"/>
        <s v="Shad O'Neil"/>
        <s v="Derek Headley"/>
        <s v="Aubrey Merchant-Dest"/>
        <s v="Jayson Lewis"/>
        <s v="Jarom Huntsman"/>
        <s v="Desiree Silva"/>
        <s v="Joshua Johanson"/>
        <s v="Former user"/>
        <s v="Matthew Poulton"/>
        <s v="Pooja Oza"/>
        <s v="Michael Chestnut"/>
        <s v="Desiree Silva Gil"/>
        <s v="Taylor Drage"/>
      </sharedItems>
    </cacheField>
    <cacheField name="sprint">
      <sharedItems count="91" containsBlank="1">
        <m/>
        <s v="DeepSee Collective Sprint 35"/>
        <s v="DeepSee Collective Sprint 30"/>
        <s v="BR Contract Deliverables"/>
        <s v="Colony Bank Go-Live"/>
        <s v="DTCC Prod Go-Live"/>
        <s v="DeepSee Collective Sprint 34"/>
        <s v="DeepSee Collective Sprint 32"/>
        <s v="DeepSee Collective Sprint 31"/>
        <s v="Vantage Loans Go-Live"/>
        <s v="Live POCs"/>
        <s v="DeepSee Collective Sprint 29"/>
        <s v="DeepSee Collective Sprint 28"/>
        <s v="DeepSee Collective Sprint 27"/>
        <s v="DeepSee Collective Sprint 26"/>
        <s v="DeepSee Collective Sprint 24"/>
        <s v="DeepSee Collective Sprint 25"/>
        <s v="DeepSee Collective Sprint 23"/>
        <s v="DeepSee Collective Sprint 22"/>
        <s v="Accenture Functional Go-Live"/>
        <s v="DeepSee Collective Sprint 21"/>
        <s v="DTCC SSI Updates"/>
        <s v="Broadridge First Team Live"/>
        <s v="DeepSee Collective Sprint 20"/>
        <s v="DeepSee Collective Sprint 18"/>
        <s v="DeepSee Collective Sprint 19"/>
        <s v="DeepSee Collective Sprint 17"/>
        <s v="DeepSee Collective Sprint 14"/>
        <s v="DeepSee Collective Sprint 11"/>
        <s v="DeepSee Collective Sprint 8"/>
        <s v="DeepSee Collective Sprint 7"/>
        <s v="DeepSee Collective Sprint 5"/>
        <s v="FILBERT 2023.3"/>
        <s v="FILBERT 2023.4"/>
        <s v="Operation Blitz to $5 mil"/>
        <s v="RECON-38 [Runda Zwycięstwa]"/>
        <s v="Q1 2024"/>
        <s v="PLAT Sprint 3"/>
        <s v="PLAT Sprint 2"/>
        <s v="PLAT Sprint 1"/>
        <s v="RECON Sprint 36[PRM Sprint 36]"/>
        <s v="DeepSee Collective Sprint 1"/>
        <s v="ML Rig 2023.19"/>
        <s v="PABE 10"/>
        <s v="Q3 2023"/>
        <s v="ML Rig 2023.16"/>
        <s v="InfraRig 2023.10"/>
        <s v="ML Rig 2023.15"/>
        <s v="PABE 8"/>
        <s v="InfraRig 2023.12"/>
        <s v="ML Rig 2023.14"/>
        <s v="ML Rig 2023.13"/>
        <s v="Q3 2024"/>
        <s v="Q2 2024"/>
        <s v="Q2 2023"/>
        <s v="ML Rig 2023.11"/>
        <s v="PRM Sprint 26 [Where Maciej]"/>
        <s v="PAUI Sprint 6"/>
        <s v="ML Rig 2023.5"/>
        <s v="ML Rig 2023.6"/>
        <s v="InfraRig 2023.4"/>
        <s v="InfraRig 2023.2"/>
        <s v="InfraRig 2023.1"/>
        <s v="ML Rig 2023.10"/>
        <s v="ML Rig 2023.9"/>
        <s v="PRM SPRINT 21"/>
        <s v="ML Rig 2023.4"/>
        <s v="InfraRig 2022.14"/>
        <s v="ML Rig 2023.03"/>
        <s v="ML Rig 2023.02"/>
        <s v="InfraRig 2022.12"/>
        <s v="ML Rig 2023.01"/>
        <s v="ML Rig 2022.19"/>
        <s v="ML Rig 2022.16"/>
        <s v="DRCN Sprint 18"/>
        <s v="InfraRig 2022.8"/>
        <s v="InfraRig 2022.6"/>
        <s v="Graph 2022.14"/>
        <s v="ML Rig 2022.13"/>
        <s v="ML Rig 2022.17"/>
        <s v="ML Rig 2022.12"/>
        <s v="ML Rig 2022.11"/>
        <s v="ML Rig 2022.10"/>
        <s v="ML Rig 2022.9"/>
        <s v="ML Rig 2022.8"/>
        <s v="Infra-Rig-Q3-Sprint-1"/>
        <s v="Datarig 2022.5"/>
        <s v="Datarig 2022.2"/>
        <s v="Datarig 2022.1"/>
        <s v="Infra-Rig Team"/>
        <s v="BlackOps 21.22"/>
      </sharedItems>
    </cacheField>
    <cacheField name="created_date">
      <sharedItems count="638" containsDate="1" containsNonDate="0" containsString="0" minDate="2021-06-22T00:00:00" maxDate="2025-11-12T00:00:00" containsSemiMixedTypes="0">
        <d v="2025-11-12T00:00:00"/>
        <d v="2025-11-11T00:00:00"/>
        <d v="2025-11-10T00:00:00"/>
        <d v="2025-11-06T00:00:00"/>
        <d v="2025-11-05T00:00:00"/>
        <d v="2025-11-04T00:00:00"/>
        <d v="2025-11-03T00:00:00"/>
        <d v="2025-10-31T00:00:00"/>
        <d v="2025-10-30T00:00:00"/>
        <d v="2025-10-28T00:00:00"/>
        <d v="2025-10-27T00:00:00"/>
        <d v="2025-10-24T00:00:00"/>
        <d v="2025-10-22T00:00:00"/>
        <d v="2025-10-21T00:00:00"/>
        <d v="2025-10-20T00:00:00"/>
        <d v="2025-10-17T00:00:00"/>
        <d v="2025-10-15T00:00:00"/>
        <d v="2025-10-14T00:00:00"/>
        <d v="2025-10-10T00:00:00"/>
        <d v="2025-10-09T00:00:00"/>
        <d v="2025-10-08T00:00:00"/>
        <d v="2025-10-07T00:00:00"/>
        <d v="2025-10-03T00:00:00"/>
        <d v="2025-09-30T00:00:00"/>
        <d v="2025-09-29T00:00:00"/>
        <d v="2025-09-26T00:00:00"/>
        <d v="2025-09-25T00:00:00"/>
        <d v="2025-09-23T00:00:00"/>
        <d v="2025-09-22T00:00:00"/>
        <d v="2025-09-21T00:00:00"/>
        <d v="2025-09-16T00:00:00"/>
        <d v="2025-09-11T00:00:00"/>
        <d v="2025-09-10T00:00:00"/>
        <d v="2025-09-09T00:00:00"/>
        <d v="2025-09-05T00:00:00"/>
        <d v="2025-09-04T00:00:00"/>
        <d v="2025-09-03T00:00:00"/>
        <d v="2025-09-02T00:00:00"/>
        <d v="2025-09-01T00:00:00"/>
        <d v="2025-08-29T00:00:00"/>
        <d v="2025-08-25T00:00:00"/>
        <d v="2025-08-22T00:00:00"/>
        <d v="2025-08-20T00:00:00"/>
        <d v="2025-08-19T00:00:00"/>
        <d v="2025-08-18T00:00:00"/>
        <d v="2025-08-14T00:00:00"/>
        <d v="2025-08-13T00:00:00"/>
        <d v="2025-08-12T00:00:00"/>
        <d v="2025-08-11T00:00:00"/>
        <d v="2025-08-08T00:00:00"/>
        <d v="2025-08-06T00:00:00"/>
        <d v="2025-08-05T00:00:00"/>
        <d v="2025-08-04T00:00:00"/>
        <d v="2025-08-01T00:00:00"/>
        <d v="2025-07-30T00:00:00"/>
        <d v="2025-07-22T00:00:00"/>
        <d v="2025-07-16T00:00:00"/>
        <d v="2025-07-15T00:00:00"/>
        <d v="2025-07-14T00:00:00"/>
        <d v="2025-07-11T00:00:00"/>
        <d v="2025-07-08T00:00:00"/>
        <d v="2025-07-07T00:00:00"/>
        <d v="2025-07-02T00:00:00"/>
        <d v="2025-07-01T00:00:00"/>
        <d v="2025-06-30T00:00:00"/>
        <d v="2025-06-26T00:00:00"/>
        <d v="2025-06-25T00:00:00"/>
        <d v="2025-06-24T00:00:00"/>
        <d v="2025-06-16T00:00:00"/>
        <d v="2025-06-14T00:00:00"/>
        <d v="2025-06-13T00:00:00"/>
        <d v="2025-06-12T00:00:00"/>
        <d v="2025-06-11T00:00:00"/>
        <d v="2025-06-09T00:00:00"/>
        <d v="2025-06-05T00:00:00"/>
        <d v="2025-06-04T00:00:00"/>
        <d v="2025-06-03T00:00:00"/>
        <d v="2025-05-29T00:00:00"/>
        <d v="2025-05-28T00:00:00"/>
        <d v="2025-05-27T00:00:00"/>
        <d v="2025-05-22T00:00:00"/>
        <d v="2025-05-20T00:00:00"/>
        <d v="2025-05-19T00:00:00"/>
        <d v="2025-05-16T00:00:00"/>
        <d v="2025-05-15T00:00:00"/>
        <d v="2025-05-14T00:00:00"/>
        <d v="2025-05-13T00:00:00"/>
        <d v="2025-05-11T00:00:00"/>
        <d v="2025-05-09T00:00:00"/>
        <d v="2025-05-08T00:00:00"/>
        <d v="2025-05-06T00:00:00"/>
        <d v="2025-04-30T00:00:00"/>
        <d v="2025-04-29T00:00:00"/>
        <d v="2025-04-28T00:00:00"/>
        <d v="2025-04-24T00:00:00"/>
        <d v="2025-04-23T00:00:00"/>
        <d v="2025-04-22T00:00:00"/>
        <d v="2025-04-16T00:00:00"/>
        <d v="2025-04-15T00:00:00"/>
        <d v="2025-04-14T00:00:00"/>
        <d v="2025-04-10T00:00:00"/>
        <d v="2025-04-09T00:00:00"/>
        <d v="2025-04-04T00:00:00"/>
        <d v="2025-04-03T00:00:00"/>
        <d v="2025-04-02T00:00:00"/>
        <d v="2025-04-01T00:00:00"/>
        <d v="2025-03-31T00:00:00"/>
        <d v="2025-03-27T00:00:00"/>
        <d v="2025-03-25T00:00:00"/>
        <d v="2025-03-20T00:00:00"/>
        <d v="2025-03-19T00:00:00"/>
        <d v="2025-03-18T00:00:00"/>
        <d v="2025-03-12T00:00:00"/>
        <d v="2025-03-11T00:00:00"/>
        <d v="2025-03-05T00:00:00"/>
        <d v="2025-03-04T00:00:00"/>
        <d v="2025-02-26T00:00:00"/>
        <d v="2025-02-25T00:00:00"/>
        <d v="2025-02-21T00:00:00"/>
        <d v="2025-02-19T00:00:00"/>
        <d v="2025-02-13T00:00:00"/>
        <d v="2025-02-11T00:00:00"/>
        <d v="2025-02-07T00:00:00"/>
        <d v="2025-02-05T00:00:00"/>
        <d v="2025-02-03T00:00:00"/>
        <d v="2025-01-31T00:00:00"/>
        <d v="2025-01-30T00:00:00"/>
        <d v="2025-01-28T00:00:00"/>
        <d v="2025-01-24T00:00:00"/>
        <d v="2025-01-23T00:00:00"/>
        <d v="2025-01-22T00:00:00"/>
        <d v="2025-01-21T00:00:00"/>
        <d v="2025-01-14T00:00:00"/>
        <d v="2025-01-13T00:00:00"/>
        <d v="2025-01-08T00:00:00"/>
        <d v="2025-01-07T00:00:00"/>
        <d v="2025-01-06T00:00:00"/>
        <d v="2025-01-03T00:00:00"/>
        <d v="2025-01-02T00:00:00"/>
        <d v="2024-12-23T00:00:00"/>
        <d v="2024-12-19T00:00:00"/>
        <d v="2024-12-18T00:00:00"/>
        <d v="2024-12-13T00:00:00"/>
        <d v="2024-12-12T00:00:00"/>
        <d v="2024-12-10T00:00:00"/>
        <d v="2024-12-09T00:00:00"/>
        <d v="2024-12-06T00:00:00"/>
        <d v="2024-12-04T00:00:00"/>
        <d v="2024-12-03T00:00:00"/>
        <d v="2024-11-27T00:00:00"/>
        <d v="2024-11-26T00:00:00"/>
        <d v="2024-11-19T00:00:00"/>
        <d v="2024-11-18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5T00:00:00"/>
        <d v="2024-10-31T00:00:00"/>
        <d v="2024-10-30T00:00:00"/>
        <d v="2024-10-29T00:00:00"/>
        <d v="2024-10-25T00:00:00"/>
        <d v="2024-10-22T00:00:00"/>
        <d v="2024-10-21T00:00:00"/>
        <d v="2024-10-18T00:00:00"/>
        <d v="2024-10-17T00:00:00"/>
        <d v="2024-10-16T00:00:00"/>
        <d v="2024-10-10T00:00:00"/>
        <d v="2024-10-09T00:00:00"/>
        <d v="2024-10-08T00:00:00"/>
        <d v="2024-10-07T00:00:00"/>
        <d v="2024-10-04T00:00:00"/>
        <d v="2024-10-03T00:00:00"/>
        <d v="2024-10-02T00:00:00"/>
        <d v="2024-10-01T00:00:00"/>
        <d v="2024-09-30T00:00:00"/>
        <d v="2024-09-27T00:00:00"/>
        <d v="2024-09-26T00:00:00"/>
        <d v="2024-09-25T00:00:00"/>
        <d v="2024-09-24T00:00:00"/>
        <d v="2024-09-23T00:00:00"/>
        <d v="2024-09-19T00:00:00"/>
        <d v="2024-09-18T00:00:00"/>
        <d v="2024-09-17T00:00:00"/>
        <d v="2024-09-16T00:00:00"/>
        <d v="2024-09-13T00:00:00"/>
        <d v="2024-09-12T00:00:00"/>
        <d v="2024-09-10T00:00:00"/>
        <d v="2024-09-09T00:00:00"/>
        <d v="2024-09-08T00:00:00"/>
        <d v="2024-09-05T00:00:00"/>
        <d v="2024-09-04T00:00:00"/>
        <d v="2024-09-03T00:00:00"/>
        <d v="2024-08-28T00:00:00"/>
        <d v="2024-08-27T00:00:00"/>
        <d v="2024-08-26T00:00:00"/>
        <d v="2024-08-23T00:00:00"/>
        <d v="2024-08-20T00:00:00"/>
        <d v="2024-08-15T00:00:00"/>
        <d v="2024-08-08T00:00:00"/>
        <d v="2024-08-07T00:00:00"/>
        <d v="2024-08-06T00:00:00"/>
        <d v="2024-08-05T00:00:00"/>
        <d v="2024-07-31T00:00:00"/>
        <d v="2024-07-30T00:00:00"/>
        <d v="2024-07-29T00:00:00"/>
        <d v="2024-07-26T00:00:00"/>
        <d v="2024-07-24T00:00:00"/>
        <d v="2024-07-23T00:00:00"/>
        <d v="2024-07-22T00:00:00"/>
        <d v="2024-07-16T00:00:00"/>
        <d v="2024-07-15T00:00:00"/>
        <d v="2024-07-11T00:00:00"/>
        <d v="2024-07-10T00:00:00"/>
        <d v="2024-07-09T00:00:00"/>
        <d v="2024-07-08T00:00:00"/>
        <d v="2024-07-03T00:00:00"/>
        <d v="2024-07-02T00:00:00"/>
        <d v="2024-07-01T00:00:00"/>
        <d v="2024-06-27T00:00:00"/>
        <d v="2024-06-25T00:00:00"/>
        <d v="2024-06-23T00:00:00"/>
        <d v="2024-06-18T00:00:00"/>
        <d v="2024-06-12T00:00:00"/>
        <d v="2024-06-11T00:00:00"/>
        <d v="2024-06-06T00:00:00"/>
        <d v="2024-06-05T00:00:00"/>
        <d v="2024-06-04T00:00:00"/>
        <d v="2024-06-03T00:00:00"/>
        <d v="2024-05-31T00:00:00"/>
        <d v="2024-05-29T00:00:00"/>
        <d v="2024-05-28T00:00:00"/>
        <d v="2024-05-21T00:00:00"/>
        <d v="2024-05-20T00:00:00"/>
        <d v="2024-05-15T00:00:00"/>
        <d v="2024-05-14T00:00:00"/>
        <d v="2024-05-13T00:00:00"/>
        <d v="2024-05-09T00:00:00"/>
        <d v="2024-05-08T00:00:00"/>
        <d v="2024-05-07T00:00:00"/>
        <d v="2024-05-06T00:00:00"/>
        <d v="2024-05-02T00:00:00"/>
        <d v="2024-05-01T00:00:00"/>
        <d v="2024-04-26T00:00:00"/>
        <d v="2024-04-24T00:00:00"/>
        <d v="2024-04-23T00:00:00"/>
        <d v="2024-04-19T00:00:00"/>
        <d v="2024-04-17T00:00:00"/>
        <d v="2024-04-16T00:00:00"/>
        <d v="2024-04-15T00:00:00"/>
        <d v="2024-04-12T00:00:00"/>
        <d v="2024-04-11T00:00:00"/>
        <d v="2024-04-09T00:00:00"/>
        <d v="2024-04-03T00:00:00"/>
        <d v="2024-04-02T00:00:00"/>
        <d v="2024-03-29T00:00:00"/>
        <d v="2024-03-25T00:00:00"/>
        <d v="2024-03-22T00:00:00"/>
        <d v="2024-03-21T00:00:00"/>
        <d v="2024-03-20T00:00:00"/>
        <d v="2024-03-19T00:00:00"/>
        <d v="2024-03-18T00:00:00"/>
        <d v="2024-03-15T00:00:00"/>
        <d v="2024-03-14T00:00:00"/>
        <d v="2024-03-13T00:00:00"/>
        <d v="2024-03-07T00:00:00"/>
        <d v="2024-03-06T00:00:00"/>
        <d v="2024-03-05T00:00:00"/>
        <d v="2024-03-01T00:00:00"/>
        <d v="2024-02-29T00:00:00"/>
        <d v="2024-02-28T00:00:00"/>
        <d v="2024-02-27T00:00:00"/>
        <d v="2024-02-22T00:00:00"/>
        <d v="2024-02-21T00:00:00"/>
        <d v="2024-02-20T00:00:00"/>
        <d v="2024-02-15T00:00:00"/>
        <d v="2024-02-14T00:00:00"/>
        <d v="2024-02-08T00:00:00"/>
        <d v="2024-02-07T00:00:00"/>
        <d v="2024-02-06T00:00:00"/>
        <d v="2024-02-01T00:00:00"/>
        <d v="2024-01-31T00:00:00"/>
        <d v="2024-01-30T00:00:00"/>
        <d v="2024-01-26T00:00:00"/>
        <d v="2024-01-25T00:00:00"/>
        <d v="2024-01-23T00:00:00"/>
        <d v="2024-01-22T00:00:00"/>
        <d v="2024-01-18T00:00:00"/>
        <d v="2024-01-17T00:00:00"/>
        <d v="2024-01-16T00:00:00"/>
        <d v="2024-01-09T00:00:00"/>
        <d v="2024-01-03T00:00:00"/>
        <d v="2023-12-21T00:00:00"/>
        <d v="2023-12-20T00:00:00"/>
        <d v="2023-12-18T00:00:00"/>
        <d v="2023-12-13T00:00:00"/>
        <d v="2023-12-12T00:00:00"/>
        <d v="2023-12-11T00:00:00"/>
        <d v="2023-12-08T00:00:00"/>
        <d v="2023-12-06T00:00:00"/>
        <d v="2023-12-05T00:00:00"/>
        <d v="2023-12-04T00:00:00"/>
        <d v="2023-12-01T00:00:00"/>
        <d v="2023-11-30T00:00:00"/>
        <d v="2023-11-29T00:00:00"/>
        <d v="2023-11-28T00:00:00"/>
        <d v="2023-11-27T00:00:00"/>
        <d v="2023-11-22T00:00:00"/>
        <d v="2023-11-21T00:00:00"/>
        <d v="2023-11-20T00:00:00"/>
        <d v="2023-11-17T00:00:00"/>
        <d v="2023-11-16T00:00:00"/>
        <d v="2023-11-15T00:00:00"/>
        <d v="2023-11-14T00:00:00"/>
        <d v="2023-11-13T00:00:00"/>
        <d v="2023-11-09T00:00:00"/>
        <d v="2023-11-08T00:00:00"/>
        <d v="2023-11-07T00:00:00"/>
        <d v="2023-11-06T00:00:00"/>
        <d v="2023-11-03T00:00:00"/>
        <d v="2023-11-02T00:00:00"/>
        <d v="2023-11-01T00:00:00"/>
        <d v="2023-10-31T00:00:00"/>
        <d v="2023-10-27T00:00:00"/>
        <d v="2023-10-26T00:00:00"/>
        <d v="2023-10-25T00:00:00"/>
        <d v="2023-10-24T00:00:00"/>
        <d v="2023-10-23T00:00:00"/>
        <d v="2023-10-19T00:00:00"/>
        <d v="2023-10-18T00:00:00"/>
        <d v="2023-10-17T00:00:00"/>
        <d v="2023-10-16T00:00:00"/>
        <d v="2023-10-13T00:00:00"/>
        <d v="2023-10-12T00:00:00"/>
        <d v="2023-10-11T00:00:00"/>
        <d v="2023-10-10T00:00:00"/>
        <d v="2023-10-06T00:00:00"/>
        <d v="2023-10-05T00:00:00"/>
        <d v="2023-10-04T00:00:00"/>
        <d v="2023-10-03T00:00:00"/>
        <d v="2023-10-02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9T00:00:00"/>
        <d v="2023-09-18T00:00:00"/>
        <d v="2023-09-15T00:00:00"/>
        <d v="2023-09-13T00:00:00"/>
        <d v="2023-09-12T00:00:00"/>
        <d v="2023-09-11T00:00:00"/>
        <d v="2023-09-07T00:00:00"/>
        <d v="2023-09-06T00:00:00"/>
        <d v="2023-09-05T00:00:00"/>
        <d v="2023-08-31T00:00:00"/>
        <d v="2023-08-30T00:00:00"/>
        <d v="2023-08-29T00:00:00"/>
        <d v="2023-08-25T00:00:00"/>
        <d v="2023-08-24T00:00:00"/>
        <d v="2023-08-23T00:00:00"/>
        <d v="2023-08-22T00:00:00"/>
        <d v="2023-08-21T00:00:00"/>
        <d v="2023-08-18T00:00:00"/>
        <d v="2023-08-17T00:00:00"/>
        <d v="2023-08-16T00:00:00"/>
        <d v="2023-08-14T00:00:00"/>
        <d v="2023-08-11T00:00:00"/>
        <d v="2023-08-10T00:00:00"/>
        <d v="2023-08-09T00:00:00"/>
        <d v="2023-08-08T00:00:00"/>
        <d v="2023-08-04T00:00:00"/>
        <d v="2023-08-03T00:00:00"/>
        <d v="2023-08-02T00:00:00"/>
        <d v="2023-07-31T00:00:00"/>
        <d v="2023-07-28T00:00:00"/>
        <d v="2023-07-27T00:00:00"/>
        <d v="2023-07-26T00:00:00"/>
        <d v="2023-07-25T00:00:00"/>
        <d v="2023-07-20T00:00:00"/>
        <d v="2023-07-18T00:00:00"/>
        <d v="2023-07-17T00:00:00"/>
        <d v="2023-07-13T00:00:00"/>
        <d v="2023-07-12T00:00:00"/>
        <d v="2023-07-11T00:00:00"/>
        <d v="2023-07-10T00:00:00"/>
        <d v="2023-07-08T00:00:00"/>
        <d v="2023-07-06T00:00:00"/>
        <d v="2023-07-05T00:00:00"/>
        <d v="2023-07-04T00:00:00"/>
        <d v="2023-07-03T00:00:00"/>
        <d v="2023-06-30T00:00:00"/>
        <d v="2023-06-29T00:00:00"/>
        <d v="2023-06-28T00:00:00"/>
        <d v="2023-06-27T00:00:00"/>
        <d v="2023-06-23T00:00:00"/>
        <d v="2023-06-22T00:00:00"/>
        <d v="2023-06-21T00:00:00"/>
        <d v="2023-06-20T00:00:00"/>
        <d v="2023-06-15T00:00:00"/>
        <d v="2023-06-13T00:00:00"/>
        <d v="2023-06-12T00:00:00"/>
        <d v="2023-06-08T00:00:00"/>
        <d v="2023-06-07T00:00:00"/>
        <d v="2023-06-06T00:00:00"/>
        <d v="2023-06-03T00:00:00"/>
        <d v="2023-06-02T00:00:00"/>
        <d v="2023-06-01T00:00:00"/>
        <d v="2023-05-31T00:00:00"/>
        <d v="2023-05-30T00:00:00"/>
        <d v="2023-05-26T00:00:00"/>
        <d v="2023-05-25T00:00:00"/>
        <d v="2023-05-24T00:00:00"/>
        <d v="2023-05-18T00:00:00"/>
        <d v="2023-05-17T00:00:00"/>
        <d v="2023-05-16T00:00:00"/>
        <d v="2023-05-15T00:00:00"/>
        <d v="2023-05-12T00:00:00"/>
        <d v="2023-05-10T00:00:00"/>
        <d v="2023-05-09T00:00:00"/>
        <d v="2023-05-05T00:00:00"/>
        <d v="2023-05-03T00:00:00"/>
        <d v="2023-05-02T00:00:00"/>
        <d v="2023-04-26T00:00:00"/>
        <d v="2023-04-25T00:00:00"/>
        <d v="2023-04-21T00:00:00"/>
        <d v="2023-04-20T00:00:00"/>
        <d v="2023-04-18T00:00:00"/>
        <d v="2023-04-14T00:00:00"/>
        <d v="2023-04-13T00:00:00"/>
        <d v="2023-04-12T00:00:00"/>
        <d v="2023-04-07T00:00:00"/>
        <d v="2023-04-06T00:00:00"/>
        <d v="2023-03-24T00:00:00"/>
        <d v="2023-03-23T00:00:00"/>
        <d v="2023-03-22T00:00:00"/>
        <d v="2023-03-20T00:00:00"/>
        <d v="2023-03-16T00:00:00"/>
        <d v="2023-03-15T00:00:00"/>
        <d v="2023-03-13T00:00:00"/>
        <d v="2023-03-09T00:00:00"/>
        <d v="2023-03-08T00:00:00"/>
        <d v="2023-03-07T00:00:00"/>
        <d v="2023-03-06T00:00:00"/>
        <d v="2023-03-03T00:00:00"/>
        <d v="2023-03-01T00:00:00"/>
        <d v="2023-02-28T00:00:00"/>
        <d v="2023-02-27T00:00:00"/>
        <d v="2023-02-24T00:00:00"/>
        <d v="2023-02-23T00:00:00"/>
        <d v="2023-02-22T00:00:00"/>
        <d v="2023-02-21T00:00:00"/>
        <d v="2023-02-17T00:00:00"/>
        <d v="2023-02-16T00:00:00"/>
        <d v="2023-02-15T00:00:00"/>
        <d v="2023-02-14T00:00:00"/>
        <d v="2023-02-13T00:00:00"/>
        <d v="2023-02-10T00:00:00"/>
        <d v="2023-02-09T00:00:00"/>
        <d v="2023-02-06T00:00:00"/>
        <d v="2023-02-03T00:00:00"/>
        <d v="2023-02-02T00:00:00"/>
        <d v="2023-01-31T00:00:00"/>
        <d v="2023-01-26T00:00:00"/>
        <d v="2023-01-23T00:00:00"/>
        <d v="2023-01-22T00:00:00"/>
        <d v="2023-01-19T00:00:00"/>
        <d v="2023-01-17T00:00:00"/>
        <d v="2023-01-13T00:00:00"/>
        <d v="2023-01-12T00:00:00"/>
        <d v="2023-01-11T00:00:00"/>
        <d v="2023-01-10T00:00:00"/>
        <d v="2023-01-06T00:00:00"/>
        <d v="2023-01-04T00:00:00"/>
        <d v="2023-01-03T00:00:00"/>
        <d v="2023-01-02T00:00:00"/>
        <d v="2022-12-29T00:00:00"/>
        <d v="2022-12-28T00:00:00"/>
        <d v="2022-12-27T00:00:00"/>
        <d v="2022-12-22T00:00:00"/>
        <d v="2022-12-20T00:00:00"/>
        <d v="2022-12-19T00:00:00"/>
        <d v="2022-12-16T00:00:00"/>
        <d v="2022-12-15T00:00:00"/>
        <d v="2022-12-13T00:00:00"/>
        <d v="2022-12-12T00:00:00"/>
        <d v="2022-12-10T00:00:00"/>
        <d v="2022-12-07T00:00:00"/>
        <d v="2022-12-02T00:00:00"/>
        <d v="2022-11-30T00:00:00"/>
        <d v="2022-11-28T00:00:00"/>
        <d v="2022-11-21T00:00:00"/>
        <d v="2022-11-18T00:00:00"/>
        <d v="2022-11-17T00:00:00"/>
        <d v="2022-11-16T00:00:00"/>
        <d v="2022-11-15T00:00:00"/>
        <d v="2022-11-14T00:00:00"/>
        <d v="2022-11-13T00:00:00"/>
        <d v="2022-11-10T00:00:00"/>
        <d v="2022-11-08T00:00:00"/>
        <d v="2022-11-04T00:00:00"/>
        <d v="2022-11-03T00:00:00"/>
        <d v="2022-11-02T00:00:00"/>
        <d v="2022-10-31T00:00:00"/>
        <d v="2022-10-28T00:00:00"/>
        <d v="2022-10-27T00:00:00"/>
        <d v="2022-10-25T00:00:00"/>
        <d v="2022-10-24T00:00:00"/>
        <d v="2022-10-21T00:00:00"/>
        <d v="2022-10-20T00:00:00"/>
        <d v="2022-10-19T00:00:00"/>
        <d v="2022-10-18T00:00:00"/>
        <d v="2022-10-17T00:00:00"/>
        <d v="2022-10-12T00:00:00"/>
        <d v="2022-10-11T00:00:00"/>
        <d v="2022-10-07T00:00:00"/>
        <d v="2022-10-06T00:00:00"/>
        <d v="2022-10-04T00:00:00"/>
        <d v="2022-10-03T00:00:00"/>
        <d v="2022-09-30T00:00:00"/>
        <d v="2022-09-29T00:00:00"/>
        <d v="2022-09-27T00:00:00"/>
        <d v="2022-09-26T00:00:00"/>
        <d v="2022-09-23T00:00:00"/>
        <d v="2022-09-22T00:00:00"/>
        <d v="2022-09-21T00:00:00"/>
        <d v="2022-09-20T00:00:00"/>
        <d v="2022-09-16T00:00:00"/>
        <d v="2022-09-15T00:00:00"/>
        <d v="2022-09-14T00:00:00"/>
        <d v="2022-09-13T00:00:00"/>
        <d v="2022-09-12T00:00:00"/>
        <d v="2022-09-07T00:00:00"/>
        <d v="2022-09-06T00:00:00"/>
        <d v="2022-09-01T00:00:00"/>
        <d v="2022-08-31T00:00:00"/>
        <d v="2022-08-30T00:00:00"/>
        <d v="2022-08-29T00:00:00"/>
        <d v="2022-08-26T00:00:00"/>
        <d v="2022-08-25T00:00:00"/>
        <d v="2022-08-24T00:00:00"/>
        <d v="2022-08-22T00:00:00"/>
        <d v="2022-08-19T00:00:00"/>
        <d v="2022-08-17T00:00:00"/>
        <d v="2022-08-16T00:00:00"/>
        <d v="2022-08-15T00:00:00"/>
        <d v="2022-08-12T00:00:00"/>
        <d v="2022-08-09T00:00:00"/>
        <d v="2022-08-08T00:00:00"/>
        <d v="2022-08-05T00:00:00"/>
        <d v="2022-08-03T00:00:00"/>
        <d v="2022-08-01T00:00:00"/>
        <d v="2022-07-29T00:00:00"/>
        <d v="2022-07-28T00:00:00"/>
        <d v="2022-07-27T00:00:00"/>
        <d v="2022-07-26T00:00:00"/>
        <d v="2022-07-25T00:00:00"/>
        <d v="2022-07-21T00:00:00"/>
        <d v="2022-07-18T00:00:00"/>
        <d v="2022-07-13T00:00:00"/>
        <d v="2022-07-12T00:00:00"/>
        <d v="2022-07-08T00:00:00"/>
        <d v="2022-07-07T00:00:00"/>
        <d v="2022-07-05T00:00:00"/>
        <d v="2022-06-30T00:00:00"/>
        <d v="2022-06-29T00:00:00"/>
        <d v="2022-06-28T00:00:00"/>
        <d v="2022-06-27T00:00:00"/>
        <d v="2022-06-23T00:00:00"/>
        <d v="2022-06-22T00:00:00"/>
        <d v="2022-06-15T00:00:00"/>
        <d v="2022-06-14T00:00:00"/>
        <d v="2022-06-13T00:00:00"/>
        <d v="2022-06-10T00:00:00"/>
        <d v="2022-06-09T00:00:00"/>
        <d v="2022-06-08T00:00:00"/>
        <d v="2022-06-06T00:00:00"/>
        <d v="2022-06-05T00:00:00"/>
        <d v="2022-06-03T00:00:00"/>
        <d v="2022-06-01T00:00:00"/>
        <d v="2022-05-31T00:00:00"/>
        <d v="2022-05-27T00:00:00"/>
        <d v="2022-05-24T00:00:00"/>
        <d v="2022-05-23T00:00:00"/>
        <d v="2022-05-18T00:00:00"/>
        <d v="2022-05-17T00:00:00"/>
        <d v="2022-05-16T00:00:00"/>
        <d v="2022-05-13T00:00:00"/>
        <d v="2022-05-11T00:00:00"/>
        <d v="2022-05-10T00:00:00"/>
        <d v="2022-05-09T00:00:00"/>
        <d v="2022-05-05T00:00:00"/>
        <d v="2022-05-04T00:00:00"/>
        <d v="2022-05-03T00:00:00"/>
        <d v="2022-05-02T00:00:00"/>
        <d v="2022-04-29T00:00:00"/>
        <d v="2022-04-27T00:00:00"/>
        <d v="2022-04-26T00:00:00"/>
        <d v="2022-04-25T00:00:00"/>
        <d v="2022-04-22T00:00:00"/>
        <d v="2022-04-21T00:00:00"/>
        <d v="2022-04-20T00:00:00"/>
        <d v="2022-04-13T00:00:00"/>
        <d v="2022-04-07T00:00:00"/>
        <d v="2022-03-22T00:00:00"/>
        <d v="2022-03-18T00:00:00"/>
        <d v="2022-03-16T00:00:00"/>
        <d v="2022-03-15T00:00:00"/>
        <d v="2022-03-14T00:00:00"/>
        <d v="2022-03-09T00:00:00"/>
        <d v="2022-03-04T00:00:00"/>
        <d v="2022-02-04T00:00:00"/>
        <d v="2022-02-03T00:00:00"/>
        <d v="2022-01-19T00:00:00"/>
        <d v="2022-01-06T00:00:00"/>
        <d v="2022-01-03T00:00:00"/>
        <d v="2021-12-28T00:00:00"/>
        <d v="2021-12-17T00:00:00"/>
        <d v="2021-12-14T00:00:00"/>
        <d v="2021-12-08T00:00:00"/>
        <d v="2021-11-30T00:00:00"/>
        <d v="2021-11-25T00:00:00"/>
        <d v="2021-11-24T00:00:00"/>
        <d v="2021-11-23T00:00:00"/>
        <d v="2021-11-19T00:00:00"/>
        <d v="2021-11-16T00:00:00"/>
        <d v="2021-11-09T00:00:00"/>
        <d v="2021-11-08T00:00:00"/>
        <d v="2021-10-28T00:00:00"/>
        <d v="2021-10-25T00:00:00"/>
        <d v="2021-10-21T00:00:00"/>
        <d v="2021-08-05T00:00:00"/>
        <d v="2021-06-22T00:00:00"/>
      </sharedItems>
    </cacheField>
    <cacheField name="target_date">
      <sharedItems count="134" containsDate="1" containsNonDate="0" containsString="0" containsBlank="1" minDate="2022-03-31T00:00:00" maxDate="2025-12-31T00:00:00">
        <m/>
        <d v="2025-10-15T00:00:00"/>
        <d v="2025-12-31T00:00:00"/>
        <d v="2025-06-30T00:00:00"/>
        <d v="2025-06-13T00:00:00"/>
        <d v="2025-01-10T00:00:00"/>
        <d v="2025-06-20T00:00:00"/>
        <d v="2025-05-30T00:00:00"/>
        <d v="2025-03-31T00:00:00"/>
        <d v="2025-03-11T00:00:00"/>
        <d v="2025-02-14T00:00:00"/>
        <d v="2025-02-20T00:00:00"/>
        <d v="2025-02-25T00:00:00"/>
        <d v="2025-03-07T00:00:00"/>
        <d v="2025-05-22T00:00:00"/>
        <d v="2025-01-22T00:00:00"/>
        <d v="2025-01-09T00:00:00"/>
        <d v="2024-12-12T00:00:00"/>
        <d v="2024-12-19T00:00:00"/>
        <d v="2024-10-13T00:00:00"/>
        <d v="2025-02-27T00:00:00"/>
        <d v="2024-12-31T00:00:00"/>
        <d v="2024-10-15T00:00:00"/>
        <d v="2024-10-16T00:00:00"/>
        <d v="2024-10-03T00:00:00"/>
        <d v="2024-06-30T00:00:00"/>
        <d v="2023-12-07T00:00:00"/>
        <d v="2023-03-31T00:00:00"/>
        <d v="2024-10-31T00:00:00"/>
        <d v="2024-10-18T00:00:00"/>
        <d v="2024-09-27T00:00:00"/>
        <d v="2024-09-13T00:00:00"/>
        <d v="2024-08-22T00:00:00"/>
        <d v="2024-09-19T00:00:00"/>
        <d v="2024-09-05T00:00:00"/>
        <d v="2024-05-16T00:00:00"/>
        <d v="2024-04-18T00:00:00"/>
        <d v="2024-04-04T00:00:00"/>
        <d v="2024-06-13T00:00:00"/>
        <d v="2024-06-27T00:00:00"/>
        <d v="2024-03-21T00:00:00"/>
        <d v="2024-03-07T00:00:00"/>
        <d v="2024-08-29T00:00:00"/>
        <d v="2023-12-27T00:00:00"/>
        <d v="2023-12-14T00:00:00"/>
        <d v="2023-12-28T00:00:00"/>
        <d v="2024-05-02T00:00:00"/>
        <d v="2024-02-08T00:00:00"/>
        <d v="2024-01-25T00:00:00"/>
        <d v="2024-01-10T00:00:00"/>
        <d v="2023-11-29T00:00:00"/>
        <d v="2025-02-18T00:00:00"/>
        <d v="2023-11-30T00:00:00"/>
        <d v="2023-12-29T00:00:00"/>
        <d v="2023-11-02T00:00:00"/>
        <d v="2023-12-13T00:00:00"/>
        <d v="2024-01-31T00:00:00"/>
        <d v="2023-11-10T00:00:00"/>
        <d v="2023-11-16T00:00:00"/>
        <d v="2023-11-15T00:00:00"/>
        <d v="2023-10-19T00:00:00"/>
        <d v="2023-10-18T00:00:00"/>
        <d v="2023-12-02T00:00:00"/>
        <d v="2023-10-11T00:00:00"/>
        <d v="2023-09-20T00:00:00"/>
        <d v="2023-09-21T00:00:00"/>
        <d v="2023-09-27T00:00:00"/>
        <d v="2023-08-23T00:00:00"/>
        <d v="2023-08-30T00:00:00"/>
        <d v="2023-09-13T00:00:00"/>
        <d v="2023-08-16T00:00:00"/>
        <d v="2023-08-24T00:00:00"/>
        <d v="2023-08-02T00:00:00"/>
        <d v="2023-07-26T00:00:00"/>
        <d v="2023-07-12T00:00:00"/>
        <d v="2023-08-09T00:00:00"/>
        <d v="2023-06-28T00:00:00"/>
        <d v="2023-08-10T00:00:00"/>
        <d v="2023-07-13T00:00:00"/>
        <d v="2023-07-27T00:00:00"/>
        <d v="2023-06-29T00:00:00"/>
        <d v="2023-06-15T00:00:00"/>
        <d v="2023-07-05T00:00:00"/>
        <d v="2023-04-21T00:00:00"/>
        <d v="2023-03-23T00:00:00"/>
        <d v="2023-05-21T00:00:00"/>
        <d v="2023-06-20T00:00:00"/>
        <d v="2023-06-05T00:00:00"/>
        <d v="2023-06-01T00:00:00"/>
        <d v="2023-09-06T00:00:00"/>
        <d v="2023-05-04T00:00:00"/>
        <d v="2023-04-07T00:00:00"/>
        <d v="2023-04-06T00:00:00"/>
        <d v="2023-02-23T00:00:00"/>
        <d v="2023-03-24T00:00:00"/>
        <d v="2023-05-22T00:00:00"/>
        <d v="2023-01-26T00:00:00"/>
        <d v="2023-02-09T00:00:00"/>
        <d v="2023-04-20T00:00:00"/>
        <d v="2023-01-25T00:00:00"/>
        <d v="2023-03-09T00:00:00"/>
        <d v="2023-01-12T00:00:00"/>
        <d v="2022-12-29T00:00:00"/>
        <d v="2022-12-15T00:00:00"/>
        <d v="2022-12-01T00:00:00"/>
        <d v="2022-12-14T00:00:00"/>
        <d v="2022-11-17T00:00:00"/>
        <d v="2022-11-30T00:00:00"/>
        <d v="2023-01-11T00:00:00"/>
        <d v="2023-05-03T00:00:00"/>
        <d v="2022-11-03T00:00:00"/>
        <d v="2022-11-04T00:00:00"/>
        <d v="2022-12-28T00:00:00"/>
        <d v="2022-10-27T00:00:00"/>
        <d v="2022-10-13T00:00:00"/>
        <d v="2022-10-20T00:00:00"/>
        <d v="2022-10-06T00:00:00"/>
        <d v="2022-09-29T00:00:00"/>
        <d v="2022-09-22T00:00:00"/>
        <d v="2022-09-07T00:00:00"/>
        <d v="2022-09-01T00:00:00"/>
        <d v="2022-08-25T00:00:00"/>
        <d v="2022-08-11T00:00:00"/>
        <d v="2022-07-28T00:00:00"/>
        <d v="2022-07-14T00:00:00"/>
        <d v="2022-07-06T00:00:00"/>
        <d v="2022-12-31T00:00:00"/>
        <d v="2022-08-12T00:00:00"/>
        <d v="2022-06-23T00:00:00"/>
        <d v="2022-12-30T00:00:00"/>
        <d v="2022-06-30T00:00:00"/>
        <d v="2022-06-29T00:00:00"/>
        <d v="2022-05-15T00:00:00"/>
        <d v="2022-03-31T00:00:00"/>
      </sharedItems>
    </cacheField>
    <cacheField name="completed_date">
      <sharedItems count="10" containsDate="1" containsNonDate="0" containsString="0" containsBlank="1" minDate="2023-11-22T00:00:00" maxDate="2025-09-09T00:00:00">
        <m/>
        <d v="2025-09-09T00:00:00"/>
        <d v="2024-09-09T00:00:00"/>
        <d v="2023-11-28T00:00:00"/>
        <d v="2023-11-22T00:00:00"/>
        <d v="2023-12-05T00:00:00"/>
        <d v="2025-04-04T00:00:00"/>
        <d v="2023-12-20T00:00:00"/>
        <d v="2025-04-01T00:00:00"/>
        <d v="2025-04-07T00:00:00"/>
      </sharedItems>
    </cacheField>
  </cacheFields>
  <extLst>
    <ext xmlns:x14="http://schemas.microsoft.com/office/spreadsheetml/2009/9/main" uri="{725AE2AE-9491-48be-B2B4-4EB974FC3084}">
      <x14:pivotCacheDefinition pivotCacheId="100000002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"/>
    <x v="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3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4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6"/>
    <x v="6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7"/>
    <x v="7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8"/>
    <x v="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</r>
  <r>
    <x v="9"/>
    <x v="9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10"/>
    <x v="1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1"/>
    <x v="1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2"/>
    <x v="1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3"/>
    <x v="1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4"/>
    <x v="14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15"/>
    <x v="15"/>
    <x v="3"/>
    <x v="2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16"/>
    <x v="16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7"/>
    <x v="17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18"/>
    <x v="18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9"/>
    <x v="19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0"/>
    <x v="2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1"/>
    <x v="2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2"/>
    <x v="22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3"/>
    <x v="2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4"/>
    <x v="2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5"/>
    <x v="25"/>
    <x v="4"/>
    <x v="3"/>
    <x v="0"/>
    <x v="2"/>
    <x v="2"/>
    <x v="0"/>
    <x v="1"/>
    <x v="1"/>
    <x v="1"/>
    <x v="1"/>
    <x v="1"/>
    <x v="1"/>
    <x v="0"/>
    <x v="1"/>
    <x v="1"/>
    <x v="1"/>
    <x v="1"/>
    <x v="1"/>
    <x v="1"/>
    <x v="1"/>
    <x v="1"/>
    <x v="0"/>
    <x v="0"/>
    <x v="0"/>
    <x v="1"/>
    <x v="1"/>
    <x v="1"/>
    <x v="1"/>
    <x v="1"/>
    <x v="1"/>
    <x v="1"/>
    <x v="1"/>
    <x v="1"/>
    <x v="0"/>
    <x v="0"/>
    <x v="0"/>
    <x v="0"/>
    <x v="0"/>
    <x v="7"/>
    <x v="0"/>
    <x v="0"/>
  </r>
  <r>
    <x v="26"/>
    <x v="26"/>
    <x v="4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27"/>
    <x v="27"/>
    <x v="5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</r>
  <r>
    <x v="28"/>
    <x v="28"/>
    <x v="2"/>
    <x v="3"/>
    <x v="0"/>
    <x v="3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29"/>
    <x v="29"/>
    <x v="3"/>
    <x v="3"/>
    <x v="0"/>
    <x v="2"/>
    <x v="3"/>
    <x v="1"/>
    <x v="1"/>
    <x v="2"/>
    <x v="2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2"/>
    <x v="1"/>
    <x v="1"/>
    <x v="1"/>
    <x v="2"/>
    <x v="0"/>
    <x v="0"/>
    <x v="0"/>
    <x v="0"/>
    <x v="0"/>
    <x v="4"/>
    <x v="0"/>
    <x v="0"/>
  </r>
  <r>
    <x v="30"/>
    <x v="30"/>
    <x v="4"/>
    <x v="4"/>
    <x v="0"/>
    <x v="4"/>
    <x v="3"/>
    <x v="1"/>
    <x v="1"/>
    <x v="3"/>
    <x v="3"/>
    <x v="2"/>
    <x v="2"/>
    <x v="1"/>
    <x v="1"/>
    <x v="2"/>
    <x v="0"/>
    <x v="2"/>
    <x v="2"/>
    <x v="2"/>
    <x v="2"/>
    <x v="0"/>
    <x v="0"/>
    <x v="0"/>
    <x v="0"/>
    <x v="0"/>
    <x v="3"/>
    <x v="2"/>
    <x v="3"/>
    <x v="0"/>
    <x v="2"/>
    <x v="2"/>
    <x v="2"/>
    <x v="2"/>
    <x v="3"/>
    <x v="0"/>
    <x v="0"/>
    <x v="0"/>
    <x v="0"/>
    <x v="0"/>
    <x v="5"/>
    <x v="0"/>
    <x v="0"/>
  </r>
  <r>
    <x v="31"/>
    <x v="31"/>
    <x v="5"/>
    <x v="3"/>
    <x v="1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32"/>
    <x v="32"/>
    <x v="6"/>
    <x v="3"/>
    <x v="2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33"/>
    <x v="33"/>
    <x v="3"/>
    <x v="3"/>
    <x v="0"/>
    <x v="1"/>
    <x v="5"/>
    <x v="1"/>
    <x v="1"/>
    <x v="4"/>
    <x v="1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1"/>
    <x v="3"/>
    <x v="1"/>
    <x v="1"/>
    <x v="4"/>
    <x v="0"/>
    <x v="0"/>
    <x v="0"/>
    <x v="0"/>
    <x v="0"/>
    <x v="3"/>
    <x v="0"/>
    <x v="0"/>
  </r>
  <r>
    <x v="34"/>
    <x v="34"/>
    <x v="0"/>
    <x v="3"/>
    <x v="1"/>
    <x v="1"/>
    <x v="5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35"/>
    <x v="35"/>
    <x v="7"/>
    <x v="3"/>
    <x v="0"/>
    <x v="0"/>
    <x v="6"/>
    <x v="2"/>
    <x v="0"/>
    <x v="5"/>
    <x v="1"/>
    <x v="1"/>
    <x v="1"/>
    <x v="1"/>
    <x v="1"/>
    <x v="3"/>
    <x v="2"/>
    <x v="3"/>
    <x v="0"/>
    <x v="0"/>
    <x v="0"/>
    <x v="0"/>
    <x v="1"/>
    <x v="0"/>
    <x v="0"/>
    <x v="0"/>
    <x v="4"/>
    <x v="3"/>
    <x v="2"/>
    <x v="0"/>
    <x v="2"/>
    <x v="4"/>
    <x v="1"/>
    <x v="1"/>
    <x v="5"/>
    <x v="0"/>
    <x v="0"/>
    <x v="0"/>
    <x v="0"/>
    <x v="0"/>
    <x v="8"/>
    <x v="0"/>
    <x v="0"/>
  </r>
  <r>
    <x v="36"/>
    <x v="36"/>
    <x v="7"/>
    <x v="3"/>
    <x v="1"/>
    <x v="0"/>
    <x v="6"/>
    <x v="3"/>
    <x v="0"/>
    <x v="6"/>
    <x v="1"/>
    <x v="3"/>
    <x v="3"/>
    <x v="2"/>
    <x v="0"/>
    <x v="0"/>
    <x v="0"/>
    <x v="0"/>
    <x v="0"/>
    <x v="0"/>
    <x v="0"/>
    <x v="0"/>
    <x v="1"/>
    <x v="0"/>
    <x v="0"/>
    <x v="0"/>
    <x v="4"/>
    <x v="3"/>
    <x v="2"/>
    <x v="0"/>
    <x v="2"/>
    <x v="5"/>
    <x v="1"/>
    <x v="1"/>
    <x v="6"/>
    <x v="0"/>
    <x v="0"/>
    <x v="0"/>
    <x v="0"/>
    <x v="0"/>
    <x v="3"/>
    <x v="0"/>
    <x v="0"/>
  </r>
  <r>
    <x v="37"/>
    <x v="37"/>
    <x v="5"/>
    <x v="3"/>
    <x v="1"/>
    <x v="3"/>
    <x v="6"/>
    <x v="4"/>
    <x v="1"/>
    <x v="5"/>
    <x v="1"/>
    <x v="4"/>
    <x v="4"/>
    <x v="3"/>
    <x v="2"/>
    <x v="0"/>
    <x v="0"/>
    <x v="4"/>
    <x v="0"/>
    <x v="0"/>
    <x v="0"/>
    <x v="2"/>
    <x v="1"/>
    <x v="0"/>
    <x v="0"/>
    <x v="0"/>
    <x v="1"/>
    <x v="4"/>
    <x v="1"/>
    <x v="2"/>
    <x v="2"/>
    <x v="6"/>
    <x v="1"/>
    <x v="1"/>
    <x v="7"/>
    <x v="0"/>
    <x v="0"/>
    <x v="0"/>
    <x v="0"/>
    <x v="0"/>
    <x v="3"/>
    <x v="0"/>
    <x v="0"/>
  </r>
  <r>
    <x v="38"/>
    <x v="38"/>
    <x v="3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39"/>
    <x v="39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0"/>
    <x v="40"/>
    <x v="6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1"/>
    <x v="41"/>
    <x v="7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2"/>
    <x v="42"/>
    <x v="2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3"/>
    <x v="43"/>
    <x v="8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4"/>
    <x v="44"/>
    <x v="9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5"/>
    <x v="45"/>
    <x v="5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6"/>
    <x v="46"/>
    <x v="1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</pivotCacheRecords>
</file>

<file path=xl/pivotCache/pivotCacheRecords2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2"/>
    <x v="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1"/>
  </r>
  <r>
    <x v="3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4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</r>
  <r>
    <x v="6"/>
    <x v="6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7"/>
    <x v="7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</r>
  <r>
    <x v="8"/>
    <x v="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</r>
  <r>
    <x v="9"/>
    <x v="9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</r>
  <r>
    <x v="10"/>
    <x v="1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1"/>
    <x v="1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2"/>
    <x v="1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3"/>
    <x v="1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4"/>
    <x v="14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15"/>
    <x v="15"/>
    <x v="3"/>
    <x v="2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16"/>
    <x v="16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7"/>
    <x v="17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18"/>
    <x v="18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9"/>
    <x v="19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20"/>
    <x v="2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</r>
  <r>
    <x v="21"/>
    <x v="2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</r>
  <r>
    <x v="22"/>
    <x v="22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23"/>
    <x v="2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24"/>
    <x v="2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25"/>
    <x v="25"/>
    <x v="4"/>
    <x v="3"/>
    <x v="0"/>
    <x v="2"/>
    <x v="2"/>
    <x v="0"/>
    <x v="1"/>
    <x v="1"/>
    <x v="1"/>
    <x v="1"/>
    <x v="1"/>
    <x v="1"/>
    <x v="0"/>
    <x v="1"/>
    <x v="1"/>
    <x v="1"/>
    <x v="1"/>
    <x v="1"/>
    <x v="1"/>
    <x v="1"/>
    <x v="1"/>
    <x v="0"/>
    <x v="0"/>
    <x v="0"/>
    <x v="1"/>
    <x v="1"/>
    <x v="1"/>
    <x v="1"/>
    <x v="1"/>
    <x v="1"/>
    <x v="1"/>
    <x v="1"/>
    <x v="1"/>
    <x v="0"/>
    <x v="0"/>
    <x v="0"/>
    <x v="0"/>
    <x v="0"/>
    <x v="7"/>
    <x v="0"/>
    <x v="0"/>
    <x v="1"/>
    <x v="2"/>
    <x v="0"/>
  </r>
  <r>
    <x v="26"/>
    <x v="26"/>
    <x v="4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1"/>
    <x v="1"/>
  </r>
  <r>
    <x v="27"/>
    <x v="27"/>
    <x v="5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1"/>
    <x v="1"/>
    <x v="1"/>
  </r>
  <r>
    <x v="28"/>
    <x v="28"/>
    <x v="2"/>
    <x v="3"/>
    <x v="0"/>
    <x v="3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1"/>
  </r>
  <r>
    <x v="29"/>
    <x v="29"/>
    <x v="3"/>
    <x v="3"/>
    <x v="0"/>
    <x v="2"/>
    <x v="3"/>
    <x v="1"/>
    <x v="1"/>
    <x v="2"/>
    <x v="2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2"/>
    <x v="1"/>
    <x v="1"/>
    <x v="1"/>
    <x v="2"/>
    <x v="0"/>
    <x v="0"/>
    <x v="0"/>
    <x v="0"/>
    <x v="0"/>
    <x v="4"/>
    <x v="0"/>
    <x v="0"/>
    <x v="1"/>
    <x v="2"/>
    <x v="0"/>
  </r>
  <r>
    <x v="30"/>
    <x v="30"/>
    <x v="4"/>
    <x v="4"/>
    <x v="0"/>
    <x v="4"/>
    <x v="3"/>
    <x v="1"/>
    <x v="1"/>
    <x v="3"/>
    <x v="3"/>
    <x v="2"/>
    <x v="2"/>
    <x v="1"/>
    <x v="1"/>
    <x v="2"/>
    <x v="0"/>
    <x v="2"/>
    <x v="2"/>
    <x v="2"/>
    <x v="2"/>
    <x v="0"/>
    <x v="0"/>
    <x v="0"/>
    <x v="0"/>
    <x v="0"/>
    <x v="3"/>
    <x v="2"/>
    <x v="3"/>
    <x v="0"/>
    <x v="2"/>
    <x v="2"/>
    <x v="2"/>
    <x v="2"/>
    <x v="3"/>
    <x v="0"/>
    <x v="0"/>
    <x v="0"/>
    <x v="0"/>
    <x v="0"/>
    <x v="5"/>
    <x v="0"/>
    <x v="0"/>
    <x v="1"/>
    <x v="2"/>
    <x v="0"/>
  </r>
  <r>
    <x v="31"/>
    <x v="31"/>
    <x v="5"/>
    <x v="3"/>
    <x v="1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1"/>
    <x v="1"/>
  </r>
  <r>
    <x v="32"/>
    <x v="32"/>
    <x v="6"/>
    <x v="3"/>
    <x v="2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33"/>
    <x v="33"/>
    <x v="3"/>
    <x v="3"/>
    <x v="0"/>
    <x v="1"/>
    <x v="5"/>
    <x v="1"/>
    <x v="1"/>
    <x v="4"/>
    <x v="1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1"/>
    <x v="3"/>
    <x v="1"/>
    <x v="1"/>
    <x v="4"/>
    <x v="0"/>
    <x v="0"/>
    <x v="0"/>
    <x v="0"/>
    <x v="0"/>
    <x v="3"/>
    <x v="0"/>
    <x v="0"/>
    <x v="1"/>
    <x v="2"/>
    <x v="0"/>
  </r>
  <r>
    <x v="34"/>
    <x v="34"/>
    <x v="0"/>
    <x v="3"/>
    <x v="1"/>
    <x v="1"/>
    <x v="5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35"/>
    <x v="35"/>
    <x v="7"/>
    <x v="3"/>
    <x v="0"/>
    <x v="0"/>
    <x v="6"/>
    <x v="2"/>
    <x v="0"/>
    <x v="5"/>
    <x v="1"/>
    <x v="1"/>
    <x v="1"/>
    <x v="1"/>
    <x v="1"/>
    <x v="3"/>
    <x v="2"/>
    <x v="3"/>
    <x v="0"/>
    <x v="0"/>
    <x v="0"/>
    <x v="0"/>
    <x v="1"/>
    <x v="0"/>
    <x v="0"/>
    <x v="0"/>
    <x v="4"/>
    <x v="3"/>
    <x v="2"/>
    <x v="0"/>
    <x v="2"/>
    <x v="4"/>
    <x v="1"/>
    <x v="1"/>
    <x v="5"/>
    <x v="0"/>
    <x v="0"/>
    <x v="0"/>
    <x v="0"/>
    <x v="0"/>
    <x v="8"/>
    <x v="0"/>
    <x v="0"/>
    <x v="1"/>
    <x v="2"/>
    <x v="0"/>
  </r>
  <r>
    <x v="36"/>
    <x v="36"/>
    <x v="7"/>
    <x v="3"/>
    <x v="1"/>
    <x v="0"/>
    <x v="6"/>
    <x v="3"/>
    <x v="0"/>
    <x v="6"/>
    <x v="1"/>
    <x v="3"/>
    <x v="3"/>
    <x v="2"/>
    <x v="0"/>
    <x v="0"/>
    <x v="0"/>
    <x v="0"/>
    <x v="0"/>
    <x v="0"/>
    <x v="0"/>
    <x v="0"/>
    <x v="1"/>
    <x v="0"/>
    <x v="0"/>
    <x v="0"/>
    <x v="4"/>
    <x v="3"/>
    <x v="2"/>
    <x v="0"/>
    <x v="2"/>
    <x v="5"/>
    <x v="1"/>
    <x v="1"/>
    <x v="6"/>
    <x v="0"/>
    <x v="0"/>
    <x v="0"/>
    <x v="0"/>
    <x v="0"/>
    <x v="3"/>
    <x v="0"/>
    <x v="0"/>
    <x v="1"/>
    <x v="2"/>
    <x v="0"/>
  </r>
  <r>
    <x v="37"/>
    <x v="37"/>
    <x v="5"/>
    <x v="3"/>
    <x v="1"/>
    <x v="3"/>
    <x v="6"/>
    <x v="4"/>
    <x v="1"/>
    <x v="5"/>
    <x v="1"/>
    <x v="4"/>
    <x v="4"/>
    <x v="3"/>
    <x v="2"/>
    <x v="0"/>
    <x v="0"/>
    <x v="4"/>
    <x v="0"/>
    <x v="0"/>
    <x v="0"/>
    <x v="2"/>
    <x v="1"/>
    <x v="0"/>
    <x v="0"/>
    <x v="0"/>
    <x v="1"/>
    <x v="4"/>
    <x v="1"/>
    <x v="2"/>
    <x v="2"/>
    <x v="6"/>
    <x v="1"/>
    <x v="1"/>
    <x v="7"/>
    <x v="0"/>
    <x v="0"/>
    <x v="0"/>
    <x v="0"/>
    <x v="0"/>
    <x v="3"/>
    <x v="0"/>
    <x v="0"/>
    <x v="1"/>
    <x v="2"/>
    <x v="0"/>
  </r>
  <r>
    <x v="38"/>
    <x v="38"/>
    <x v="3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39"/>
    <x v="39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0"/>
    <x v="40"/>
    <x v="6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1"/>
    <x v="41"/>
    <x v="7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2"/>
    <x v="42"/>
    <x v="2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3"/>
    <x v="43"/>
    <x v="8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4"/>
    <x v="44"/>
    <x v="9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5"/>
    <x v="45"/>
    <x v="5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6"/>
    <x v="46"/>
    <x v="1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</pivotCacheRecords>
</file>

<file path=xl/pivotCache/pivotCacheRecords3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2663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  <x v="0"/>
    <x v="0"/>
    <x v="1"/>
    <x v="0"/>
    <x v="0"/>
  </r>
  <r>
    <x v="2"/>
    <x v="2"/>
    <x v="1"/>
    <x v="2"/>
    <x v="2"/>
    <x v="0"/>
    <x v="0"/>
    <x v="0"/>
    <x v="0"/>
    <x v="0"/>
    <x v="0"/>
    <x v="0"/>
    <x v="1"/>
    <x v="0"/>
    <x v="0"/>
  </r>
  <r>
    <x v="3"/>
    <x v="3"/>
    <x v="1"/>
    <x v="1"/>
    <x v="1"/>
    <x v="0"/>
    <x v="0"/>
    <x v="0"/>
    <x v="0"/>
    <x v="0"/>
    <x v="0"/>
    <x v="0"/>
    <x v="1"/>
    <x v="0"/>
    <x v="0"/>
  </r>
  <r>
    <x v="4"/>
    <x v="4"/>
    <x v="1"/>
    <x v="1"/>
    <x v="1"/>
    <x v="0"/>
    <x v="0"/>
    <x v="0"/>
    <x v="0"/>
    <x v="0"/>
    <x v="0"/>
    <x v="0"/>
    <x v="1"/>
    <x v="0"/>
    <x v="0"/>
  </r>
  <r>
    <x v="5"/>
    <x v="5"/>
    <x v="1"/>
    <x v="1"/>
    <x v="1"/>
    <x v="0"/>
    <x v="0"/>
    <x v="0"/>
    <x v="0"/>
    <x v="0"/>
    <x v="0"/>
    <x v="0"/>
    <x v="1"/>
    <x v="0"/>
    <x v="0"/>
  </r>
  <r>
    <x v="6"/>
    <x v="6"/>
    <x v="1"/>
    <x v="1"/>
    <x v="1"/>
    <x v="0"/>
    <x v="0"/>
    <x v="0"/>
    <x v="0"/>
    <x v="0"/>
    <x v="0"/>
    <x v="0"/>
    <x v="1"/>
    <x v="0"/>
    <x v="0"/>
  </r>
  <r>
    <x v="7"/>
    <x v="7"/>
    <x v="1"/>
    <x v="1"/>
    <x v="1"/>
    <x v="0"/>
    <x v="0"/>
    <x v="0"/>
    <x v="0"/>
    <x v="0"/>
    <x v="0"/>
    <x v="0"/>
    <x v="1"/>
    <x v="0"/>
    <x v="0"/>
  </r>
  <r>
    <x v="8"/>
    <x v="8"/>
    <x v="1"/>
    <x v="1"/>
    <x v="1"/>
    <x v="0"/>
    <x v="0"/>
    <x v="0"/>
    <x v="0"/>
    <x v="0"/>
    <x v="0"/>
    <x v="0"/>
    <x v="1"/>
    <x v="0"/>
    <x v="0"/>
  </r>
  <r>
    <x v="9"/>
    <x v="9"/>
    <x v="1"/>
    <x v="1"/>
    <x v="1"/>
    <x v="0"/>
    <x v="0"/>
    <x v="0"/>
    <x v="0"/>
    <x v="0"/>
    <x v="0"/>
    <x v="0"/>
    <x v="1"/>
    <x v="0"/>
    <x v="0"/>
  </r>
  <r>
    <x v="10"/>
    <x v="10"/>
    <x v="1"/>
    <x v="3"/>
    <x v="3"/>
    <x v="0"/>
    <x v="0"/>
    <x v="0"/>
    <x v="0"/>
    <x v="0"/>
    <x v="0"/>
    <x v="0"/>
    <x v="1"/>
    <x v="0"/>
    <x v="0"/>
  </r>
  <r>
    <x v="11"/>
    <x v="11"/>
    <x v="1"/>
    <x v="3"/>
    <x v="3"/>
    <x v="0"/>
    <x v="0"/>
    <x v="0"/>
    <x v="0"/>
    <x v="0"/>
    <x v="0"/>
    <x v="0"/>
    <x v="1"/>
    <x v="0"/>
    <x v="0"/>
  </r>
  <r>
    <x v="12"/>
    <x v="12"/>
    <x v="2"/>
    <x v="2"/>
    <x v="2"/>
    <x v="0"/>
    <x v="0"/>
    <x v="0"/>
    <x v="0"/>
    <x v="0"/>
    <x v="1"/>
    <x v="0"/>
    <x v="1"/>
    <x v="0"/>
    <x v="0"/>
  </r>
  <r>
    <x v="13"/>
    <x v="13"/>
    <x v="3"/>
    <x v="0"/>
    <x v="0"/>
    <x v="0"/>
    <x v="0"/>
    <x v="0"/>
    <x v="0"/>
    <x v="0"/>
    <x v="0"/>
    <x v="0"/>
    <x v="1"/>
    <x v="0"/>
    <x v="0"/>
  </r>
  <r>
    <x v="14"/>
    <x v="14"/>
    <x v="1"/>
    <x v="3"/>
    <x v="3"/>
    <x v="0"/>
    <x v="0"/>
    <x v="0"/>
    <x v="0"/>
    <x v="0"/>
    <x v="0"/>
    <x v="0"/>
    <x v="2"/>
    <x v="0"/>
    <x v="0"/>
  </r>
  <r>
    <x v="15"/>
    <x v="15"/>
    <x v="1"/>
    <x v="3"/>
    <x v="3"/>
    <x v="0"/>
    <x v="0"/>
    <x v="0"/>
    <x v="0"/>
    <x v="0"/>
    <x v="0"/>
    <x v="0"/>
    <x v="2"/>
    <x v="0"/>
    <x v="0"/>
  </r>
  <r>
    <x v="16"/>
    <x v="16"/>
    <x v="1"/>
    <x v="1"/>
    <x v="1"/>
    <x v="0"/>
    <x v="0"/>
    <x v="0"/>
    <x v="0"/>
    <x v="0"/>
    <x v="0"/>
    <x v="0"/>
    <x v="2"/>
    <x v="0"/>
    <x v="0"/>
  </r>
  <r>
    <x v="17"/>
    <x v="17"/>
    <x v="1"/>
    <x v="1"/>
    <x v="1"/>
    <x v="0"/>
    <x v="0"/>
    <x v="0"/>
    <x v="0"/>
    <x v="0"/>
    <x v="0"/>
    <x v="0"/>
    <x v="2"/>
    <x v="0"/>
    <x v="0"/>
  </r>
  <r>
    <x v="18"/>
    <x v="18"/>
    <x v="1"/>
    <x v="3"/>
    <x v="3"/>
    <x v="0"/>
    <x v="0"/>
    <x v="0"/>
    <x v="0"/>
    <x v="0"/>
    <x v="0"/>
    <x v="0"/>
    <x v="2"/>
    <x v="0"/>
    <x v="0"/>
  </r>
  <r>
    <x v="19"/>
    <x v="19"/>
    <x v="1"/>
    <x v="3"/>
    <x v="3"/>
    <x v="0"/>
    <x v="0"/>
    <x v="0"/>
    <x v="0"/>
    <x v="0"/>
    <x v="0"/>
    <x v="0"/>
    <x v="2"/>
    <x v="0"/>
    <x v="0"/>
  </r>
  <r>
    <x v="20"/>
    <x v="20"/>
    <x v="1"/>
    <x v="1"/>
    <x v="1"/>
    <x v="0"/>
    <x v="0"/>
    <x v="0"/>
    <x v="0"/>
    <x v="0"/>
    <x v="0"/>
    <x v="0"/>
    <x v="2"/>
    <x v="0"/>
    <x v="0"/>
  </r>
  <r>
    <x v="21"/>
    <x v="21"/>
    <x v="1"/>
    <x v="1"/>
    <x v="1"/>
    <x v="0"/>
    <x v="0"/>
    <x v="0"/>
    <x v="0"/>
    <x v="0"/>
    <x v="0"/>
    <x v="0"/>
    <x v="2"/>
    <x v="0"/>
    <x v="0"/>
  </r>
  <r>
    <x v="22"/>
    <x v="22"/>
    <x v="3"/>
    <x v="0"/>
    <x v="0"/>
    <x v="0"/>
    <x v="0"/>
    <x v="0"/>
    <x v="0"/>
    <x v="0"/>
    <x v="0"/>
    <x v="0"/>
    <x v="2"/>
    <x v="0"/>
    <x v="0"/>
  </r>
  <r>
    <x v="23"/>
    <x v="23"/>
    <x v="3"/>
    <x v="0"/>
    <x v="0"/>
    <x v="0"/>
    <x v="0"/>
    <x v="0"/>
    <x v="0"/>
    <x v="0"/>
    <x v="0"/>
    <x v="0"/>
    <x v="2"/>
    <x v="0"/>
    <x v="0"/>
  </r>
  <r>
    <x v="24"/>
    <x v="24"/>
    <x v="1"/>
    <x v="4"/>
    <x v="4"/>
    <x v="0"/>
    <x v="0"/>
    <x v="0"/>
    <x v="0"/>
    <x v="0"/>
    <x v="0"/>
    <x v="0"/>
    <x v="3"/>
    <x v="0"/>
    <x v="0"/>
  </r>
  <r>
    <x v="25"/>
    <x v="25"/>
    <x v="2"/>
    <x v="1"/>
    <x v="1"/>
    <x v="0"/>
    <x v="0"/>
    <x v="1"/>
    <x v="0"/>
    <x v="0"/>
    <x v="2"/>
    <x v="0"/>
    <x v="4"/>
    <x v="0"/>
    <x v="0"/>
  </r>
  <r>
    <x v="26"/>
    <x v="26"/>
    <x v="1"/>
    <x v="1"/>
    <x v="1"/>
    <x v="0"/>
    <x v="0"/>
    <x v="0"/>
    <x v="0"/>
    <x v="0"/>
    <x v="0"/>
    <x v="0"/>
    <x v="4"/>
    <x v="0"/>
    <x v="0"/>
  </r>
  <r>
    <x v="27"/>
    <x v="27"/>
    <x v="1"/>
    <x v="2"/>
    <x v="2"/>
    <x v="0"/>
    <x v="0"/>
    <x v="0"/>
    <x v="0"/>
    <x v="0"/>
    <x v="0"/>
    <x v="0"/>
    <x v="4"/>
    <x v="0"/>
    <x v="0"/>
  </r>
  <r>
    <x v="28"/>
    <x v="28"/>
    <x v="1"/>
    <x v="3"/>
    <x v="3"/>
    <x v="0"/>
    <x v="0"/>
    <x v="0"/>
    <x v="0"/>
    <x v="0"/>
    <x v="0"/>
    <x v="0"/>
    <x v="4"/>
    <x v="0"/>
    <x v="0"/>
  </r>
  <r>
    <x v="29"/>
    <x v="29"/>
    <x v="1"/>
    <x v="3"/>
    <x v="3"/>
    <x v="0"/>
    <x v="0"/>
    <x v="0"/>
    <x v="0"/>
    <x v="0"/>
    <x v="0"/>
    <x v="0"/>
    <x v="4"/>
    <x v="0"/>
    <x v="0"/>
  </r>
  <r>
    <x v="30"/>
    <x v="30"/>
    <x v="1"/>
    <x v="2"/>
    <x v="2"/>
    <x v="0"/>
    <x v="0"/>
    <x v="0"/>
    <x v="0"/>
    <x v="0"/>
    <x v="0"/>
    <x v="0"/>
    <x v="4"/>
    <x v="0"/>
    <x v="0"/>
  </r>
  <r>
    <x v="31"/>
    <x v="31"/>
    <x v="1"/>
    <x v="2"/>
    <x v="2"/>
    <x v="0"/>
    <x v="0"/>
    <x v="2"/>
    <x v="0"/>
    <x v="0"/>
    <x v="0"/>
    <x v="0"/>
    <x v="5"/>
    <x v="0"/>
    <x v="0"/>
  </r>
  <r>
    <x v="32"/>
    <x v="32"/>
    <x v="1"/>
    <x v="2"/>
    <x v="2"/>
    <x v="0"/>
    <x v="0"/>
    <x v="0"/>
    <x v="0"/>
    <x v="0"/>
    <x v="0"/>
    <x v="0"/>
    <x v="5"/>
    <x v="0"/>
    <x v="0"/>
  </r>
  <r>
    <x v="33"/>
    <x v="33"/>
    <x v="1"/>
    <x v="2"/>
    <x v="2"/>
    <x v="0"/>
    <x v="0"/>
    <x v="3"/>
    <x v="0"/>
    <x v="0"/>
    <x v="0"/>
    <x v="0"/>
    <x v="5"/>
    <x v="0"/>
    <x v="0"/>
  </r>
  <r>
    <x v="34"/>
    <x v="34"/>
    <x v="1"/>
    <x v="2"/>
    <x v="2"/>
    <x v="0"/>
    <x v="0"/>
    <x v="4"/>
    <x v="0"/>
    <x v="0"/>
    <x v="0"/>
    <x v="0"/>
    <x v="5"/>
    <x v="0"/>
    <x v="0"/>
  </r>
  <r>
    <x v="35"/>
    <x v="35"/>
    <x v="1"/>
    <x v="2"/>
    <x v="2"/>
    <x v="0"/>
    <x v="0"/>
    <x v="3"/>
    <x v="0"/>
    <x v="0"/>
    <x v="0"/>
    <x v="0"/>
    <x v="5"/>
    <x v="0"/>
    <x v="0"/>
  </r>
  <r>
    <x v="36"/>
    <x v="36"/>
    <x v="4"/>
    <x v="2"/>
    <x v="2"/>
    <x v="0"/>
    <x v="0"/>
    <x v="0"/>
    <x v="0"/>
    <x v="0"/>
    <x v="0"/>
    <x v="0"/>
    <x v="5"/>
    <x v="0"/>
    <x v="0"/>
  </r>
  <r>
    <x v="37"/>
    <x v="37"/>
    <x v="1"/>
    <x v="2"/>
    <x v="2"/>
    <x v="0"/>
    <x v="0"/>
    <x v="0"/>
    <x v="0"/>
    <x v="0"/>
    <x v="0"/>
    <x v="0"/>
    <x v="5"/>
    <x v="0"/>
    <x v="0"/>
  </r>
  <r>
    <x v="38"/>
    <x v="38"/>
    <x v="5"/>
    <x v="1"/>
    <x v="1"/>
    <x v="0"/>
    <x v="0"/>
    <x v="1"/>
    <x v="0"/>
    <x v="0"/>
    <x v="2"/>
    <x v="0"/>
    <x v="5"/>
    <x v="0"/>
    <x v="0"/>
  </r>
  <r>
    <x v="39"/>
    <x v="39"/>
    <x v="1"/>
    <x v="2"/>
    <x v="2"/>
    <x v="0"/>
    <x v="0"/>
    <x v="0"/>
    <x v="0"/>
    <x v="0"/>
    <x v="0"/>
    <x v="0"/>
    <x v="5"/>
    <x v="0"/>
    <x v="0"/>
  </r>
  <r>
    <x v="40"/>
    <x v="40"/>
    <x v="2"/>
    <x v="2"/>
    <x v="2"/>
    <x v="0"/>
    <x v="0"/>
    <x v="0"/>
    <x v="0"/>
    <x v="0"/>
    <x v="3"/>
    <x v="0"/>
    <x v="5"/>
    <x v="0"/>
    <x v="0"/>
  </r>
  <r>
    <x v="41"/>
    <x v="41"/>
    <x v="6"/>
    <x v="2"/>
    <x v="2"/>
    <x v="0"/>
    <x v="0"/>
    <x v="0"/>
    <x v="0"/>
    <x v="0"/>
    <x v="3"/>
    <x v="0"/>
    <x v="5"/>
    <x v="0"/>
    <x v="0"/>
  </r>
  <r>
    <x v="42"/>
    <x v="42"/>
    <x v="7"/>
    <x v="3"/>
    <x v="3"/>
    <x v="0"/>
    <x v="0"/>
    <x v="0"/>
    <x v="0"/>
    <x v="0"/>
    <x v="4"/>
    <x v="0"/>
    <x v="5"/>
    <x v="0"/>
    <x v="0"/>
  </r>
  <r>
    <x v="43"/>
    <x v="43"/>
    <x v="1"/>
    <x v="2"/>
    <x v="2"/>
    <x v="0"/>
    <x v="0"/>
    <x v="2"/>
    <x v="0"/>
    <x v="0"/>
    <x v="0"/>
    <x v="0"/>
    <x v="6"/>
    <x v="0"/>
    <x v="0"/>
  </r>
  <r>
    <x v="44"/>
    <x v="44"/>
    <x v="1"/>
    <x v="2"/>
    <x v="2"/>
    <x v="0"/>
    <x v="0"/>
    <x v="2"/>
    <x v="0"/>
    <x v="0"/>
    <x v="0"/>
    <x v="0"/>
    <x v="7"/>
    <x v="0"/>
    <x v="0"/>
  </r>
  <r>
    <x v="45"/>
    <x v="45"/>
    <x v="1"/>
    <x v="4"/>
    <x v="4"/>
    <x v="0"/>
    <x v="0"/>
    <x v="0"/>
    <x v="0"/>
    <x v="0"/>
    <x v="0"/>
    <x v="0"/>
    <x v="7"/>
    <x v="0"/>
    <x v="0"/>
  </r>
  <r>
    <x v="46"/>
    <x v="46"/>
    <x v="1"/>
    <x v="4"/>
    <x v="4"/>
    <x v="0"/>
    <x v="0"/>
    <x v="0"/>
    <x v="0"/>
    <x v="0"/>
    <x v="0"/>
    <x v="0"/>
    <x v="7"/>
    <x v="0"/>
    <x v="0"/>
  </r>
  <r>
    <x v="47"/>
    <x v="47"/>
    <x v="1"/>
    <x v="4"/>
    <x v="4"/>
    <x v="0"/>
    <x v="0"/>
    <x v="0"/>
    <x v="0"/>
    <x v="0"/>
    <x v="0"/>
    <x v="0"/>
    <x v="7"/>
    <x v="0"/>
    <x v="0"/>
  </r>
  <r>
    <x v="48"/>
    <x v="48"/>
    <x v="1"/>
    <x v="4"/>
    <x v="4"/>
    <x v="0"/>
    <x v="0"/>
    <x v="0"/>
    <x v="0"/>
    <x v="0"/>
    <x v="0"/>
    <x v="0"/>
    <x v="8"/>
    <x v="0"/>
    <x v="0"/>
  </r>
  <r>
    <x v="49"/>
    <x v="49"/>
    <x v="1"/>
    <x v="4"/>
    <x v="4"/>
    <x v="0"/>
    <x v="0"/>
    <x v="0"/>
    <x v="0"/>
    <x v="0"/>
    <x v="0"/>
    <x v="0"/>
    <x v="8"/>
    <x v="0"/>
    <x v="0"/>
  </r>
  <r>
    <x v="50"/>
    <x v="50"/>
    <x v="1"/>
    <x v="4"/>
    <x v="4"/>
    <x v="0"/>
    <x v="0"/>
    <x v="0"/>
    <x v="0"/>
    <x v="0"/>
    <x v="0"/>
    <x v="0"/>
    <x v="8"/>
    <x v="0"/>
    <x v="0"/>
  </r>
  <r>
    <x v="51"/>
    <x v="51"/>
    <x v="1"/>
    <x v="4"/>
    <x v="4"/>
    <x v="0"/>
    <x v="0"/>
    <x v="0"/>
    <x v="0"/>
    <x v="0"/>
    <x v="0"/>
    <x v="0"/>
    <x v="8"/>
    <x v="0"/>
    <x v="0"/>
  </r>
  <r>
    <x v="52"/>
    <x v="52"/>
    <x v="1"/>
    <x v="4"/>
    <x v="4"/>
    <x v="0"/>
    <x v="0"/>
    <x v="0"/>
    <x v="0"/>
    <x v="0"/>
    <x v="0"/>
    <x v="0"/>
    <x v="8"/>
    <x v="0"/>
    <x v="0"/>
  </r>
  <r>
    <x v="53"/>
    <x v="53"/>
    <x v="1"/>
    <x v="4"/>
    <x v="4"/>
    <x v="0"/>
    <x v="0"/>
    <x v="0"/>
    <x v="0"/>
    <x v="0"/>
    <x v="0"/>
    <x v="0"/>
    <x v="8"/>
    <x v="0"/>
    <x v="0"/>
  </r>
  <r>
    <x v="54"/>
    <x v="54"/>
    <x v="1"/>
    <x v="4"/>
    <x v="4"/>
    <x v="0"/>
    <x v="0"/>
    <x v="0"/>
    <x v="0"/>
    <x v="0"/>
    <x v="0"/>
    <x v="0"/>
    <x v="8"/>
    <x v="0"/>
    <x v="0"/>
  </r>
  <r>
    <x v="55"/>
    <x v="55"/>
    <x v="1"/>
    <x v="4"/>
    <x v="4"/>
    <x v="0"/>
    <x v="0"/>
    <x v="0"/>
    <x v="0"/>
    <x v="0"/>
    <x v="0"/>
    <x v="0"/>
    <x v="8"/>
    <x v="0"/>
    <x v="0"/>
  </r>
  <r>
    <x v="56"/>
    <x v="56"/>
    <x v="1"/>
    <x v="4"/>
    <x v="4"/>
    <x v="0"/>
    <x v="0"/>
    <x v="0"/>
    <x v="0"/>
    <x v="0"/>
    <x v="0"/>
    <x v="0"/>
    <x v="8"/>
    <x v="0"/>
    <x v="0"/>
  </r>
  <r>
    <x v="57"/>
    <x v="57"/>
    <x v="1"/>
    <x v="4"/>
    <x v="4"/>
    <x v="0"/>
    <x v="0"/>
    <x v="0"/>
    <x v="0"/>
    <x v="0"/>
    <x v="0"/>
    <x v="0"/>
    <x v="8"/>
    <x v="0"/>
    <x v="0"/>
  </r>
  <r>
    <x v="58"/>
    <x v="58"/>
    <x v="1"/>
    <x v="4"/>
    <x v="4"/>
    <x v="0"/>
    <x v="0"/>
    <x v="0"/>
    <x v="0"/>
    <x v="0"/>
    <x v="0"/>
    <x v="0"/>
    <x v="8"/>
    <x v="0"/>
    <x v="0"/>
  </r>
  <r>
    <x v="59"/>
    <x v="59"/>
    <x v="1"/>
    <x v="4"/>
    <x v="4"/>
    <x v="0"/>
    <x v="0"/>
    <x v="0"/>
    <x v="0"/>
    <x v="0"/>
    <x v="0"/>
    <x v="0"/>
    <x v="8"/>
    <x v="0"/>
    <x v="0"/>
  </r>
  <r>
    <x v="60"/>
    <x v="60"/>
    <x v="1"/>
    <x v="4"/>
    <x v="4"/>
    <x v="0"/>
    <x v="0"/>
    <x v="0"/>
    <x v="0"/>
    <x v="0"/>
    <x v="0"/>
    <x v="0"/>
    <x v="8"/>
    <x v="0"/>
    <x v="0"/>
  </r>
  <r>
    <x v="61"/>
    <x v="61"/>
    <x v="1"/>
    <x v="4"/>
    <x v="4"/>
    <x v="0"/>
    <x v="0"/>
    <x v="0"/>
    <x v="0"/>
    <x v="0"/>
    <x v="0"/>
    <x v="0"/>
    <x v="8"/>
    <x v="0"/>
    <x v="0"/>
  </r>
  <r>
    <x v="62"/>
    <x v="62"/>
    <x v="1"/>
    <x v="4"/>
    <x v="4"/>
    <x v="0"/>
    <x v="0"/>
    <x v="0"/>
    <x v="0"/>
    <x v="0"/>
    <x v="0"/>
    <x v="0"/>
    <x v="8"/>
    <x v="0"/>
    <x v="0"/>
  </r>
  <r>
    <x v="63"/>
    <x v="63"/>
    <x v="1"/>
    <x v="4"/>
    <x v="4"/>
    <x v="0"/>
    <x v="0"/>
    <x v="0"/>
    <x v="0"/>
    <x v="0"/>
    <x v="0"/>
    <x v="0"/>
    <x v="8"/>
    <x v="0"/>
    <x v="0"/>
  </r>
  <r>
    <x v="64"/>
    <x v="64"/>
    <x v="1"/>
    <x v="4"/>
    <x v="4"/>
    <x v="0"/>
    <x v="0"/>
    <x v="0"/>
    <x v="0"/>
    <x v="0"/>
    <x v="0"/>
    <x v="0"/>
    <x v="8"/>
    <x v="0"/>
    <x v="0"/>
  </r>
  <r>
    <x v="65"/>
    <x v="65"/>
    <x v="1"/>
    <x v="4"/>
    <x v="4"/>
    <x v="0"/>
    <x v="0"/>
    <x v="0"/>
    <x v="0"/>
    <x v="0"/>
    <x v="0"/>
    <x v="0"/>
    <x v="8"/>
    <x v="0"/>
    <x v="0"/>
  </r>
  <r>
    <x v="66"/>
    <x v="66"/>
    <x v="1"/>
    <x v="4"/>
    <x v="4"/>
    <x v="0"/>
    <x v="0"/>
    <x v="0"/>
    <x v="0"/>
    <x v="0"/>
    <x v="0"/>
    <x v="0"/>
    <x v="8"/>
    <x v="0"/>
    <x v="0"/>
  </r>
  <r>
    <x v="67"/>
    <x v="67"/>
    <x v="1"/>
    <x v="4"/>
    <x v="4"/>
    <x v="0"/>
    <x v="0"/>
    <x v="0"/>
    <x v="0"/>
    <x v="0"/>
    <x v="0"/>
    <x v="0"/>
    <x v="8"/>
    <x v="0"/>
    <x v="0"/>
  </r>
  <r>
    <x v="68"/>
    <x v="68"/>
    <x v="1"/>
    <x v="4"/>
    <x v="4"/>
    <x v="0"/>
    <x v="0"/>
    <x v="0"/>
    <x v="0"/>
    <x v="0"/>
    <x v="0"/>
    <x v="0"/>
    <x v="8"/>
    <x v="0"/>
    <x v="0"/>
  </r>
  <r>
    <x v="69"/>
    <x v="69"/>
    <x v="1"/>
    <x v="4"/>
    <x v="4"/>
    <x v="0"/>
    <x v="0"/>
    <x v="0"/>
    <x v="0"/>
    <x v="0"/>
    <x v="0"/>
    <x v="0"/>
    <x v="8"/>
    <x v="0"/>
    <x v="0"/>
  </r>
  <r>
    <x v="70"/>
    <x v="70"/>
    <x v="1"/>
    <x v="4"/>
    <x v="4"/>
    <x v="0"/>
    <x v="0"/>
    <x v="0"/>
    <x v="0"/>
    <x v="0"/>
    <x v="0"/>
    <x v="0"/>
    <x v="8"/>
    <x v="0"/>
    <x v="0"/>
  </r>
  <r>
    <x v="71"/>
    <x v="71"/>
    <x v="1"/>
    <x v="4"/>
    <x v="4"/>
    <x v="0"/>
    <x v="0"/>
    <x v="0"/>
    <x v="0"/>
    <x v="0"/>
    <x v="0"/>
    <x v="0"/>
    <x v="8"/>
    <x v="0"/>
    <x v="0"/>
  </r>
  <r>
    <x v="72"/>
    <x v="72"/>
    <x v="1"/>
    <x v="4"/>
    <x v="4"/>
    <x v="0"/>
    <x v="0"/>
    <x v="0"/>
    <x v="0"/>
    <x v="0"/>
    <x v="0"/>
    <x v="0"/>
    <x v="8"/>
    <x v="0"/>
    <x v="0"/>
  </r>
  <r>
    <x v="73"/>
    <x v="73"/>
    <x v="1"/>
    <x v="4"/>
    <x v="4"/>
    <x v="0"/>
    <x v="0"/>
    <x v="0"/>
    <x v="0"/>
    <x v="0"/>
    <x v="0"/>
    <x v="0"/>
    <x v="8"/>
    <x v="0"/>
    <x v="0"/>
  </r>
  <r>
    <x v="74"/>
    <x v="74"/>
    <x v="1"/>
    <x v="4"/>
    <x v="4"/>
    <x v="0"/>
    <x v="0"/>
    <x v="0"/>
    <x v="0"/>
    <x v="0"/>
    <x v="0"/>
    <x v="0"/>
    <x v="8"/>
    <x v="0"/>
    <x v="0"/>
  </r>
  <r>
    <x v="75"/>
    <x v="75"/>
    <x v="1"/>
    <x v="4"/>
    <x v="4"/>
    <x v="0"/>
    <x v="0"/>
    <x v="0"/>
    <x v="0"/>
    <x v="0"/>
    <x v="0"/>
    <x v="0"/>
    <x v="8"/>
    <x v="0"/>
    <x v="0"/>
  </r>
  <r>
    <x v="76"/>
    <x v="76"/>
    <x v="1"/>
    <x v="4"/>
    <x v="4"/>
    <x v="0"/>
    <x v="0"/>
    <x v="0"/>
    <x v="0"/>
    <x v="0"/>
    <x v="0"/>
    <x v="0"/>
    <x v="8"/>
    <x v="0"/>
    <x v="0"/>
  </r>
  <r>
    <x v="77"/>
    <x v="77"/>
    <x v="1"/>
    <x v="4"/>
    <x v="4"/>
    <x v="0"/>
    <x v="0"/>
    <x v="0"/>
    <x v="0"/>
    <x v="0"/>
    <x v="0"/>
    <x v="0"/>
    <x v="8"/>
    <x v="0"/>
    <x v="0"/>
  </r>
  <r>
    <x v="78"/>
    <x v="78"/>
    <x v="1"/>
    <x v="4"/>
    <x v="4"/>
    <x v="0"/>
    <x v="0"/>
    <x v="0"/>
    <x v="0"/>
    <x v="0"/>
    <x v="0"/>
    <x v="0"/>
    <x v="8"/>
    <x v="0"/>
    <x v="0"/>
  </r>
  <r>
    <x v="79"/>
    <x v="79"/>
    <x v="1"/>
    <x v="4"/>
    <x v="4"/>
    <x v="0"/>
    <x v="0"/>
    <x v="0"/>
    <x v="0"/>
    <x v="0"/>
    <x v="0"/>
    <x v="0"/>
    <x v="8"/>
    <x v="0"/>
    <x v="0"/>
  </r>
  <r>
    <x v="80"/>
    <x v="80"/>
    <x v="1"/>
    <x v="4"/>
    <x v="4"/>
    <x v="0"/>
    <x v="0"/>
    <x v="0"/>
    <x v="0"/>
    <x v="0"/>
    <x v="0"/>
    <x v="0"/>
    <x v="8"/>
    <x v="0"/>
    <x v="0"/>
  </r>
  <r>
    <x v="81"/>
    <x v="81"/>
    <x v="1"/>
    <x v="4"/>
    <x v="4"/>
    <x v="0"/>
    <x v="0"/>
    <x v="0"/>
    <x v="0"/>
    <x v="0"/>
    <x v="0"/>
    <x v="0"/>
    <x v="8"/>
    <x v="0"/>
    <x v="0"/>
  </r>
  <r>
    <x v="82"/>
    <x v="82"/>
    <x v="1"/>
    <x v="4"/>
    <x v="4"/>
    <x v="0"/>
    <x v="0"/>
    <x v="0"/>
    <x v="0"/>
    <x v="0"/>
    <x v="0"/>
    <x v="0"/>
    <x v="8"/>
    <x v="0"/>
    <x v="0"/>
  </r>
  <r>
    <x v="83"/>
    <x v="83"/>
    <x v="1"/>
    <x v="4"/>
    <x v="4"/>
    <x v="0"/>
    <x v="0"/>
    <x v="0"/>
    <x v="0"/>
    <x v="0"/>
    <x v="0"/>
    <x v="0"/>
    <x v="8"/>
    <x v="0"/>
    <x v="0"/>
  </r>
  <r>
    <x v="84"/>
    <x v="84"/>
    <x v="1"/>
    <x v="4"/>
    <x v="4"/>
    <x v="0"/>
    <x v="0"/>
    <x v="0"/>
    <x v="0"/>
    <x v="0"/>
    <x v="0"/>
    <x v="0"/>
    <x v="8"/>
    <x v="0"/>
    <x v="0"/>
  </r>
  <r>
    <x v="85"/>
    <x v="85"/>
    <x v="1"/>
    <x v="4"/>
    <x v="4"/>
    <x v="0"/>
    <x v="0"/>
    <x v="0"/>
    <x v="0"/>
    <x v="0"/>
    <x v="0"/>
    <x v="0"/>
    <x v="8"/>
    <x v="0"/>
    <x v="0"/>
  </r>
  <r>
    <x v="86"/>
    <x v="86"/>
    <x v="1"/>
    <x v="4"/>
    <x v="4"/>
    <x v="0"/>
    <x v="0"/>
    <x v="0"/>
    <x v="0"/>
    <x v="0"/>
    <x v="0"/>
    <x v="0"/>
    <x v="8"/>
    <x v="0"/>
    <x v="0"/>
  </r>
  <r>
    <x v="87"/>
    <x v="87"/>
    <x v="1"/>
    <x v="4"/>
    <x v="4"/>
    <x v="0"/>
    <x v="0"/>
    <x v="0"/>
    <x v="0"/>
    <x v="0"/>
    <x v="0"/>
    <x v="0"/>
    <x v="8"/>
    <x v="0"/>
    <x v="0"/>
  </r>
  <r>
    <x v="88"/>
    <x v="88"/>
    <x v="1"/>
    <x v="4"/>
    <x v="4"/>
    <x v="0"/>
    <x v="0"/>
    <x v="0"/>
    <x v="0"/>
    <x v="0"/>
    <x v="0"/>
    <x v="0"/>
    <x v="8"/>
    <x v="0"/>
    <x v="0"/>
  </r>
  <r>
    <x v="89"/>
    <x v="89"/>
    <x v="1"/>
    <x v="4"/>
    <x v="4"/>
    <x v="0"/>
    <x v="0"/>
    <x v="0"/>
    <x v="0"/>
    <x v="0"/>
    <x v="0"/>
    <x v="0"/>
    <x v="8"/>
    <x v="0"/>
    <x v="0"/>
  </r>
  <r>
    <x v="90"/>
    <x v="90"/>
    <x v="1"/>
    <x v="4"/>
    <x v="4"/>
    <x v="0"/>
    <x v="0"/>
    <x v="0"/>
    <x v="0"/>
    <x v="0"/>
    <x v="0"/>
    <x v="0"/>
    <x v="8"/>
    <x v="0"/>
    <x v="0"/>
  </r>
  <r>
    <x v="91"/>
    <x v="91"/>
    <x v="1"/>
    <x v="4"/>
    <x v="4"/>
    <x v="0"/>
    <x v="0"/>
    <x v="0"/>
    <x v="0"/>
    <x v="0"/>
    <x v="0"/>
    <x v="0"/>
    <x v="8"/>
    <x v="0"/>
    <x v="0"/>
  </r>
  <r>
    <x v="92"/>
    <x v="92"/>
    <x v="1"/>
    <x v="4"/>
    <x v="4"/>
    <x v="0"/>
    <x v="0"/>
    <x v="0"/>
    <x v="0"/>
    <x v="0"/>
    <x v="0"/>
    <x v="0"/>
    <x v="8"/>
    <x v="0"/>
    <x v="0"/>
  </r>
  <r>
    <x v="93"/>
    <x v="93"/>
    <x v="1"/>
    <x v="4"/>
    <x v="4"/>
    <x v="0"/>
    <x v="0"/>
    <x v="0"/>
    <x v="0"/>
    <x v="0"/>
    <x v="0"/>
    <x v="0"/>
    <x v="8"/>
    <x v="0"/>
    <x v="0"/>
  </r>
  <r>
    <x v="94"/>
    <x v="94"/>
    <x v="1"/>
    <x v="4"/>
    <x v="4"/>
    <x v="0"/>
    <x v="0"/>
    <x v="0"/>
    <x v="0"/>
    <x v="0"/>
    <x v="0"/>
    <x v="0"/>
    <x v="8"/>
    <x v="0"/>
    <x v="0"/>
  </r>
  <r>
    <x v="95"/>
    <x v="95"/>
    <x v="1"/>
    <x v="4"/>
    <x v="4"/>
    <x v="0"/>
    <x v="0"/>
    <x v="0"/>
    <x v="0"/>
    <x v="0"/>
    <x v="0"/>
    <x v="0"/>
    <x v="8"/>
    <x v="0"/>
    <x v="0"/>
  </r>
  <r>
    <x v="96"/>
    <x v="96"/>
    <x v="1"/>
    <x v="4"/>
    <x v="4"/>
    <x v="0"/>
    <x v="0"/>
    <x v="0"/>
    <x v="0"/>
    <x v="0"/>
    <x v="0"/>
    <x v="0"/>
    <x v="8"/>
    <x v="0"/>
    <x v="0"/>
  </r>
  <r>
    <x v="97"/>
    <x v="97"/>
    <x v="1"/>
    <x v="4"/>
    <x v="4"/>
    <x v="0"/>
    <x v="0"/>
    <x v="0"/>
    <x v="0"/>
    <x v="0"/>
    <x v="0"/>
    <x v="0"/>
    <x v="8"/>
    <x v="0"/>
    <x v="0"/>
  </r>
  <r>
    <x v="98"/>
    <x v="98"/>
    <x v="1"/>
    <x v="4"/>
    <x v="4"/>
    <x v="0"/>
    <x v="0"/>
    <x v="0"/>
    <x v="0"/>
    <x v="0"/>
    <x v="0"/>
    <x v="0"/>
    <x v="8"/>
    <x v="0"/>
    <x v="0"/>
  </r>
  <r>
    <x v="99"/>
    <x v="99"/>
    <x v="1"/>
    <x v="4"/>
    <x v="4"/>
    <x v="0"/>
    <x v="0"/>
    <x v="0"/>
    <x v="0"/>
    <x v="0"/>
    <x v="0"/>
    <x v="0"/>
    <x v="8"/>
    <x v="0"/>
    <x v="0"/>
  </r>
  <r>
    <x v="100"/>
    <x v="100"/>
    <x v="1"/>
    <x v="4"/>
    <x v="4"/>
    <x v="0"/>
    <x v="0"/>
    <x v="0"/>
    <x v="0"/>
    <x v="0"/>
    <x v="0"/>
    <x v="0"/>
    <x v="8"/>
    <x v="0"/>
    <x v="0"/>
  </r>
  <r>
    <x v="101"/>
    <x v="101"/>
    <x v="1"/>
    <x v="4"/>
    <x v="4"/>
    <x v="0"/>
    <x v="0"/>
    <x v="0"/>
    <x v="0"/>
    <x v="0"/>
    <x v="0"/>
    <x v="0"/>
    <x v="8"/>
    <x v="0"/>
    <x v="0"/>
  </r>
  <r>
    <x v="102"/>
    <x v="102"/>
    <x v="1"/>
    <x v="4"/>
    <x v="4"/>
    <x v="0"/>
    <x v="0"/>
    <x v="0"/>
    <x v="0"/>
    <x v="0"/>
    <x v="0"/>
    <x v="0"/>
    <x v="8"/>
    <x v="0"/>
    <x v="0"/>
  </r>
  <r>
    <x v="103"/>
    <x v="103"/>
    <x v="1"/>
    <x v="4"/>
    <x v="4"/>
    <x v="0"/>
    <x v="0"/>
    <x v="0"/>
    <x v="0"/>
    <x v="0"/>
    <x v="0"/>
    <x v="0"/>
    <x v="8"/>
    <x v="0"/>
    <x v="0"/>
  </r>
  <r>
    <x v="104"/>
    <x v="104"/>
    <x v="1"/>
    <x v="4"/>
    <x v="4"/>
    <x v="0"/>
    <x v="0"/>
    <x v="0"/>
    <x v="0"/>
    <x v="0"/>
    <x v="0"/>
    <x v="0"/>
    <x v="8"/>
    <x v="0"/>
    <x v="0"/>
  </r>
  <r>
    <x v="105"/>
    <x v="105"/>
    <x v="1"/>
    <x v="4"/>
    <x v="4"/>
    <x v="0"/>
    <x v="0"/>
    <x v="0"/>
    <x v="0"/>
    <x v="0"/>
    <x v="0"/>
    <x v="0"/>
    <x v="8"/>
    <x v="0"/>
    <x v="0"/>
  </r>
  <r>
    <x v="106"/>
    <x v="106"/>
    <x v="1"/>
    <x v="4"/>
    <x v="4"/>
    <x v="0"/>
    <x v="0"/>
    <x v="0"/>
    <x v="0"/>
    <x v="0"/>
    <x v="0"/>
    <x v="0"/>
    <x v="8"/>
    <x v="0"/>
    <x v="0"/>
  </r>
  <r>
    <x v="107"/>
    <x v="107"/>
    <x v="1"/>
    <x v="4"/>
    <x v="4"/>
    <x v="0"/>
    <x v="0"/>
    <x v="0"/>
    <x v="0"/>
    <x v="0"/>
    <x v="0"/>
    <x v="0"/>
    <x v="8"/>
    <x v="0"/>
    <x v="0"/>
  </r>
  <r>
    <x v="108"/>
    <x v="108"/>
    <x v="1"/>
    <x v="4"/>
    <x v="4"/>
    <x v="0"/>
    <x v="0"/>
    <x v="0"/>
    <x v="0"/>
    <x v="0"/>
    <x v="0"/>
    <x v="0"/>
    <x v="8"/>
    <x v="0"/>
    <x v="0"/>
  </r>
  <r>
    <x v="109"/>
    <x v="109"/>
    <x v="1"/>
    <x v="4"/>
    <x v="4"/>
    <x v="0"/>
    <x v="0"/>
    <x v="0"/>
    <x v="0"/>
    <x v="0"/>
    <x v="0"/>
    <x v="0"/>
    <x v="8"/>
    <x v="0"/>
    <x v="0"/>
  </r>
  <r>
    <x v="110"/>
    <x v="110"/>
    <x v="1"/>
    <x v="4"/>
    <x v="4"/>
    <x v="0"/>
    <x v="0"/>
    <x v="0"/>
    <x v="0"/>
    <x v="0"/>
    <x v="0"/>
    <x v="0"/>
    <x v="8"/>
    <x v="0"/>
    <x v="0"/>
  </r>
  <r>
    <x v="111"/>
    <x v="111"/>
    <x v="1"/>
    <x v="4"/>
    <x v="4"/>
    <x v="0"/>
    <x v="0"/>
    <x v="0"/>
    <x v="0"/>
    <x v="0"/>
    <x v="0"/>
    <x v="0"/>
    <x v="8"/>
    <x v="0"/>
    <x v="0"/>
  </r>
  <r>
    <x v="112"/>
    <x v="112"/>
    <x v="1"/>
    <x v="4"/>
    <x v="4"/>
    <x v="0"/>
    <x v="0"/>
    <x v="0"/>
    <x v="0"/>
    <x v="0"/>
    <x v="0"/>
    <x v="0"/>
    <x v="8"/>
    <x v="0"/>
    <x v="0"/>
  </r>
  <r>
    <x v="113"/>
    <x v="113"/>
    <x v="1"/>
    <x v="4"/>
    <x v="4"/>
    <x v="0"/>
    <x v="0"/>
    <x v="0"/>
    <x v="0"/>
    <x v="0"/>
    <x v="0"/>
    <x v="0"/>
    <x v="8"/>
    <x v="0"/>
    <x v="0"/>
  </r>
  <r>
    <x v="114"/>
    <x v="114"/>
    <x v="1"/>
    <x v="4"/>
    <x v="4"/>
    <x v="0"/>
    <x v="0"/>
    <x v="0"/>
    <x v="0"/>
    <x v="0"/>
    <x v="0"/>
    <x v="0"/>
    <x v="8"/>
    <x v="0"/>
    <x v="0"/>
  </r>
  <r>
    <x v="115"/>
    <x v="115"/>
    <x v="1"/>
    <x v="4"/>
    <x v="4"/>
    <x v="0"/>
    <x v="0"/>
    <x v="0"/>
    <x v="0"/>
    <x v="0"/>
    <x v="0"/>
    <x v="0"/>
    <x v="8"/>
    <x v="0"/>
    <x v="0"/>
  </r>
  <r>
    <x v="116"/>
    <x v="116"/>
    <x v="1"/>
    <x v="4"/>
    <x v="4"/>
    <x v="0"/>
    <x v="0"/>
    <x v="0"/>
    <x v="0"/>
    <x v="0"/>
    <x v="0"/>
    <x v="0"/>
    <x v="8"/>
    <x v="0"/>
    <x v="0"/>
  </r>
  <r>
    <x v="117"/>
    <x v="117"/>
    <x v="1"/>
    <x v="4"/>
    <x v="4"/>
    <x v="0"/>
    <x v="0"/>
    <x v="0"/>
    <x v="0"/>
    <x v="0"/>
    <x v="0"/>
    <x v="0"/>
    <x v="8"/>
    <x v="0"/>
    <x v="0"/>
  </r>
  <r>
    <x v="118"/>
    <x v="118"/>
    <x v="1"/>
    <x v="4"/>
    <x v="4"/>
    <x v="0"/>
    <x v="0"/>
    <x v="0"/>
    <x v="0"/>
    <x v="0"/>
    <x v="0"/>
    <x v="0"/>
    <x v="8"/>
    <x v="0"/>
    <x v="0"/>
  </r>
  <r>
    <x v="119"/>
    <x v="119"/>
    <x v="1"/>
    <x v="4"/>
    <x v="4"/>
    <x v="0"/>
    <x v="0"/>
    <x v="0"/>
    <x v="0"/>
    <x v="0"/>
    <x v="0"/>
    <x v="0"/>
    <x v="8"/>
    <x v="0"/>
    <x v="0"/>
  </r>
  <r>
    <x v="120"/>
    <x v="120"/>
    <x v="1"/>
    <x v="4"/>
    <x v="4"/>
    <x v="0"/>
    <x v="0"/>
    <x v="0"/>
    <x v="0"/>
    <x v="0"/>
    <x v="0"/>
    <x v="0"/>
    <x v="8"/>
    <x v="0"/>
    <x v="0"/>
  </r>
  <r>
    <x v="121"/>
    <x v="121"/>
    <x v="1"/>
    <x v="4"/>
    <x v="4"/>
    <x v="0"/>
    <x v="0"/>
    <x v="0"/>
    <x v="0"/>
    <x v="0"/>
    <x v="0"/>
    <x v="0"/>
    <x v="8"/>
    <x v="0"/>
    <x v="0"/>
  </r>
  <r>
    <x v="122"/>
    <x v="122"/>
    <x v="1"/>
    <x v="4"/>
    <x v="4"/>
    <x v="0"/>
    <x v="0"/>
    <x v="0"/>
    <x v="0"/>
    <x v="0"/>
    <x v="0"/>
    <x v="0"/>
    <x v="8"/>
    <x v="0"/>
    <x v="0"/>
  </r>
  <r>
    <x v="123"/>
    <x v="123"/>
    <x v="1"/>
    <x v="4"/>
    <x v="4"/>
    <x v="0"/>
    <x v="0"/>
    <x v="0"/>
    <x v="0"/>
    <x v="0"/>
    <x v="0"/>
    <x v="0"/>
    <x v="8"/>
    <x v="0"/>
    <x v="0"/>
  </r>
  <r>
    <x v="124"/>
    <x v="124"/>
    <x v="1"/>
    <x v="4"/>
    <x v="4"/>
    <x v="0"/>
    <x v="0"/>
    <x v="0"/>
    <x v="0"/>
    <x v="0"/>
    <x v="0"/>
    <x v="0"/>
    <x v="8"/>
    <x v="0"/>
    <x v="0"/>
  </r>
  <r>
    <x v="125"/>
    <x v="125"/>
    <x v="1"/>
    <x v="4"/>
    <x v="4"/>
    <x v="0"/>
    <x v="0"/>
    <x v="0"/>
    <x v="0"/>
    <x v="0"/>
    <x v="0"/>
    <x v="0"/>
    <x v="8"/>
    <x v="0"/>
    <x v="0"/>
  </r>
  <r>
    <x v="126"/>
    <x v="126"/>
    <x v="1"/>
    <x v="4"/>
    <x v="4"/>
    <x v="0"/>
    <x v="0"/>
    <x v="0"/>
    <x v="0"/>
    <x v="0"/>
    <x v="0"/>
    <x v="0"/>
    <x v="8"/>
    <x v="0"/>
    <x v="0"/>
  </r>
  <r>
    <x v="127"/>
    <x v="127"/>
    <x v="1"/>
    <x v="4"/>
    <x v="4"/>
    <x v="0"/>
    <x v="0"/>
    <x v="0"/>
    <x v="0"/>
    <x v="0"/>
    <x v="0"/>
    <x v="0"/>
    <x v="8"/>
    <x v="0"/>
    <x v="0"/>
  </r>
  <r>
    <x v="128"/>
    <x v="128"/>
    <x v="1"/>
    <x v="4"/>
    <x v="4"/>
    <x v="0"/>
    <x v="0"/>
    <x v="0"/>
    <x v="0"/>
    <x v="0"/>
    <x v="0"/>
    <x v="0"/>
    <x v="8"/>
    <x v="0"/>
    <x v="0"/>
  </r>
  <r>
    <x v="129"/>
    <x v="129"/>
    <x v="1"/>
    <x v="4"/>
    <x v="4"/>
    <x v="0"/>
    <x v="0"/>
    <x v="0"/>
    <x v="0"/>
    <x v="0"/>
    <x v="0"/>
    <x v="0"/>
    <x v="8"/>
    <x v="0"/>
    <x v="0"/>
  </r>
  <r>
    <x v="130"/>
    <x v="130"/>
    <x v="1"/>
    <x v="4"/>
    <x v="4"/>
    <x v="0"/>
    <x v="0"/>
    <x v="0"/>
    <x v="0"/>
    <x v="0"/>
    <x v="0"/>
    <x v="0"/>
    <x v="8"/>
    <x v="0"/>
    <x v="0"/>
  </r>
  <r>
    <x v="131"/>
    <x v="131"/>
    <x v="1"/>
    <x v="4"/>
    <x v="4"/>
    <x v="0"/>
    <x v="0"/>
    <x v="0"/>
    <x v="0"/>
    <x v="0"/>
    <x v="0"/>
    <x v="0"/>
    <x v="8"/>
    <x v="0"/>
    <x v="0"/>
  </r>
  <r>
    <x v="132"/>
    <x v="132"/>
    <x v="1"/>
    <x v="4"/>
    <x v="4"/>
    <x v="0"/>
    <x v="0"/>
    <x v="0"/>
    <x v="0"/>
    <x v="0"/>
    <x v="0"/>
    <x v="0"/>
    <x v="8"/>
    <x v="0"/>
    <x v="0"/>
  </r>
  <r>
    <x v="133"/>
    <x v="133"/>
    <x v="1"/>
    <x v="4"/>
    <x v="4"/>
    <x v="0"/>
    <x v="0"/>
    <x v="0"/>
    <x v="0"/>
    <x v="0"/>
    <x v="0"/>
    <x v="0"/>
    <x v="8"/>
    <x v="0"/>
    <x v="0"/>
  </r>
  <r>
    <x v="134"/>
    <x v="134"/>
    <x v="1"/>
    <x v="4"/>
    <x v="4"/>
    <x v="0"/>
    <x v="0"/>
    <x v="0"/>
    <x v="0"/>
    <x v="0"/>
    <x v="0"/>
    <x v="0"/>
    <x v="8"/>
    <x v="0"/>
    <x v="0"/>
  </r>
  <r>
    <x v="135"/>
    <x v="135"/>
    <x v="1"/>
    <x v="4"/>
    <x v="4"/>
    <x v="0"/>
    <x v="0"/>
    <x v="0"/>
    <x v="0"/>
    <x v="0"/>
    <x v="0"/>
    <x v="0"/>
    <x v="8"/>
    <x v="0"/>
    <x v="0"/>
  </r>
  <r>
    <x v="136"/>
    <x v="136"/>
    <x v="1"/>
    <x v="4"/>
    <x v="4"/>
    <x v="0"/>
    <x v="0"/>
    <x v="0"/>
    <x v="0"/>
    <x v="0"/>
    <x v="0"/>
    <x v="0"/>
    <x v="8"/>
    <x v="0"/>
    <x v="0"/>
  </r>
  <r>
    <x v="137"/>
    <x v="137"/>
    <x v="1"/>
    <x v="4"/>
    <x v="4"/>
    <x v="0"/>
    <x v="0"/>
    <x v="0"/>
    <x v="0"/>
    <x v="0"/>
    <x v="0"/>
    <x v="0"/>
    <x v="8"/>
    <x v="0"/>
    <x v="0"/>
  </r>
  <r>
    <x v="138"/>
    <x v="138"/>
    <x v="1"/>
    <x v="4"/>
    <x v="4"/>
    <x v="0"/>
    <x v="0"/>
    <x v="0"/>
    <x v="0"/>
    <x v="0"/>
    <x v="0"/>
    <x v="0"/>
    <x v="8"/>
    <x v="0"/>
    <x v="0"/>
  </r>
  <r>
    <x v="139"/>
    <x v="139"/>
    <x v="1"/>
    <x v="4"/>
    <x v="4"/>
    <x v="0"/>
    <x v="0"/>
    <x v="0"/>
    <x v="0"/>
    <x v="0"/>
    <x v="0"/>
    <x v="0"/>
    <x v="8"/>
    <x v="0"/>
    <x v="0"/>
  </r>
  <r>
    <x v="140"/>
    <x v="140"/>
    <x v="1"/>
    <x v="4"/>
    <x v="4"/>
    <x v="0"/>
    <x v="0"/>
    <x v="0"/>
    <x v="0"/>
    <x v="0"/>
    <x v="0"/>
    <x v="0"/>
    <x v="8"/>
    <x v="0"/>
    <x v="0"/>
  </r>
  <r>
    <x v="141"/>
    <x v="141"/>
    <x v="1"/>
    <x v="4"/>
    <x v="4"/>
    <x v="0"/>
    <x v="0"/>
    <x v="0"/>
    <x v="0"/>
    <x v="0"/>
    <x v="0"/>
    <x v="0"/>
    <x v="8"/>
    <x v="0"/>
    <x v="0"/>
  </r>
  <r>
    <x v="142"/>
    <x v="142"/>
    <x v="1"/>
    <x v="4"/>
    <x v="4"/>
    <x v="0"/>
    <x v="0"/>
    <x v="0"/>
    <x v="0"/>
    <x v="0"/>
    <x v="0"/>
    <x v="0"/>
    <x v="8"/>
    <x v="0"/>
    <x v="0"/>
  </r>
  <r>
    <x v="143"/>
    <x v="143"/>
    <x v="1"/>
    <x v="4"/>
    <x v="4"/>
    <x v="0"/>
    <x v="0"/>
    <x v="0"/>
    <x v="0"/>
    <x v="0"/>
    <x v="0"/>
    <x v="0"/>
    <x v="8"/>
    <x v="0"/>
    <x v="0"/>
  </r>
  <r>
    <x v="144"/>
    <x v="144"/>
    <x v="1"/>
    <x v="4"/>
    <x v="4"/>
    <x v="0"/>
    <x v="0"/>
    <x v="0"/>
    <x v="0"/>
    <x v="0"/>
    <x v="0"/>
    <x v="0"/>
    <x v="8"/>
    <x v="0"/>
    <x v="0"/>
  </r>
  <r>
    <x v="145"/>
    <x v="145"/>
    <x v="1"/>
    <x v="4"/>
    <x v="4"/>
    <x v="0"/>
    <x v="0"/>
    <x v="0"/>
    <x v="0"/>
    <x v="0"/>
    <x v="0"/>
    <x v="0"/>
    <x v="8"/>
    <x v="0"/>
    <x v="0"/>
  </r>
  <r>
    <x v="146"/>
    <x v="146"/>
    <x v="1"/>
    <x v="4"/>
    <x v="4"/>
    <x v="0"/>
    <x v="0"/>
    <x v="0"/>
    <x v="0"/>
    <x v="0"/>
    <x v="0"/>
    <x v="0"/>
    <x v="8"/>
    <x v="0"/>
    <x v="0"/>
  </r>
  <r>
    <x v="147"/>
    <x v="147"/>
    <x v="1"/>
    <x v="4"/>
    <x v="4"/>
    <x v="0"/>
    <x v="0"/>
    <x v="0"/>
    <x v="0"/>
    <x v="0"/>
    <x v="0"/>
    <x v="0"/>
    <x v="8"/>
    <x v="0"/>
    <x v="0"/>
  </r>
  <r>
    <x v="148"/>
    <x v="148"/>
    <x v="1"/>
    <x v="4"/>
    <x v="4"/>
    <x v="0"/>
    <x v="0"/>
    <x v="0"/>
    <x v="0"/>
    <x v="0"/>
    <x v="0"/>
    <x v="0"/>
    <x v="8"/>
    <x v="0"/>
    <x v="0"/>
  </r>
  <r>
    <x v="149"/>
    <x v="149"/>
    <x v="1"/>
    <x v="4"/>
    <x v="4"/>
    <x v="0"/>
    <x v="0"/>
    <x v="0"/>
    <x v="0"/>
    <x v="0"/>
    <x v="0"/>
    <x v="0"/>
    <x v="8"/>
    <x v="0"/>
    <x v="0"/>
  </r>
  <r>
    <x v="150"/>
    <x v="150"/>
    <x v="1"/>
    <x v="4"/>
    <x v="4"/>
    <x v="0"/>
    <x v="0"/>
    <x v="0"/>
    <x v="0"/>
    <x v="0"/>
    <x v="0"/>
    <x v="0"/>
    <x v="8"/>
    <x v="0"/>
    <x v="0"/>
  </r>
  <r>
    <x v="151"/>
    <x v="151"/>
    <x v="1"/>
    <x v="4"/>
    <x v="4"/>
    <x v="0"/>
    <x v="0"/>
    <x v="0"/>
    <x v="0"/>
    <x v="0"/>
    <x v="0"/>
    <x v="0"/>
    <x v="8"/>
    <x v="0"/>
    <x v="0"/>
  </r>
  <r>
    <x v="152"/>
    <x v="152"/>
    <x v="1"/>
    <x v="4"/>
    <x v="4"/>
    <x v="0"/>
    <x v="0"/>
    <x v="0"/>
    <x v="0"/>
    <x v="0"/>
    <x v="0"/>
    <x v="0"/>
    <x v="8"/>
    <x v="0"/>
    <x v="0"/>
  </r>
  <r>
    <x v="153"/>
    <x v="153"/>
    <x v="1"/>
    <x v="4"/>
    <x v="4"/>
    <x v="0"/>
    <x v="0"/>
    <x v="0"/>
    <x v="0"/>
    <x v="0"/>
    <x v="0"/>
    <x v="0"/>
    <x v="8"/>
    <x v="0"/>
    <x v="0"/>
  </r>
  <r>
    <x v="154"/>
    <x v="154"/>
    <x v="1"/>
    <x v="4"/>
    <x v="4"/>
    <x v="0"/>
    <x v="0"/>
    <x v="0"/>
    <x v="0"/>
    <x v="0"/>
    <x v="0"/>
    <x v="0"/>
    <x v="8"/>
    <x v="0"/>
    <x v="0"/>
  </r>
  <r>
    <x v="155"/>
    <x v="155"/>
    <x v="1"/>
    <x v="4"/>
    <x v="4"/>
    <x v="0"/>
    <x v="0"/>
    <x v="0"/>
    <x v="0"/>
    <x v="0"/>
    <x v="0"/>
    <x v="0"/>
    <x v="8"/>
    <x v="0"/>
    <x v="0"/>
  </r>
  <r>
    <x v="156"/>
    <x v="156"/>
    <x v="1"/>
    <x v="4"/>
    <x v="4"/>
    <x v="0"/>
    <x v="0"/>
    <x v="0"/>
    <x v="0"/>
    <x v="0"/>
    <x v="0"/>
    <x v="0"/>
    <x v="8"/>
    <x v="0"/>
    <x v="0"/>
  </r>
  <r>
    <x v="157"/>
    <x v="157"/>
    <x v="1"/>
    <x v="4"/>
    <x v="4"/>
    <x v="0"/>
    <x v="0"/>
    <x v="0"/>
    <x v="0"/>
    <x v="0"/>
    <x v="0"/>
    <x v="0"/>
    <x v="8"/>
    <x v="0"/>
    <x v="0"/>
  </r>
  <r>
    <x v="158"/>
    <x v="158"/>
    <x v="1"/>
    <x v="4"/>
    <x v="4"/>
    <x v="0"/>
    <x v="0"/>
    <x v="0"/>
    <x v="0"/>
    <x v="0"/>
    <x v="0"/>
    <x v="0"/>
    <x v="8"/>
    <x v="0"/>
    <x v="0"/>
  </r>
  <r>
    <x v="159"/>
    <x v="159"/>
    <x v="1"/>
    <x v="4"/>
    <x v="4"/>
    <x v="0"/>
    <x v="0"/>
    <x v="0"/>
    <x v="0"/>
    <x v="0"/>
    <x v="0"/>
    <x v="0"/>
    <x v="8"/>
    <x v="0"/>
    <x v="0"/>
  </r>
  <r>
    <x v="160"/>
    <x v="160"/>
    <x v="1"/>
    <x v="4"/>
    <x v="4"/>
    <x v="0"/>
    <x v="0"/>
    <x v="0"/>
    <x v="0"/>
    <x v="0"/>
    <x v="0"/>
    <x v="0"/>
    <x v="8"/>
    <x v="0"/>
    <x v="0"/>
  </r>
  <r>
    <x v="161"/>
    <x v="161"/>
    <x v="1"/>
    <x v="4"/>
    <x v="4"/>
    <x v="0"/>
    <x v="0"/>
    <x v="0"/>
    <x v="0"/>
    <x v="0"/>
    <x v="0"/>
    <x v="0"/>
    <x v="8"/>
    <x v="0"/>
    <x v="0"/>
  </r>
  <r>
    <x v="162"/>
    <x v="162"/>
    <x v="1"/>
    <x v="4"/>
    <x v="4"/>
    <x v="0"/>
    <x v="0"/>
    <x v="0"/>
    <x v="0"/>
    <x v="0"/>
    <x v="0"/>
    <x v="0"/>
    <x v="8"/>
    <x v="0"/>
    <x v="0"/>
  </r>
  <r>
    <x v="163"/>
    <x v="163"/>
    <x v="1"/>
    <x v="4"/>
    <x v="4"/>
    <x v="0"/>
    <x v="0"/>
    <x v="0"/>
    <x v="0"/>
    <x v="0"/>
    <x v="0"/>
    <x v="0"/>
    <x v="8"/>
    <x v="0"/>
    <x v="0"/>
  </r>
  <r>
    <x v="164"/>
    <x v="164"/>
    <x v="1"/>
    <x v="4"/>
    <x v="4"/>
    <x v="0"/>
    <x v="0"/>
    <x v="0"/>
    <x v="0"/>
    <x v="0"/>
    <x v="0"/>
    <x v="0"/>
    <x v="8"/>
    <x v="0"/>
    <x v="0"/>
  </r>
  <r>
    <x v="165"/>
    <x v="165"/>
    <x v="1"/>
    <x v="4"/>
    <x v="4"/>
    <x v="0"/>
    <x v="0"/>
    <x v="0"/>
    <x v="0"/>
    <x v="0"/>
    <x v="0"/>
    <x v="0"/>
    <x v="8"/>
    <x v="0"/>
    <x v="0"/>
  </r>
  <r>
    <x v="166"/>
    <x v="166"/>
    <x v="1"/>
    <x v="4"/>
    <x v="4"/>
    <x v="0"/>
    <x v="0"/>
    <x v="0"/>
    <x v="0"/>
    <x v="0"/>
    <x v="0"/>
    <x v="0"/>
    <x v="8"/>
    <x v="0"/>
    <x v="0"/>
  </r>
  <r>
    <x v="167"/>
    <x v="167"/>
    <x v="1"/>
    <x v="4"/>
    <x v="4"/>
    <x v="0"/>
    <x v="0"/>
    <x v="0"/>
    <x v="0"/>
    <x v="0"/>
    <x v="0"/>
    <x v="0"/>
    <x v="8"/>
    <x v="0"/>
    <x v="0"/>
  </r>
  <r>
    <x v="168"/>
    <x v="168"/>
    <x v="1"/>
    <x v="4"/>
    <x v="4"/>
    <x v="0"/>
    <x v="0"/>
    <x v="0"/>
    <x v="0"/>
    <x v="0"/>
    <x v="0"/>
    <x v="0"/>
    <x v="8"/>
    <x v="0"/>
    <x v="0"/>
  </r>
  <r>
    <x v="169"/>
    <x v="169"/>
    <x v="1"/>
    <x v="4"/>
    <x v="4"/>
    <x v="0"/>
    <x v="0"/>
    <x v="0"/>
    <x v="0"/>
    <x v="0"/>
    <x v="0"/>
    <x v="0"/>
    <x v="8"/>
    <x v="0"/>
    <x v="0"/>
  </r>
  <r>
    <x v="170"/>
    <x v="170"/>
    <x v="1"/>
    <x v="4"/>
    <x v="4"/>
    <x v="0"/>
    <x v="0"/>
    <x v="0"/>
    <x v="0"/>
    <x v="0"/>
    <x v="0"/>
    <x v="0"/>
    <x v="8"/>
    <x v="0"/>
    <x v="0"/>
  </r>
  <r>
    <x v="171"/>
    <x v="171"/>
    <x v="1"/>
    <x v="4"/>
    <x v="4"/>
    <x v="0"/>
    <x v="0"/>
    <x v="0"/>
    <x v="0"/>
    <x v="0"/>
    <x v="0"/>
    <x v="0"/>
    <x v="8"/>
    <x v="0"/>
    <x v="0"/>
  </r>
  <r>
    <x v="172"/>
    <x v="172"/>
    <x v="1"/>
    <x v="4"/>
    <x v="4"/>
    <x v="0"/>
    <x v="0"/>
    <x v="0"/>
    <x v="0"/>
    <x v="0"/>
    <x v="0"/>
    <x v="0"/>
    <x v="8"/>
    <x v="0"/>
    <x v="0"/>
  </r>
  <r>
    <x v="173"/>
    <x v="173"/>
    <x v="1"/>
    <x v="4"/>
    <x v="4"/>
    <x v="0"/>
    <x v="0"/>
    <x v="0"/>
    <x v="0"/>
    <x v="0"/>
    <x v="0"/>
    <x v="0"/>
    <x v="8"/>
    <x v="0"/>
    <x v="0"/>
  </r>
  <r>
    <x v="174"/>
    <x v="174"/>
    <x v="1"/>
    <x v="4"/>
    <x v="4"/>
    <x v="0"/>
    <x v="0"/>
    <x v="0"/>
    <x v="0"/>
    <x v="0"/>
    <x v="0"/>
    <x v="0"/>
    <x v="8"/>
    <x v="0"/>
    <x v="0"/>
  </r>
  <r>
    <x v="175"/>
    <x v="175"/>
    <x v="1"/>
    <x v="4"/>
    <x v="4"/>
    <x v="0"/>
    <x v="0"/>
    <x v="0"/>
    <x v="0"/>
    <x v="0"/>
    <x v="0"/>
    <x v="0"/>
    <x v="8"/>
    <x v="0"/>
    <x v="0"/>
  </r>
  <r>
    <x v="176"/>
    <x v="176"/>
    <x v="1"/>
    <x v="4"/>
    <x v="4"/>
    <x v="0"/>
    <x v="0"/>
    <x v="0"/>
    <x v="0"/>
    <x v="0"/>
    <x v="0"/>
    <x v="0"/>
    <x v="8"/>
    <x v="0"/>
    <x v="0"/>
  </r>
  <r>
    <x v="177"/>
    <x v="177"/>
    <x v="1"/>
    <x v="4"/>
    <x v="4"/>
    <x v="0"/>
    <x v="0"/>
    <x v="0"/>
    <x v="0"/>
    <x v="0"/>
    <x v="0"/>
    <x v="0"/>
    <x v="8"/>
    <x v="0"/>
    <x v="0"/>
  </r>
  <r>
    <x v="178"/>
    <x v="178"/>
    <x v="1"/>
    <x v="4"/>
    <x v="4"/>
    <x v="0"/>
    <x v="0"/>
    <x v="0"/>
    <x v="0"/>
    <x v="0"/>
    <x v="0"/>
    <x v="0"/>
    <x v="8"/>
    <x v="0"/>
    <x v="0"/>
  </r>
  <r>
    <x v="179"/>
    <x v="179"/>
    <x v="1"/>
    <x v="4"/>
    <x v="4"/>
    <x v="0"/>
    <x v="0"/>
    <x v="0"/>
    <x v="0"/>
    <x v="0"/>
    <x v="0"/>
    <x v="0"/>
    <x v="8"/>
    <x v="0"/>
    <x v="0"/>
  </r>
  <r>
    <x v="180"/>
    <x v="180"/>
    <x v="1"/>
    <x v="4"/>
    <x v="4"/>
    <x v="0"/>
    <x v="0"/>
    <x v="0"/>
    <x v="0"/>
    <x v="0"/>
    <x v="0"/>
    <x v="0"/>
    <x v="8"/>
    <x v="0"/>
    <x v="0"/>
  </r>
  <r>
    <x v="181"/>
    <x v="181"/>
    <x v="1"/>
    <x v="4"/>
    <x v="4"/>
    <x v="0"/>
    <x v="0"/>
    <x v="0"/>
    <x v="0"/>
    <x v="0"/>
    <x v="0"/>
    <x v="0"/>
    <x v="8"/>
    <x v="0"/>
    <x v="0"/>
  </r>
  <r>
    <x v="182"/>
    <x v="182"/>
    <x v="1"/>
    <x v="4"/>
    <x v="4"/>
    <x v="0"/>
    <x v="0"/>
    <x v="0"/>
    <x v="0"/>
    <x v="0"/>
    <x v="0"/>
    <x v="0"/>
    <x v="8"/>
    <x v="0"/>
    <x v="0"/>
  </r>
  <r>
    <x v="183"/>
    <x v="183"/>
    <x v="1"/>
    <x v="4"/>
    <x v="4"/>
    <x v="0"/>
    <x v="0"/>
    <x v="0"/>
    <x v="0"/>
    <x v="0"/>
    <x v="0"/>
    <x v="0"/>
    <x v="8"/>
    <x v="0"/>
    <x v="0"/>
  </r>
  <r>
    <x v="184"/>
    <x v="184"/>
    <x v="1"/>
    <x v="4"/>
    <x v="4"/>
    <x v="0"/>
    <x v="0"/>
    <x v="0"/>
    <x v="0"/>
    <x v="0"/>
    <x v="0"/>
    <x v="0"/>
    <x v="8"/>
    <x v="0"/>
    <x v="0"/>
  </r>
  <r>
    <x v="185"/>
    <x v="185"/>
    <x v="1"/>
    <x v="4"/>
    <x v="4"/>
    <x v="0"/>
    <x v="0"/>
    <x v="0"/>
    <x v="0"/>
    <x v="0"/>
    <x v="0"/>
    <x v="0"/>
    <x v="8"/>
    <x v="0"/>
    <x v="0"/>
  </r>
  <r>
    <x v="186"/>
    <x v="186"/>
    <x v="1"/>
    <x v="4"/>
    <x v="4"/>
    <x v="0"/>
    <x v="0"/>
    <x v="0"/>
    <x v="0"/>
    <x v="0"/>
    <x v="0"/>
    <x v="0"/>
    <x v="8"/>
    <x v="0"/>
    <x v="0"/>
  </r>
  <r>
    <x v="187"/>
    <x v="187"/>
    <x v="1"/>
    <x v="4"/>
    <x v="4"/>
    <x v="0"/>
    <x v="0"/>
    <x v="0"/>
    <x v="0"/>
    <x v="0"/>
    <x v="0"/>
    <x v="0"/>
    <x v="8"/>
    <x v="0"/>
    <x v="0"/>
  </r>
  <r>
    <x v="188"/>
    <x v="188"/>
    <x v="1"/>
    <x v="4"/>
    <x v="4"/>
    <x v="0"/>
    <x v="0"/>
    <x v="0"/>
    <x v="0"/>
    <x v="0"/>
    <x v="0"/>
    <x v="0"/>
    <x v="8"/>
    <x v="0"/>
    <x v="0"/>
  </r>
  <r>
    <x v="189"/>
    <x v="189"/>
    <x v="1"/>
    <x v="4"/>
    <x v="4"/>
    <x v="0"/>
    <x v="0"/>
    <x v="0"/>
    <x v="0"/>
    <x v="0"/>
    <x v="0"/>
    <x v="0"/>
    <x v="8"/>
    <x v="0"/>
    <x v="0"/>
  </r>
  <r>
    <x v="190"/>
    <x v="190"/>
    <x v="1"/>
    <x v="4"/>
    <x v="4"/>
    <x v="0"/>
    <x v="0"/>
    <x v="0"/>
    <x v="0"/>
    <x v="0"/>
    <x v="0"/>
    <x v="0"/>
    <x v="8"/>
    <x v="0"/>
    <x v="0"/>
  </r>
  <r>
    <x v="191"/>
    <x v="191"/>
    <x v="1"/>
    <x v="4"/>
    <x v="4"/>
    <x v="0"/>
    <x v="0"/>
    <x v="0"/>
    <x v="0"/>
    <x v="0"/>
    <x v="0"/>
    <x v="0"/>
    <x v="8"/>
    <x v="0"/>
    <x v="0"/>
  </r>
  <r>
    <x v="192"/>
    <x v="192"/>
    <x v="1"/>
    <x v="4"/>
    <x v="4"/>
    <x v="0"/>
    <x v="0"/>
    <x v="0"/>
    <x v="0"/>
    <x v="0"/>
    <x v="0"/>
    <x v="0"/>
    <x v="8"/>
    <x v="0"/>
    <x v="0"/>
  </r>
  <r>
    <x v="193"/>
    <x v="193"/>
    <x v="1"/>
    <x v="4"/>
    <x v="4"/>
    <x v="0"/>
    <x v="0"/>
    <x v="0"/>
    <x v="0"/>
    <x v="0"/>
    <x v="0"/>
    <x v="0"/>
    <x v="8"/>
    <x v="0"/>
    <x v="0"/>
  </r>
  <r>
    <x v="194"/>
    <x v="194"/>
    <x v="1"/>
    <x v="4"/>
    <x v="4"/>
    <x v="0"/>
    <x v="0"/>
    <x v="0"/>
    <x v="0"/>
    <x v="0"/>
    <x v="0"/>
    <x v="0"/>
    <x v="8"/>
    <x v="0"/>
    <x v="0"/>
  </r>
  <r>
    <x v="195"/>
    <x v="195"/>
    <x v="1"/>
    <x v="4"/>
    <x v="4"/>
    <x v="0"/>
    <x v="0"/>
    <x v="0"/>
    <x v="0"/>
    <x v="0"/>
    <x v="0"/>
    <x v="0"/>
    <x v="8"/>
    <x v="0"/>
    <x v="0"/>
  </r>
  <r>
    <x v="196"/>
    <x v="196"/>
    <x v="1"/>
    <x v="4"/>
    <x v="4"/>
    <x v="0"/>
    <x v="0"/>
    <x v="0"/>
    <x v="0"/>
    <x v="0"/>
    <x v="0"/>
    <x v="0"/>
    <x v="8"/>
    <x v="0"/>
    <x v="0"/>
  </r>
  <r>
    <x v="197"/>
    <x v="197"/>
    <x v="1"/>
    <x v="4"/>
    <x v="4"/>
    <x v="0"/>
    <x v="0"/>
    <x v="0"/>
    <x v="0"/>
    <x v="0"/>
    <x v="0"/>
    <x v="0"/>
    <x v="8"/>
    <x v="0"/>
    <x v="0"/>
  </r>
  <r>
    <x v="198"/>
    <x v="198"/>
    <x v="1"/>
    <x v="4"/>
    <x v="4"/>
    <x v="0"/>
    <x v="0"/>
    <x v="0"/>
    <x v="0"/>
    <x v="0"/>
    <x v="0"/>
    <x v="0"/>
    <x v="8"/>
    <x v="0"/>
    <x v="0"/>
  </r>
  <r>
    <x v="199"/>
    <x v="199"/>
    <x v="1"/>
    <x v="4"/>
    <x v="4"/>
    <x v="0"/>
    <x v="0"/>
    <x v="0"/>
    <x v="0"/>
    <x v="0"/>
    <x v="0"/>
    <x v="0"/>
    <x v="8"/>
    <x v="0"/>
    <x v="0"/>
  </r>
  <r>
    <x v="200"/>
    <x v="200"/>
    <x v="1"/>
    <x v="4"/>
    <x v="4"/>
    <x v="0"/>
    <x v="0"/>
    <x v="0"/>
    <x v="0"/>
    <x v="0"/>
    <x v="0"/>
    <x v="0"/>
    <x v="8"/>
    <x v="0"/>
    <x v="0"/>
  </r>
  <r>
    <x v="201"/>
    <x v="201"/>
    <x v="1"/>
    <x v="4"/>
    <x v="4"/>
    <x v="0"/>
    <x v="0"/>
    <x v="0"/>
    <x v="0"/>
    <x v="0"/>
    <x v="0"/>
    <x v="0"/>
    <x v="8"/>
    <x v="0"/>
    <x v="0"/>
  </r>
  <r>
    <x v="202"/>
    <x v="202"/>
    <x v="1"/>
    <x v="4"/>
    <x v="4"/>
    <x v="0"/>
    <x v="0"/>
    <x v="0"/>
    <x v="0"/>
    <x v="0"/>
    <x v="0"/>
    <x v="0"/>
    <x v="8"/>
    <x v="0"/>
    <x v="0"/>
  </r>
  <r>
    <x v="203"/>
    <x v="203"/>
    <x v="1"/>
    <x v="4"/>
    <x v="4"/>
    <x v="0"/>
    <x v="0"/>
    <x v="0"/>
    <x v="0"/>
    <x v="0"/>
    <x v="0"/>
    <x v="0"/>
    <x v="8"/>
    <x v="0"/>
    <x v="0"/>
  </r>
  <r>
    <x v="204"/>
    <x v="204"/>
    <x v="1"/>
    <x v="4"/>
    <x v="4"/>
    <x v="0"/>
    <x v="0"/>
    <x v="0"/>
    <x v="0"/>
    <x v="0"/>
    <x v="0"/>
    <x v="0"/>
    <x v="8"/>
    <x v="0"/>
    <x v="0"/>
  </r>
  <r>
    <x v="205"/>
    <x v="205"/>
    <x v="1"/>
    <x v="4"/>
    <x v="4"/>
    <x v="0"/>
    <x v="0"/>
    <x v="0"/>
    <x v="0"/>
    <x v="0"/>
    <x v="0"/>
    <x v="0"/>
    <x v="8"/>
    <x v="0"/>
    <x v="0"/>
  </r>
  <r>
    <x v="206"/>
    <x v="206"/>
    <x v="1"/>
    <x v="4"/>
    <x v="4"/>
    <x v="0"/>
    <x v="0"/>
    <x v="0"/>
    <x v="0"/>
    <x v="0"/>
    <x v="0"/>
    <x v="0"/>
    <x v="8"/>
    <x v="0"/>
    <x v="0"/>
  </r>
  <r>
    <x v="207"/>
    <x v="207"/>
    <x v="1"/>
    <x v="4"/>
    <x v="4"/>
    <x v="0"/>
    <x v="0"/>
    <x v="0"/>
    <x v="0"/>
    <x v="0"/>
    <x v="0"/>
    <x v="0"/>
    <x v="8"/>
    <x v="0"/>
    <x v="0"/>
  </r>
  <r>
    <x v="208"/>
    <x v="208"/>
    <x v="1"/>
    <x v="4"/>
    <x v="4"/>
    <x v="0"/>
    <x v="0"/>
    <x v="0"/>
    <x v="0"/>
    <x v="0"/>
    <x v="0"/>
    <x v="0"/>
    <x v="8"/>
    <x v="0"/>
    <x v="0"/>
  </r>
  <r>
    <x v="209"/>
    <x v="209"/>
    <x v="1"/>
    <x v="4"/>
    <x v="4"/>
    <x v="0"/>
    <x v="0"/>
    <x v="0"/>
    <x v="0"/>
    <x v="0"/>
    <x v="0"/>
    <x v="0"/>
    <x v="8"/>
    <x v="0"/>
    <x v="0"/>
  </r>
  <r>
    <x v="210"/>
    <x v="210"/>
    <x v="1"/>
    <x v="4"/>
    <x v="4"/>
    <x v="0"/>
    <x v="0"/>
    <x v="0"/>
    <x v="0"/>
    <x v="0"/>
    <x v="0"/>
    <x v="0"/>
    <x v="8"/>
    <x v="0"/>
    <x v="0"/>
  </r>
  <r>
    <x v="211"/>
    <x v="211"/>
    <x v="1"/>
    <x v="4"/>
    <x v="4"/>
    <x v="0"/>
    <x v="0"/>
    <x v="0"/>
    <x v="0"/>
    <x v="0"/>
    <x v="0"/>
    <x v="0"/>
    <x v="8"/>
    <x v="0"/>
    <x v="0"/>
  </r>
  <r>
    <x v="212"/>
    <x v="212"/>
    <x v="1"/>
    <x v="4"/>
    <x v="4"/>
    <x v="0"/>
    <x v="0"/>
    <x v="0"/>
    <x v="0"/>
    <x v="0"/>
    <x v="0"/>
    <x v="0"/>
    <x v="8"/>
    <x v="0"/>
    <x v="0"/>
  </r>
  <r>
    <x v="213"/>
    <x v="213"/>
    <x v="1"/>
    <x v="4"/>
    <x v="4"/>
    <x v="0"/>
    <x v="0"/>
    <x v="0"/>
    <x v="0"/>
    <x v="0"/>
    <x v="0"/>
    <x v="0"/>
    <x v="8"/>
    <x v="0"/>
    <x v="0"/>
  </r>
  <r>
    <x v="214"/>
    <x v="214"/>
    <x v="1"/>
    <x v="4"/>
    <x v="4"/>
    <x v="0"/>
    <x v="0"/>
    <x v="0"/>
    <x v="0"/>
    <x v="0"/>
    <x v="0"/>
    <x v="0"/>
    <x v="8"/>
    <x v="0"/>
    <x v="0"/>
  </r>
  <r>
    <x v="215"/>
    <x v="215"/>
    <x v="1"/>
    <x v="4"/>
    <x v="4"/>
    <x v="0"/>
    <x v="0"/>
    <x v="0"/>
    <x v="0"/>
    <x v="0"/>
    <x v="0"/>
    <x v="0"/>
    <x v="8"/>
    <x v="0"/>
    <x v="0"/>
  </r>
  <r>
    <x v="216"/>
    <x v="216"/>
    <x v="1"/>
    <x v="4"/>
    <x v="4"/>
    <x v="0"/>
    <x v="0"/>
    <x v="0"/>
    <x v="0"/>
    <x v="0"/>
    <x v="0"/>
    <x v="0"/>
    <x v="8"/>
    <x v="0"/>
    <x v="0"/>
  </r>
  <r>
    <x v="217"/>
    <x v="217"/>
    <x v="1"/>
    <x v="4"/>
    <x v="4"/>
    <x v="0"/>
    <x v="0"/>
    <x v="0"/>
    <x v="0"/>
    <x v="0"/>
    <x v="0"/>
    <x v="0"/>
    <x v="8"/>
    <x v="0"/>
    <x v="0"/>
  </r>
  <r>
    <x v="218"/>
    <x v="218"/>
    <x v="1"/>
    <x v="4"/>
    <x v="4"/>
    <x v="0"/>
    <x v="0"/>
    <x v="0"/>
    <x v="0"/>
    <x v="0"/>
    <x v="0"/>
    <x v="0"/>
    <x v="8"/>
    <x v="0"/>
    <x v="0"/>
  </r>
  <r>
    <x v="219"/>
    <x v="219"/>
    <x v="1"/>
    <x v="4"/>
    <x v="4"/>
    <x v="0"/>
    <x v="0"/>
    <x v="0"/>
    <x v="0"/>
    <x v="0"/>
    <x v="0"/>
    <x v="0"/>
    <x v="8"/>
    <x v="0"/>
    <x v="0"/>
  </r>
  <r>
    <x v="220"/>
    <x v="220"/>
    <x v="1"/>
    <x v="4"/>
    <x v="4"/>
    <x v="0"/>
    <x v="0"/>
    <x v="0"/>
    <x v="0"/>
    <x v="0"/>
    <x v="0"/>
    <x v="0"/>
    <x v="8"/>
    <x v="0"/>
    <x v="0"/>
  </r>
  <r>
    <x v="221"/>
    <x v="221"/>
    <x v="1"/>
    <x v="4"/>
    <x v="4"/>
    <x v="0"/>
    <x v="0"/>
    <x v="0"/>
    <x v="0"/>
    <x v="0"/>
    <x v="0"/>
    <x v="0"/>
    <x v="8"/>
    <x v="0"/>
    <x v="0"/>
  </r>
  <r>
    <x v="222"/>
    <x v="222"/>
    <x v="1"/>
    <x v="4"/>
    <x v="4"/>
    <x v="0"/>
    <x v="0"/>
    <x v="0"/>
    <x v="0"/>
    <x v="0"/>
    <x v="0"/>
    <x v="0"/>
    <x v="8"/>
    <x v="0"/>
    <x v="0"/>
  </r>
  <r>
    <x v="223"/>
    <x v="223"/>
    <x v="1"/>
    <x v="4"/>
    <x v="4"/>
    <x v="0"/>
    <x v="0"/>
    <x v="0"/>
    <x v="0"/>
    <x v="0"/>
    <x v="0"/>
    <x v="0"/>
    <x v="8"/>
    <x v="0"/>
    <x v="0"/>
  </r>
  <r>
    <x v="224"/>
    <x v="224"/>
    <x v="1"/>
    <x v="4"/>
    <x v="4"/>
    <x v="0"/>
    <x v="0"/>
    <x v="0"/>
    <x v="0"/>
    <x v="0"/>
    <x v="0"/>
    <x v="0"/>
    <x v="8"/>
    <x v="0"/>
    <x v="0"/>
  </r>
  <r>
    <x v="225"/>
    <x v="225"/>
    <x v="1"/>
    <x v="4"/>
    <x v="4"/>
    <x v="0"/>
    <x v="0"/>
    <x v="0"/>
    <x v="0"/>
    <x v="0"/>
    <x v="0"/>
    <x v="0"/>
    <x v="8"/>
    <x v="0"/>
    <x v="0"/>
  </r>
  <r>
    <x v="226"/>
    <x v="226"/>
    <x v="1"/>
    <x v="4"/>
    <x v="4"/>
    <x v="0"/>
    <x v="0"/>
    <x v="0"/>
    <x v="0"/>
    <x v="0"/>
    <x v="0"/>
    <x v="0"/>
    <x v="8"/>
    <x v="0"/>
    <x v="0"/>
  </r>
  <r>
    <x v="227"/>
    <x v="227"/>
    <x v="1"/>
    <x v="4"/>
    <x v="4"/>
    <x v="0"/>
    <x v="0"/>
    <x v="0"/>
    <x v="0"/>
    <x v="0"/>
    <x v="0"/>
    <x v="0"/>
    <x v="8"/>
    <x v="0"/>
    <x v="0"/>
  </r>
  <r>
    <x v="228"/>
    <x v="228"/>
    <x v="1"/>
    <x v="4"/>
    <x v="4"/>
    <x v="0"/>
    <x v="0"/>
    <x v="0"/>
    <x v="0"/>
    <x v="0"/>
    <x v="0"/>
    <x v="0"/>
    <x v="8"/>
    <x v="0"/>
    <x v="0"/>
  </r>
  <r>
    <x v="229"/>
    <x v="229"/>
    <x v="1"/>
    <x v="4"/>
    <x v="4"/>
    <x v="0"/>
    <x v="0"/>
    <x v="0"/>
    <x v="0"/>
    <x v="0"/>
    <x v="0"/>
    <x v="0"/>
    <x v="8"/>
    <x v="0"/>
    <x v="0"/>
  </r>
  <r>
    <x v="230"/>
    <x v="230"/>
    <x v="1"/>
    <x v="4"/>
    <x v="4"/>
    <x v="0"/>
    <x v="0"/>
    <x v="0"/>
    <x v="0"/>
    <x v="0"/>
    <x v="0"/>
    <x v="0"/>
    <x v="8"/>
    <x v="0"/>
    <x v="0"/>
  </r>
  <r>
    <x v="231"/>
    <x v="231"/>
    <x v="1"/>
    <x v="4"/>
    <x v="4"/>
    <x v="0"/>
    <x v="0"/>
    <x v="0"/>
    <x v="0"/>
    <x v="0"/>
    <x v="0"/>
    <x v="0"/>
    <x v="8"/>
    <x v="0"/>
    <x v="0"/>
  </r>
  <r>
    <x v="232"/>
    <x v="232"/>
    <x v="1"/>
    <x v="4"/>
    <x v="4"/>
    <x v="0"/>
    <x v="0"/>
    <x v="0"/>
    <x v="0"/>
    <x v="0"/>
    <x v="0"/>
    <x v="0"/>
    <x v="8"/>
    <x v="0"/>
    <x v="0"/>
  </r>
  <r>
    <x v="233"/>
    <x v="233"/>
    <x v="1"/>
    <x v="4"/>
    <x v="4"/>
    <x v="0"/>
    <x v="0"/>
    <x v="0"/>
    <x v="0"/>
    <x v="0"/>
    <x v="0"/>
    <x v="0"/>
    <x v="8"/>
    <x v="0"/>
    <x v="0"/>
  </r>
  <r>
    <x v="234"/>
    <x v="234"/>
    <x v="1"/>
    <x v="4"/>
    <x v="4"/>
    <x v="0"/>
    <x v="0"/>
    <x v="0"/>
    <x v="0"/>
    <x v="0"/>
    <x v="0"/>
    <x v="0"/>
    <x v="8"/>
    <x v="0"/>
    <x v="0"/>
  </r>
  <r>
    <x v="235"/>
    <x v="235"/>
    <x v="1"/>
    <x v="4"/>
    <x v="4"/>
    <x v="0"/>
    <x v="0"/>
    <x v="0"/>
    <x v="0"/>
    <x v="0"/>
    <x v="0"/>
    <x v="0"/>
    <x v="8"/>
    <x v="0"/>
    <x v="0"/>
  </r>
  <r>
    <x v="236"/>
    <x v="236"/>
    <x v="1"/>
    <x v="4"/>
    <x v="4"/>
    <x v="0"/>
    <x v="0"/>
    <x v="0"/>
    <x v="0"/>
    <x v="0"/>
    <x v="0"/>
    <x v="0"/>
    <x v="8"/>
    <x v="0"/>
    <x v="0"/>
  </r>
  <r>
    <x v="237"/>
    <x v="237"/>
    <x v="1"/>
    <x v="4"/>
    <x v="4"/>
    <x v="0"/>
    <x v="0"/>
    <x v="0"/>
    <x v="0"/>
    <x v="0"/>
    <x v="0"/>
    <x v="0"/>
    <x v="8"/>
    <x v="0"/>
    <x v="0"/>
  </r>
  <r>
    <x v="238"/>
    <x v="238"/>
    <x v="1"/>
    <x v="4"/>
    <x v="4"/>
    <x v="0"/>
    <x v="0"/>
    <x v="0"/>
    <x v="0"/>
    <x v="0"/>
    <x v="0"/>
    <x v="0"/>
    <x v="8"/>
    <x v="0"/>
    <x v="0"/>
  </r>
  <r>
    <x v="239"/>
    <x v="239"/>
    <x v="1"/>
    <x v="4"/>
    <x v="4"/>
    <x v="0"/>
    <x v="0"/>
    <x v="0"/>
    <x v="0"/>
    <x v="0"/>
    <x v="0"/>
    <x v="0"/>
    <x v="8"/>
    <x v="0"/>
    <x v="0"/>
  </r>
  <r>
    <x v="240"/>
    <x v="240"/>
    <x v="1"/>
    <x v="4"/>
    <x v="4"/>
    <x v="0"/>
    <x v="0"/>
    <x v="0"/>
    <x v="0"/>
    <x v="0"/>
    <x v="0"/>
    <x v="0"/>
    <x v="8"/>
    <x v="0"/>
    <x v="0"/>
  </r>
  <r>
    <x v="241"/>
    <x v="241"/>
    <x v="1"/>
    <x v="4"/>
    <x v="4"/>
    <x v="0"/>
    <x v="0"/>
    <x v="0"/>
    <x v="0"/>
    <x v="0"/>
    <x v="0"/>
    <x v="0"/>
    <x v="8"/>
    <x v="0"/>
    <x v="0"/>
  </r>
  <r>
    <x v="242"/>
    <x v="242"/>
    <x v="1"/>
    <x v="4"/>
    <x v="4"/>
    <x v="0"/>
    <x v="0"/>
    <x v="0"/>
    <x v="0"/>
    <x v="0"/>
    <x v="0"/>
    <x v="0"/>
    <x v="8"/>
    <x v="0"/>
    <x v="0"/>
  </r>
  <r>
    <x v="243"/>
    <x v="243"/>
    <x v="1"/>
    <x v="4"/>
    <x v="4"/>
    <x v="0"/>
    <x v="0"/>
    <x v="0"/>
    <x v="0"/>
    <x v="0"/>
    <x v="0"/>
    <x v="0"/>
    <x v="8"/>
    <x v="0"/>
    <x v="0"/>
  </r>
  <r>
    <x v="244"/>
    <x v="244"/>
    <x v="1"/>
    <x v="4"/>
    <x v="4"/>
    <x v="0"/>
    <x v="0"/>
    <x v="0"/>
    <x v="0"/>
    <x v="0"/>
    <x v="0"/>
    <x v="0"/>
    <x v="8"/>
    <x v="0"/>
    <x v="0"/>
  </r>
  <r>
    <x v="245"/>
    <x v="245"/>
    <x v="1"/>
    <x v="4"/>
    <x v="4"/>
    <x v="0"/>
    <x v="0"/>
    <x v="0"/>
    <x v="0"/>
    <x v="0"/>
    <x v="0"/>
    <x v="0"/>
    <x v="8"/>
    <x v="0"/>
    <x v="0"/>
  </r>
  <r>
    <x v="246"/>
    <x v="246"/>
    <x v="1"/>
    <x v="4"/>
    <x v="4"/>
    <x v="0"/>
    <x v="0"/>
    <x v="0"/>
    <x v="0"/>
    <x v="0"/>
    <x v="0"/>
    <x v="0"/>
    <x v="8"/>
    <x v="0"/>
    <x v="0"/>
  </r>
  <r>
    <x v="247"/>
    <x v="247"/>
    <x v="1"/>
    <x v="4"/>
    <x v="4"/>
    <x v="0"/>
    <x v="0"/>
    <x v="0"/>
    <x v="0"/>
    <x v="0"/>
    <x v="0"/>
    <x v="0"/>
    <x v="8"/>
    <x v="0"/>
    <x v="0"/>
  </r>
  <r>
    <x v="248"/>
    <x v="248"/>
    <x v="1"/>
    <x v="4"/>
    <x v="4"/>
    <x v="0"/>
    <x v="0"/>
    <x v="0"/>
    <x v="0"/>
    <x v="0"/>
    <x v="0"/>
    <x v="0"/>
    <x v="8"/>
    <x v="0"/>
    <x v="0"/>
  </r>
  <r>
    <x v="249"/>
    <x v="249"/>
    <x v="1"/>
    <x v="4"/>
    <x v="4"/>
    <x v="0"/>
    <x v="0"/>
    <x v="0"/>
    <x v="0"/>
    <x v="0"/>
    <x v="0"/>
    <x v="0"/>
    <x v="8"/>
    <x v="0"/>
    <x v="0"/>
  </r>
  <r>
    <x v="250"/>
    <x v="250"/>
    <x v="1"/>
    <x v="4"/>
    <x v="4"/>
    <x v="0"/>
    <x v="0"/>
    <x v="0"/>
    <x v="0"/>
    <x v="0"/>
    <x v="0"/>
    <x v="0"/>
    <x v="8"/>
    <x v="0"/>
    <x v="0"/>
  </r>
  <r>
    <x v="251"/>
    <x v="251"/>
    <x v="1"/>
    <x v="4"/>
    <x v="4"/>
    <x v="0"/>
    <x v="0"/>
    <x v="0"/>
    <x v="0"/>
    <x v="0"/>
    <x v="0"/>
    <x v="0"/>
    <x v="8"/>
    <x v="0"/>
    <x v="0"/>
  </r>
  <r>
    <x v="252"/>
    <x v="252"/>
    <x v="1"/>
    <x v="4"/>
    <x v="4"/>
    <x v="0"/>
    <x v="0"/>
    <x v="0"/>
    <x v="0"/>
    <x v="0"/>
    <x v="0"/>
    <x v="0"/>
    <x v="8"/>
    <x v="0"/>
    <x v="0"/>
  </r>
  <r>
    <x v="253"/>
    <x v="253"/>
    <x v="1"/>
    <x v="4"/>
    <x v="4"/>
    <x v="0"/>
    <x v="0"/>
    <x v="0"/>
    <x v="0"/>
    <x v="0"/>
    <x v="0"/>
    <x v="0"/>
    <x v="8"/>
    <x v="0"/>
    <x v="0"/>
  </r>
  <r>
    <x v="254"/>
    <x v="254"/>
    <x v="1"/>
    <x v="4"/>
    <x v="4"/>
    <x v="0"/>
    <x v="0"/>
    <x v="0"/>
    <x v="0"/>
    <x v="0"/>
    <x v="0"/>
    <x v="0"/>
    <x v="8"/>
    <x v="0"/>
    <x v="0"/>
  </r>
  <r>
    <x v="255"/>
    <x v="255"/>
    <x v="1"/>
    <x v="4"/>
    <x v="4"/>
    <x v="0"/>
    <x v="0"/>
    <x v="0"/>
    <x v="0"/>
    <x v="0"/>
    <x v="0"/>
    <x v="0"/>
    <x v="8"/>
    <x v="0"/>
    <x v="0"/>
  </r>
  <r>
    <x v="256"/>
    <x v="256"/>
    <x v="1"/>
    <x v="4"/>
    <x v="4"/>
    <x v="0"/>
    <x v="0"/>
    <x v="0"/>
    <x v="0"/>
    <x v="0"/>
    <x v="0"/>
    <x v="0"/>
    <x v="8"/>
    <x v="0"/>
    <x v="0"/>
  </r>
  <r>
    <x v="257"/>
    <x v="257"/>
    <x v="1"/>
    <x v="4"/>
    <x v="4"/>
    <x v="0"/>
    <x v="0"/>
    <x v="0"/>
    <x v="0"/>
    <x v="0"/>
    <x v="0"/>
    <x v="0"/>
    <x v="8"/>
    <x v="0"/>
    <x v="0"/>
  </r>
  <r>
    <x v="258"/>
    <x v="258"/>
    <x v="1"/>
    <x v="4"/>
    <x v="4"/>
    <x v="0"/>
    <x v="0"/>
    <x v="0"/>
    <x v="0"/>
    <x v="0"/>
    <x v="0"/>
    <x v="0"/>
    <x v="8"/>
    <x v="0"/>
    <x v="0"/>
  </r>
  <r>
    <x v="259"/>
    <x v="259"/>
    <x v="1"/>
    <x v="4"/>
    <x v="4"/>
    <x v="0"/>
    <x v="0"/>
    <x v="0"/>
    <x v="0"/>
    <x v="0"/>
    <x v="0"/>
    <x v="0"/>
    <x v="8"/>
    <x v="0"/>
    <x v="0"/>
  </r>
  <r>
    <x v="260"/>
    <x v="260"/>
    <x v="1"/>
    <x v="4"/>
    <x v="4"/>
    <x v="0"/>
    <x v="0"/>
    <x v="0"/>
    <x v="0"/>
    <x v="0"/>
    <x v="0"/>
    <x v="0"/>
    <x v="8"/>
    <x v="0"/>
    <x v="0"/>
  </r>
  <r>
    <x v="261"/>
    <x v="261"/>
    <x v="1"/>
    <x v="4"/>
    <x v="4"/>
    <x v="0"/>
    <x v="0"/>
    <x v="0"/>
    <x v="0"/>
    <x v="0"/>
    <x v="0"/>
    <x v="0"/>
    <x v="8"/>
    <x v="0"/>
    <x v="0"/>
  </r>
  <r>
    <x v="262"/>
    <x v="262"/>
    <x v="1"/>
    <x v="4"/>
    <x v="4"/>
    <x v="0"/>
    <x v="0"/>
    <x v="0"/>
    <x v="0"/>
    <x v="0"/>
    <x v="0"/>
    <x v="0"/>
    <x v="8"/>
    <x v="0"/>
    <x v="0"/>
  </r>
  <r>
    <x v="263"/>
    <x v="263"/>
    <x v="1"/>
    <x v="4"/>
    <x v="4"/>
    <x v="0"/>
    <x v="0"/>
    <x v="0"/>
    <x v="0"/>
    <x v="0"/>
    <x v="0"/>
    <x v="0"/>
    <x v="8"/>
    <x v="0"/>
    <x v="0"/>
  </r>
  <r>
    <x v="264"/>
    <x v="264"/>
    <x v="1"/>
    <x v="4"/>
    <x v="4"/>
    <x v="0"/>
    <x v="0"/>
    <x v="0"/>
    <x v="0"/>
    <x v="0"/>
    <x v="0"/>
    <x v="0"/>
    <x v="8"/>
    <x v="0"/>
    <x v="0"/>
  </r>
  <r>
    <x v="265"/>
    <x v="265"/>
    <x v="1"/>
    <x v="4"/>
    <x v="4"/>
    <x v="0"/>
    <x v="0"/>
    <x v="0"/>
    <x v="0"/>
    <x v="0"/>
    <x v="0"/>
    <x v="0"/>
    <x v="8"/>
    <x v="0"/>
    <x v="0"/>
  </r>
  <r>
    <x v="266"/>
    <x v="266"/>
    <x v="1"/>
    <x v="4"/>
    <x v="4"/>
    <x v="0"/>
    <x v="0"/>
    <x v="0"/>
    <x v="0"/>
    <x v="0"/>
    <x v="0"/>
    <x v="0"/>
    <x v="8"/>
    <x v="0"/>
    <x v="0"/>
  </r>
  <r>
    <x v="267"/>
    <x v="267"/>
    <x v="1"/>
    <x v="4"/>
    <x v="4"/>
    <x v="0"/>
    <x v="0"/>
    <x v="0"/>
    <x v="0"/>
    <x v="0"/>
    <x v="0"/>
    <x v="0"/>
    <x v="8"/>
    <x v="0"/>
    <x v="0"/>
  </r>
  <r>
    <x v="268"/>
    <x v="268"/>
    <x v="1"/>
    <x v="4"/>
    <x v="4"/>
    <x v="0"/>
    <x v="0"/>
    <x v="0"/>
    <x v="0"/>
    <x v="0"/>
    <x v="0"/>
    <x v="0"/>
    <x v="8"/>
    <x v="0"/>
    <x v="0"/>
  </r>
  <r>
    <x v="269"/>
    <x v="269"/>
    <x v="1"/>
    <x v="4"/>
    <x v="4"/>
    <x v="0"/>
    <x v="0"/>
    <x v="0"/>
    <x v="0"/>
    <x v="0"/>
    <x v="0"/>
    <x v="0"/>
    <x v="8"/>
    <x v="0"/>
    <x v="0"/>
  </r>
  <r>
    <x v="270"/>
    <x v="270"/>
    <x v="1"/>
    <x v="4"/>
    <x v="4"/>
    <x v="0"/>
    <x v="0"/>
    <x v="0"/>
    <x v="0"/>
    <x v="0"/>
    <x v="0"/>
    <x v="0"/>
    <x v="8"/>
    <x v="0"/>
    <x v="0"/>
  </r>
  <r>
    <x v="271"/>
    <x v="271"/>
    <x v="1"/>
    <x v="4"/>
    <x v="4"/>
    <x v="0"/>
    <x v="0"/>
    <x v="0"/>
    <x v="0"/>
    <x v="0"/>
    <x v="0"/>
    <x v="0"/>
    <x v="8"/>
    <x v="0"/>
    <x v="0"/>
  </r>
  <r>
    <x v="272"/>
    <x v="272"/>
    <x v="1"/>
    <x v="4"/>
    <x v="4"/>
    <x v="0"/>
    <x v="0"/>
    <x v="0"/>
    <x v="0"/>
    <x v="0"/>
    <x v="0"/>
    <x v="0"/>
    <x v="8"/>
    <x v="0"/>
    <x v="0"/>
  </r>
  <r>
    <x v="273"/>
    <x v="273"/>
    <x v="1"/>
    <x v="4"/>
    <x v="4"/>
    <x v="0"/>
    <x v="0"/>
    <x v="0"/>
    <x v="0"/>
    <x v="0"/>
    <x v="0"/>
    <x v="0"/>
    <x v="8"/>
    <x v="0"/>
    <x v="0"/>
  </r>
  <r>
    <x v="274"/>
    <x v="274"/>
    <x v="4"/>
    <x v="2"/>
    <x v="2"/>
    <x v="0"/>
    <x v="0"/>
    <x v="0"/>
    <x v="0"/>
    <x v="0"/>
    <x v="5"/>
    <x v="0"/>
    <x v="8"/>
    <x v="0"/>
    <x v="0"/>
  </r>
  <r>
    <x v="275"/>
    <x v="275"/>
    <x v="1"/>
    <x v="2"/>
    <x v="2"/>
    <x v="0"/>
    <x v="0"/>
    <x v="0"/>
    <x v="0"/>
    <x v="0"/>
    <x v="0"/>
    <x v="0"/>
    <x v="9"/>
    <x v="0"/>
    <x v="0"/>
  </r>
  <r>
    <x v="276"/>
    <x v="276"/>
    <x v="2"/>
    <x v="2"/>
    <x v="2"/>
    <x v="0"/>
    <x v="0"/>
    <x v="0"/>
    <x v="0"/>
    <x v="0"/>
    <x v="5"/>
    <x v="0"/>
    <x v="9"/>
    <x v="0"/>
    <x v="0"/>
  </r>
  <r>
    <x v="277"/>
    <x v="277"/>
    <x v="1"/>
    <x v="2"/>
    <x v="2"/>
    <x v="0"/>
    <x v="0"/>
    <x v="5"/>
    <x v="0"/>
    <x v="0"/>
    <x v="0"/>
    <x v="0"/>
    <x v="9"/>
    <x v="0"/>
    <x v="0"/>
  </r>
  <r>
    <x v="278"/>
    <x v="278"/>
    <x v="1"/>
    <x v="2"/>
    <x v="2"/>
    <x v="0"/>
    <x v="0"/>
    <x v="0"/>
    <x v="0"/>
    <x v="0"/>
    <x v="3"/>
    <x v="0"/>
    <x v="10"/>
    <x v="0"/>
    <x v="0"/>
  </r>
  <r>
    <x v="279"/>
    <x v="279"/>
    <x v="4"/>
    <x v="2"/>
    <x v="2"/>
    <x v="0"/>
    <x v="0"/>
    <x v="0"/>
    <x v="0"/>
    <x v="0"/>
    <x v="6"/>
    <x v="0"/>
    <x v="10"/>
    <x v="0"/>
    <x v="0"/>
  </r>
  <r>
    <x v="280"/>
    <x v="280"/>
    <x v="1"/>
    <x v="4"/>
    <x v="4"/>
    <x v="0"/>
    <x v="0"/>
    <x v="0"/>
    <x v="0"/>
    <x v="0"/>
    <x v="0"/>
    <x v="0"/>
    <x v="11"/>
    <x v="0"/>
    <x v="0"/>
  </r>
  <r>
    <x v="281"/>
    <x v="281"/>
    <x v="1"/>
    <x v="4"/>
    <x v="4"/>
    <x v="0"/>
    <x v="0"/>
    <x v="0"/>
    <x v="0"/>
    <x v="0"/>
    <x v="0"/>
    <x v="0"/>
    <x v="11"/>
    <x v="0"/>
    <x v="0"/>
  </r>
  <r>
    <x v="282"/>
    <x v="282"/>
    <x v="1"/>
    <x v="2"/>
    <x v="2"/>
    <x v="0"/>
    <x v="0"/>
    <x v="0"/>
    <x v="0"/>
    <x v="0"/>
    <x v="0"/>
    <x v="0"/>
    <x v="12"/>
    <x v="0"/>
    <x v="0"/>
  </r>
  <r>
    <x v="283"/>
    <x v="283"/>
    <x v="1"/>
    <x v="2"/>
    <x v="2"/>
    <x v="0"/>
    <x v="0"/>
    <x v="0"/>
    <x v="0"/>
    <x v="0"/>
    <x v="0"/>
    <x v="0"/>
    <x v="13"/>
    <x v="0"/>
    <x v="0"/>
  </r>
  <r>
    <x v="284"/>
    <x v="284"/>
    <x v="2"/>
    <x v="5"/>
    <x v="5"/>
    <x v="0"/>
    <x v="0"/>
    <x v="0"/>
    <x v="0"/>
    <x v="0"/>
    <x v="7"/>
    <x v="0"/>
    <x v="13"/>
    <x v="0"/>
    <x v="0"/>
  </r>
  <r>
    <x v="285"/>
    <x v="285"/>
    <x v="1"/>
    <x v="5"/>
    <x v="5"/>
    <x v="0"/>
    <x v="0"/>
    <x v="0"/>
    <x v="0"/>
    <x v="0"/>
    <x v="7"/>
    <x v="0"/>
    <x v="13"/>
    <x v="0"/>
    <x v="0"/>
  </r>
  <r>
    <x v="286"/>
    <x v="286"/>
    <x v="1"/>
    <x v="2"/>
    <x v="2"/>
    <x v="0"/>
    <x v="0"/>
    <x v="0"/>
    <x v="0"/>
    <x v="0"/>
    <x v="0"/>
    <x v="0"/>
    <x v="14"/>
    <x v="0"/>
    <x v="0"/>
  </r>
  <r>
    <x v="287"/>
    <x v="287"/>
    <x v="1"/>
    <x v="2"/>
    <x v="2"/>
    <x v="0"/>
    <x v="0"/>
    <x v="0"/>
    <x v="0"/>
    <x v="0"/>
    <x v="0"/>
    <x v="0"/>
    <x v="14"/>
    <x v="0"/>
    <x v="0"/>
  </r>
  <r>
    <x v="288"/>
    <x v="288"/>
    <x v="1"/>
    <x v="2"/>
    <x v="2"/>
    <x v="0"/>
    <x v="0"/>
    <x v="0"/>
    <x v="0"/>
    <x v="0"/>
    <x v="0"/>
    <x v="0"/>
    <x v="14"/>
    <x v="0"/>
    <x v="0"/>
  </r>
  <r>
    <x v="289"/>
    <x v="289"/>
    <x v="1"/>
    <x v="2"/>
    <x v="2"/>
    <x v="0"/>
    <x v="0"/>
    <x v="0"/>
    <x v="0"/>
    <x v="0"/>
    <x v="0"/>
    <x v="0"/>
    <x v="15"/>
    <x v="0"/>
    <x v="0"/>
  </r>
  <r>
    <x v="290"/>
    <x v="290"/>
    <x v="1"/>
    <x v="2"/>
    <x v="2"/>
    <x v="0"/>
    <x v="0"/>
    <x v="0"/>
    <x v="0"/>
    <x v="0"/>
    <x v="0"/>
    <x v="0"/>
    <x v="16"/>
    <x v="0"/>
    <x v="0"/>
  </r>
  <r>
    <x v="291"/>
    <x v="291"/>
    <x v="2"/>
    <x v="1"/>
    <x v="1"/>
    <x v="0"/>
    <x v="0"/>
    <x v="1"/>
    <x v="0"/>
    <x v="0"/>
    <x v="2"/>
    <x v="0"/>
    <x v="17"/>
    <x v="0"/>
    <x v="0"/>
  </r>
  <r>
    <x v="292"/>
    <x v="292"/>
    <x v="1"/>
    <x v="2"/>
    <x v="2"/>
    <x v="0"/>
    <x v="0"/>
    <x v="0"/>
    <x v="0"/>
    <x v="0"/>
    <x v="0"/>
    <x v="0"/>
    <x v="17"/>
    <x v="0"/>
    <x v="0"/>
  </r>
  <r>
    <x v="293"/>
    <x v="293"/>
    <x v="1"/>
    <x v="2"/>
    <x v="2"/>
    <x v="0"/>
    <x v="0"/>
    <x v="2"/>
    <x v="0"/>
    <x v="0"/>
    <x v="0"/>
    <x v="0"/>
    <x v="17"/>
    <x v="0"/>
    <x v="0"/>
  </r>
  <r>
    <x v="294"/>
    <x v="294"/>
    <x v="1"/>
    <x v="1"/>
    <x v="1"/>
    <x v="0"/>
    <x v="0"/>
    <x v="0"/>
    <x v="0"/>
    <x v="0"/>
    <x v="0"/>
    <x v="0"/>
    <x v="18"/>
    <x v="0"/>
    <x v="0"/>
  </r>
  <r>
    <x v="295"/>
    <x v="295"/>
    <x v="1"/>
    <x v="2"/>
    <x v="2"/>
    <x v="0"/>
    <x v="0"/>
    <x v="0"/>
    <x v="0"/>
    <x v="0"/>
    <x v="0"/>
    <x v="0"/>
    <x v="18"/>
    <x v="0"/>
    <x v="0"/>
  </r>
  <r>
    <x v="296"/>
    <x v="296"/>
    <x v="1"/>
    <x v="2"/>
    <x v="2"/>
    <x v="0"/>
    <x v="0"/>
    <x v="0"/>
    <x v="0"/>
    <x v="0"/>
    <x v="0"/>
    <x v="0"/>
    <x v="18"/>
    <x v="0"/>
    <x v="0"/>
  </r>
  <r>
    <x v="297"/>
    <x v="297"/>
    <x v="1"/>
    <x v="2"/>
    <x v="2"/>
    <x v="0"/>
    <x v="0"/>
    <x v="0"/>
    <x v="0"/>
    <x v="0"/>
    <x v="0"/>
    <x v="0"/>
    <x v="18"/>
    <x v="0"/>
    <x v="0"/>
  </r>
  <r>
    <x v="298"/>
    <x v="298"/>
    <x v="1"/>
    <x v="2"/>
    <x v="2"/>
    <x v="0"/>
    <x v="1"/>
    <x v="0"/>
    <x v="0"/>
    <x v="0"/>
    <x v="0"/>
    <x v="0"/>
    <x v="19"/>
    <x v="0"/>
    <x v="0"/>
  </r>
  <r>
    <x v="299"/>
    <x v="299"/>
    <x v="1"/>
    <x v="2"/>
    <x v="2"/>
    <x v="0"/>
    <x v="0"/>
    <x v="0"/>
    <x v="0"/>
    <x v="0"/>
    <x v="0"/>
    <x v="0"/>
    <x v="19"/>
    <x v="0"/>
    <x v="0"/>
  </r>
  <r>
    <x v="300"/>
    <x v="300"/>
    <x v="1"/>
    <x v="2"/>
    <x v="2"/>
    <x v="0"/>
    <x v="0"/>
    <x v="0"/>
    <x v="0"/>
    <x v="0"/>
    <x v="0"/>
    <x v="0"/>
    <x v="19"/>
    <x v="0"/>
    <x v="0"/>
  </r>
  <r>
    <x v="301"/>
    <x v="301"/>
    <x v="1"/>
    <x v="2"/>
    <x v="2"/>
    <x v="0"/>
    <x v="0"/>
    <x v="0"/>
    <x v="0"/>
    <x v="0"/>
    <x v="0"/>
    <x v="0"/>
    <x v="19"/>
    <x v="0"/>
    <x v="0"/>
  </r>
  <r>
    <x v="302"/>
    <x v="302"/>
    <x v="1"/>
    <x v="2"/>
    <x v="2"/>
    <x v="0"/>
    <x v="0"/>
    <x v="0"/>
    <x v="0"/>
    <x v="0"/>
    <x v="0"/>
    <x v="0"/>
    <x v="19"/>
    <x v="0"/>
    <x v="0"/>
  </r>
  <r>
    <x v="303"/>
    <x v="303"/>
    <x v="1"/>
    <x v="2"/>
    <x v="2"/>
    <x v="0"/>
    <x v="0"/>
    <x v="0"/>
    <x v="0"/>
    <x v="0"/>
    <x v="0"/>
    <x v="0"/>
    <x v="19"/>
    <x v="0"/>
    <x v="0"/>
  </r>
  <r>
    <x v="304"/>
    <x v="304"/>
    <x v="1"/>
    <x v="2"/>
    <x v="2"/>
    <x v="0"/>
    <x v="0"/>
    <x v="0"/>
    <x v="0"/>
    <x v="0"/>
    <x v="0"/>
    <x v="0"/>
    <x v="19"/>
    <x v="0"/>
    <x v="0"/>
  </r>
  <r>
    <x v="305"/>
    <x v="305"/>
    <x v="2"/>
    <x v="2"/>
    <x v="2"/>
    <x v="0"/>
    <x v="0"/>
    <x v="3"/>
    <x v="0"/>
    <x v="0"/>
    <x v="8"/>
    <x v="0"/>
    <x v="19"/>
    <x v="0"/>
    <x v="0"/>
  </r>
  <r>
    <x v="306"/>
    <x v="306"/>
    <x v="4"/>
    <x v="2"/>
    <x v="2"/>
    <x v="0"/>
    <x v="0"/>
    <x v="0"/>
    <x v="0"/>
    <x v="0"/>
    <x v="0"/>
    <x v="0"/>
    <x v="19"/>
    <x v="0"/>
    <x v="0"/>
  </r>
  <r>
    <x v="307"/>
    <x v="307"/>
    <x v="1"/>
    <x v="2"/>
    <x v="2"/>
    <x v="0"/>
    <x v="0"/>
    <x v="0"/>
    <x v="0"/>
    <x v="0"/>
    <x v="0"/>
    <x v="0"/>
    <x v="20"/>
    <x v="0"/>
    <x v="0"/>
  </r>
  <r>
    <x v="308"/>
    <x v="308"/>
    <x v="4"/>
    <x v="2"/>
    <x v="2"/>
    <x v="0"/>
    <x v="0"/>
    <x v="0"/>
    <x v="0"/>
    <x v="0"/>
    <x v="9"/>
    <x v="0"/>
    <x v="20"/>
    <x v="0"/>
    <x v="0"/>
  </r>
  <r>
    <x v="309"/>
    <x v="309"/>
    <x v="1"/>
    <x v="3"/>
    <x v="3"/>
    <x v="0"/>
    <x v="0"/>
    <x v="0"/>
    <x v="0"/>
    <x v="0"/>
    <x v="0"/>
    <x v="0"/>
    <x v="21"/>
    <x v="0"/>
    <x v="0"/>
  </r>
  <r>
    <x v="310"/>
    <x v="310"/>
    <x v="1"/>
    <x v="3"/>
    <x v="3"/>
    <x v="0"/>
    <x v="0"/>
    <x v="0"/>
    <x v="0"/>
    <x v="0"/>
    <x v="0"/>
    <x v="0"/>
    <x v="21"/>
    <x v="0"/>
    <x v="0"/>
  </r>
  <r>
    <x v="311"/>
    <x v="311"/>
    <x v="1"/>
    <x v="2"/>
    <x v="2"/>
    <x v="0"/>
    <x v="0"/>
    <x v="0"/>
    <x v="0"/>
    <x v="0"/>
    <x v="0"/>
    <x v="0"/>
    <x v="21"/>
    <x v="0"/>
    <x v="0"/>
  </r>
  <r>
    <x v="312"/>
    <x v="312"/>
    <x v="1"/>
    <x v="2"/>
    <x v="2"/>
    <x v="0"/>
    <x v="0"/>
    <x v="3"/>
    <x v="0"/>
    <x v="0"/>
    <x v="0"/>
    <x v="0"/>
    <x v="21"/>
    <x v="0"/>
    <x v="0"/>
  </r>
  <r>
    <x v="313"/>
    <x v="313"/>
    <x v="1"/>
    <x v="2"/>
    <x v="2"/>
    <x v="0"/>
    <x v="0"/>
    <x v="0"/>
    <x v="0"/>
    <x v="0"/>
    <x v="0"/>
    <x v="0"/>
    <x v="21"/>
    <x v="0"/>
    <x v="0"/>
  </r>
  <r>
    <x v="314"/>
    <x v="314"/>
    <x v="1"/>
    <x v="3"/>
    <x v="3"/>
    <x v="0"/>
    <x v="0"/>
    <x v="0"/>
    <x v="0"/>
    <x v="0"/>
    <x v="4"/>
    <x v="0"/>
    <x v="22"/>
    <x v="0"/>
    <x v="0"/>
  </r>
  <r>
    <x v="315"/>
    <x v="315"/>
    <x v="1"/>
    <x v="2"/>
    <x v="2"/>
    <x v="0"/>
    <x v="0"/>
    <x v="0"/>
    <x v="0"/>
    <x v="0"/>
    <x v="0"/>
    <x v="0"/>
    <x v="22"/>
    <x v="0"/>
    <x v="0"/>
  </r>
  <r>
    <x v="316"/>
    <x v="316"/>
    <x v="1"/>
    <x v="2"/>
    <x v="2"/>
    <x v="0"/>
    <x v="0"/>
    <x v="0"/>
    <x v="0"/>
    <x v="0"/>
    <x v="0"/>
    <x v="0"/>
    <x v="22"/>
    <x v="0"/>
    <x v="0"/>
  </r>
  <r>
    <x v="317"/>
    <x v="317"/>
    <x v="1"/>
    <x v="2"/>
    <x v="2"/>
    <x v="0"/>
    <x v="0"/>
    <x v="0"/>
    <x v="0"/>
    <x v="0"/>
    <x v="0"/>
    <x v="0"/>
    <x v="22"/>
    <x v="0"/>
    <x v="0"/>
  </r>
  <r>
    <x v="318"/>
    <x v="318"/>
    <x v="1"/>
    <x v="2"/>
    <x v="2"/>
    <x v="0"/>
    <x v="0"/>
    <x v="0"/>
    <x v="0"/>
    <x v="0"/>
    <x v="0"/>
    <x v="0"/>
    <x v="22"/>
    <x v="0"/>
    <x v="0"/>
  </r>
  <r>
    <x v="319"/>
    <x v="319"/>
    <x v="1"/>
    <x v="2"/>
    <x v="2"/>
    <x v="0"/>
    <x v="0"/>
    <x v="0"/>
    <x v="0"/>
    <x v="0"/>
    <x v="0"/>
    <x v="0"/>
    <x v="22"/>
    <x v="0"/>
    <x v="0"/>
  </r>
  <r>
    <x v="320"/>
    <x v="320"/>
    <x v="1"/>
    <x v="2"/>
    <x v="2"/>
    <x v="0"/>
    <x v="0"/>
    <x v="0"/>
    <x v="0"/>
    <x v="0"/>
    <x v="0"/>
    <x v="0"/>
    <x v="22"/>
    <x v="0"/>
    <x v="0"/>
  </r>
  <r>
    <x v="321"/>
    <x v="321"/>
    <x v="1"/>
    <x v="2"/>
    <x v="2"/>
    <x v="0"/>
    <x v="0"/>
    <x v="0"/>
    <x v="0"/>
    <x v="0"/>
    <x v="0"/>
    <x v="0"/>
    <x v="22"/>
    <x v="0"/>
    <x v="0"/>
  </r>
  <r>
    <x v="322"/>
    <x v="322"/>
    <x v="1"/>
    <x v="2"/>
    <x v="2"/>
    <x v="0"/>
    <x v="0"/>
    <x v="0"/>
    <x v="0"/>
    <x v="0"/>
    <x v="0"/>
    <x v="0"/>
    <x v="22"/>
    <x v="0"/>
    <x v="0"/>
  </r>
  <r>
    <x v="323"/>
    <x v="323"/>
    <x v="1"/>
    <x v="2"/>
    <x v="2"/>
    <x v="0"/>
    <x v="0"/>
    <x v="0"/>
    <x v="0"/>
    <x v="0"/>
    <x v="0"/>
    <x v="0"/>
    <x v="22"/>
    <x v="0"/>
    <x v="0"/>
  </r>
  <r>
    <x v="324"/>
    <x v="324"/>
    <x v="1"/>
    <x v="2"/>
    <x v="2"/>
    <x v="0"/>
    <x v="0"/>
    <x v="0"/>
    <x v="0"/>
    <x v="0"/>
    <x v="0"/>
    <x v="0"/>
    <x v="22"/>
    <x v="0"/>
    <x v="0"/>
  </r>
  <r>
    <x v="325"/>
    <x v="325"/>
    <x v="1"/>
    <x v="2"/>
    <x v="2"/>
    <x v="0"/>
    <x v="0"/>
    <x v="0"/>
    <x v="0"/>
    <x v="0"/>
    <x v="0"/>
    <x v="0"/>
    <x v="22"/>
    <x v="0"/>
    <x v="0"/>
  </r>
  <r>
    <x v="326"/>
    <x v="326"/>
    <x v="1"/>
    <x v="2"/>
    <x v="2"/>
    <x v="0"/>
    <x v="0"/>
    <x v="0"/>
    <x v="0"/>
    <x v="0"/>
    <x v="0"/>
    <x v="0"/>
    <x v="22"/>
    <x v="0"/>
    <x v="0"/>
  </r>
  <r>
    <x v="327"/>
    <x v="327"/>
    <x v="1"/>
    <x v="2"/>
    <x v="2"/>
    <x v="0"/>
    <x v="0"/>
    <x v="0"/>
    <x v="0"/>
    <x v="0"/>
    <x v="0"/>
    <x v="0"/>
    <x v="22"/>
    <x v="0"/>
    <x v="0"/>
  </r>
  <r>
    <x v="328"/>
    <x v="328"/>
    <x v="1"/>
    <x v="2"/>
    <x v="2"/>
    <x v="0"/>
    <x v="0"/>
    <x v="0"/>
    <x v="0"/>
    <x v="0"/>
    <x v="0"/>
    <x v="0"/>
    <x v="22"/>
    <x v="0"/>
    <x v="0"/>
  </r>
  <r>
    <x v="329"/>
    <x v="329"/>
    <x v="1"/>
    <x v="2"/>
    <x v="2"/>
    <x v="0"/>
    <x v="0"/>
    <x v="0"/>
    <x v="0"/>
    <x v="0"/>
    <x v="0"/>
    <x v="0"/>
    <x v="22"/>
    <x v="0"/>
    <x v="0"/>
  </r>
  <r>
    <x v="330"/>
    <x v="330"/>
    <x v="1"/>
    <x v="2"/>
    <x v="2"/>
    <x v="0"/>
    <x v="0"/>
    <x v="0"/>
    <x v="0"/>
    <x v="0"/>
    <x v="0"/>
    <x v="0"/>
    <x v="22"/>
    <x v="0"/>
    <x v="0"/>
  </r>
  <r>
    <x v="331"/>
    <x v="331"/>
    <x v="1"/>
    <x v="2"/>
    <x v="2"/>
    <x v="0"/>
    <x v="0"/>
    <x v="0"/>
    <x v="0"/>
    <x v="0"/>
    <x v="0"/>
    <x v="0"/>
    <x v="22"/>
    <x v="0"/>
    <x v="0"/>
  </r>
  <r>
    <x v="332"/>
    <x v="332"/>
    <x v="1"/>
    <x v="2"/>
    <x v="2"/>
    <x v="0"/>
    <x v="0"/>
    <x v="0"/>
    <x v="0"/>
    <x v="0"/>
    <x v="0"/>
    <x v="0"/>
    <x v="22"/>
    <x v="0"/>
    <x v="0"/>
  </r>
  <r>
    <x v="333"/>
    <x v="333"/>
    <x v="1"/>
    <x v="2"/>
    <x v="2"/>
    <x v="0"/>
    <x v="0"/>
    <x v="0"/>
    <x v="0"/>
    <x v="0"/>
    <x v="0"/>
    <x v="0"/>
    <x v="22"/>
    <x v="0"/>
    <x v="0"/>
  </r>
  <r>
    <x v="334"/>
    <x v="334"/>
    <x v="1"/>
    <x v="2"/>
    <x v="2"/>
    <x v="0"/>
    <x v="0"/>
    <x v="0"/>
    <x v="0"/>
    <x v="0"/>
    <x v="0"/>
    <x v="0"/>
    <x v="22"/>
    <x v="0"/>
    <x v="0"/>
  </r>
  <r>
    <x v="335"/>
    <x v="335"/>
    <x v="1"/>
    <x v="2"/>
    <x v="2"/>
    <x v="0"/>
    <x v="0"/>
    <x v="0"/>
    <x v="0"/>
    <x v="0"/>
    <x v="0"/>
    <x v="0"/>
    <x v="22"/>
    <x v="0"/>
    <x v="0"/>
  </r>
  <r>
    <x v="336"/>
    <x v="336"/>
    <x v="1"/>
    <x v="2"/>
    <x v="2"/>
    <x v="0"/>
    <x v="0"/>
    <x v="0"/>
    <x v="0"/>
    <x v="0"/>
    <x v="0"/>
    <x v="0"/>
    <x v="22"/>
    <x v="0"/>
    <x v="0"/>
  </r>
  <r>
    <x v="337"/>
    <x v="337"/>
    <x v="1"/>
    <x v="2"/>
    <x v="2"/>
    <x v="0"/>
    <x v="0"/>
    <x v="0"/>
    <x v="0"/>
    <x v="0"/>
    <x v="0"/>
    <x v="0"/>
    <x v="22"/>
    <x v="0"/>
    <x v="0"/>
  </r>
  <r>
    <x v="338"/>
    <x v="338"/>
    <x v="1"/>
    <x v="2"/>
    <x v="2"/>
    <x v="0"/>
    <x v="0"/>
    <x v="0"/>
    <x v="0"/>
    <x v="0"/>
    <x v="0"/>
    <x v="0"/>
    <x v="22"/>
    <x v="0"/>
    <x v="0"/>
  </r>
  <r>
    <x v="339"/>
    <x v="339"/>
    <x v="1"/>
    <x v="2"/>
    <x v="2"/>
    <x v="0"/>
    <x v="0"/>
    <x v="0"/>
    <x v="0"/>
    <x v="0"/>
    <x v="0"/>
    <x v="0"/>
    <x v="22"/>
    <x v="0"/>
    <x v="0"/>
  </r>
  <r>
    <x v="340"/>
    <x v="340"/>
    <x v="1"/>
    <x v="2"/>
    <x v="2"/>
    <x v="0"/>
    <x v="0"/>
    <x v="0"/>
    <x v="0"/>
    <x v="0"/>
    <x v="0"/>
    <x v="0"/>
    <x v="22"/>
    <x v="0"/>
    <x v="0"/>
  </r>
  <r>
    <x v="341"/>
    <x v="341"/>
    <x v="1"/>
    <x v="2"/>
    <x v="2"/>
    <x v="0"/>
    <x v="0"/>
    <x v="0"/>
    <x v="0"/>
    <x v="0"/>
    <x v="0"/>
    <x v="0"/>
    <x v="22"/>
    <x v="0"/>
    <x v="0"/>
  </r>
  <r>
    <x v="342"/>
    <x v="342"/>
    <x v="1"/>
    <x v="2"/>
    <x v="2"/>
    <x v="0"/>
    <x v="0"/>
    <x v="0"/>
    <x v="0"/>
    <x v="0"/>
    <x v="0"/>
    <x v="0"/>
    <x v="22"/>
    <x v="0"/>
    <x v="0"/>
  </r>
  <r>
    <x v="343"/>
    <x v="343"/>
    <x v="1"/>
    <x v="2"/>
    <x v="2"/>
    <x v="0"/>
    <x v="0"/>
    <x v="0"/>
    <x v="0"/>
    <x v="0"/>
    <x v="0"/>
    <x v="0"/>
    <x v="22"/>
    <x v="0"/>
    <x v="0"/>
  </r>
  <r>
    <x v="344"/>
    <x v="344"/>
    <x v="1"/>
    <x v="2"/>
    <x v="2"/>
    <x v="0"/>
    <x v="0"/>
    <x v="0"/>
    <x v="0"/>
    <x v="0"/>
    <x v="0"/>
    <x v="0"/>
    <x v="22"/>
    <x v="0"/>
    <x v="0"/>
  </r>
  <r>
    <x v="345"/>
    <x v="345"/>
    <x v="1"/>
    <x v="2"/>
    <x v="2"/>
    <x v="0"/>
    <x v="0"/>
    <x v="0"/>
    <x v="0"/>
    <x v="0"/>
    <x v="0"/>
    <x v="0"/>
    <x v="22"/>
    <x v="0"/>
    <x v="0"/>
  </r>
  <r>
    <x v="346"/>
    <x v="346"/>
    <x v="1"/>
    <x v="2"/>
    <x v="2"/>
    <x v="0"/>
    <x v="0"/>
    <x v="0"/>
    <x v="0"/>
    <x v="0"/>
    <x v="0"/>
    <x v="0"/>
    <x v="22"/>
    <x v="0"/>
    <x v="0"/>
  </r>
  <r>
    <x v="347"/>
    <x v="347"/>
    <x v="1"/>
    <x v="2"/>
    <x v="2"/>
    <x v="0"/>
    <x v="0"/>
    <x v="0"/>
    <x v="0"/>
    <x v="0"/>
    <x v="0"/>
    <x v="0"/>
    <x v="22"/>
    <x v="0"/>
    <x v="0"/>
  </r>
  <r>
    <x v="348"/>
    <x v="348"/>
    <x v="1"/>
    <x v="2"/>
    <x v="2"/>
    <x v="0"/>
    <x v="0"/>
    <x v="0"/>
    <x v="0"/>
    <x v="0"/>
    <x v="0"/>
    <x v="0"/>
    <x v="22"/>
    <x v="0"/>
    <x v="0"/>
  </r>
  <r>
    <x v="349"/>
    <x v="349"/>
    <x v="1"/>
    <x v="2"/>
    <x v="2"/>
    <x v="0"/>
    <x v="0"/>
    <x v="0"/>
    <x v="0"/>
    <x v="0"/>
    <x v="0"/>
    <x v="0"/>
    <x v="22"/>
    <x v="0"/>
    <x v="0"/>
  </r>
  <r>
    <x v="350"/>
    <x v="350"/>
    <x v="1"/>
    <x v="2"/>
    <x v="2"/>
    <x v="0"/>
    <x v="0"/>
    <x v="0"/>
    <x v="0"/>
    <x v="0"/>
    <x v="0"/>
    <x v="0"/>
    <x v="22"/>
    <x v="0"/>
    <x v="0"/>
  </r>
  <r>
    <x v="351"/>
    <x v="351"/>
    <x v="1"/>
    <x v="2"/>
    <x v="2"/>
    <x v="0"/>
    <x v="0"/>
    <x v="0"/>
    <x v="0"/>
    <x v="0"/>
    <x v="0"/>
    <x v="0"/>
    <x v="22"/>
    <x v="0"/>
    <x v="0"/>
  </r>
  <r>
    <x v="352"/>
    <x v="352"/>
    <x v="1"/>
    <x v="2"/>
    <x v="2"/>
    <x v="0"/>
    <x v="0"/>
    <x v="0"/>
    <x v="0"/>
    <x v="0"/>
    <x v="0"/>
    <x v="0"/>
    <x v="22"/>
    <x v="0"/>
    <x v="0"/>
  </r>
  <r>
    <x v="353"/>
    <x v="353"/>
    <x v="1"/>
    <x v="2"/>
    <x v="2"/>
    <x v="0"/>
    <x v="0"/>
    <x v="0"/>
    <x v="0"/>
    <x v="0"/>
    <x v="0"/>
    <x v="0"/>
    <x v="22"/>
    <x v="0"/>
    <x v="0"/>
  </r>
  <r>
    <x v="354"/>
    <x v="354"/>
    <x v="1"/>
    <x v="2"/>
    <x v="2"/>
    <x v="0"/>
    <x v="0"/>
    <x v="0"/>
    <x v="0"/>
    <x v="0"/>
    <x v="0"/>
    <x v="0"/>
    <x v="22"/>
    <x v="0"/>
    <x v="0"/>
  </r>
  <r>
    <x v="355"/>
    <x v="355"/>
    <x v="1"/>
    <x v="2"/>
    <x v="2"/>
    <x v="0"/>
    <x v="0"/>
    <x v="0"/>
    <x v="0"/>
    <x v="0"/>
    <x v="0"/>
    <x v="0"/>
    <x v="22"/>
    <x v="0"/>
    <x v="0"/>
  </r>
  <r>
    <x v="356"/>
    <x v="356"/>
    <x v="1"/>
    <x v="2"/>
    <x v="2"/>
    <x v="0"/>
    <x v="0"/>
    <x v="0"/>
    <x v="0"/>
    <x v="0"/>
    <x v="0"/>
    <x v="0"/>
    <x v="22"/>
    <x v="0"/>
    <x v="0"/>
  </r>
  <r>
    <x v="357"/>
    <x v="357"/>
    <x v="1"/>
    <x v="2"/>
    <x v="2"/>
    <x v="0"/>
    <x v="0"/>
    <x v="0"/>
    <x v="0"/>
    <x v="0"/>
    <x v="0"/>
    <x v="0"/>
    <x v="22"/>
    <x v="0"/>
    <x v="0"/>
  </r>
  <r>
    <x v="358"/>
    <x v="358"/>
    <x v="1"/>
    <x v="2"/>
    <x v="2"/>
    <x v="0"/>
    <x v="0"/>
    <x v="0"/>
    <x v="0"/>
    <x v="0"/>
    <x v="0"/>
    <x v="0"/>
    <x v="22"/>
    <x v="0"/>
    <x v="0"/>
  </r>
  <r>
    <x v="359"/>
    <x v="359"/>
    <x v="1"/>
    <x v="2"/>
    <x v="2"/>
    <x v="0"/>
    <x v="0"/>
    <x v="0"/>
    <x v="0"/>
    <x v="0"/>
    <x v="0"/>
    <x v="0"/>
    <x v="22"/>
    <x v="0"/>
    <x v="0"/>
  </r>
  <r>
    <x v="360"/>
    <x v="360"/>
    <x v="1"/>
    <x v="2"/>
    <x v="2"/>
    <x v="0"/>
    <x v="0"/>
    <x v="0"/>
    <x v="0"/>
    <x v="0"/>
    <x v="0"/>
    <x v="0"/>
    <x v="22"/>
    <x v="0"/>
    <x v="0"/>
  </r>
  <r>
    <x v="361"/>
    <x v="361"/>
    <x v="1"/>
    <x v="2"/>
    <x v="2"/>
    <x v="0"/>
    <x v="0"/>
    <x v="0"/>
    <x v="0"/>
    <x v="0"/>
    <x v="0"/>
    <x v="0"/>
    <x v="22"/>
    <x v="0"/>
    <x v="0"/>
  </r>
  <r>
    <x v="362"/>
    <x v="362"/>
    <x v="1"/>
    <x v="2"/>
    <x v="2"/>
    <x v="0"/>
    <x v="0"/>
    <x v="0"/>
    <x v="0"/>
    <x v="0"/>
    <x v="0"/>
    <x v="0"/>
    <x v="22"/>
    <x v="0"/>
    <x v="0"/>
  </r>
  <r>
    <x v="363"/>
    <x v="363"/>
    <x v="1"/>
    <x v="2"/>
    <x v="2"/>
    <x v="0"/>
    <x v="0"/>
    <x v="0"/>
    <x v="0"/>
    <x v="0"/>
    <x v="0"/>
    <x v="0"/>
    <x v="22"/>
    <x v="0"/>
    <x v="0"/>
  </r>
  <r>
    <x v="364"/>
    <x v="364"/>
    <x v="1"/>
    <x v="2"/>
    <x v="2"/>
    <x v="0"/>
    <x v="0"/>
    <x v="0"/>
    <x v="0"/>
    <x v="0"/>
    <x v="0"/>
    <x v="0"/>
    <x v="22"/>
    <x v="0"/>
    <x v="0"/>
  </r>
  <r>
    <x v="365"/>
    <x v="365"/>
    <x v="1"/>
    <x v="2"/>
    <x v="2"/>
    <x v="0"/>
    <x v="0"/>
    <x v="0"/>
    <x v="0"/>
    <x v="0"/>
    <x v="0"/>
    <x v="0"/>
    <x v="22"/>
    <x v="0"/>
    <x v="0"/>
  </r>
  <r>
    <x v="366"/>
    <x v="366"/>
    <x v="1"/>
    <x v="2"/>
    <x v="2"/>
    <x v="0"/>
    <x v="0"/>
    <x v="0"/>
    <x v="0"/>
    <x v="0"/>
    <x v="0"/>
    <x v="0"/>
    <x v="22"/>
    <x v="0"/>
    <x v="0"/>
  </r>
  <r>
    <x v="367"/>
    <x v="367"/>
    <x v="1"/>
    <x v="2"/>
    <x v="2"/>
    <x v="0"/>
    <x v="0"/>
    <x v="0"/>
    <x v="0"/>
    <x v="0"/>
    <x v="0"/>
    <x v="0"/>
    <x v="22"/>
    <x v="0"/>
    <x v="0"/>
  </r>
  <r>
    <x v="368"/>
    <x v="368"/>
    <x v="2"/>
    <x v="2"/>
    <x v="2"/>
    <x v="0"/>
    <x v="0"/>
    <x v="0"/>
    <x v="0"/>
    <x v="0"/>
    <x v="10"/>
    <x v="0"/>
    <x v="22"/>
    <x v="0"/>
    <x v="0"/>
  </r>
  <r>
    <x v="369"/>
    <x v="369"/>
    <x v="1"/>
    <x v="5"/>
    <x v="5"/>
    <x v="0"/>
    <x v="0"/>
    <x v="0"/>
    <x v="0"/>
    <x v="0"/>
    <x v="0"/>
    <x v="0"/>
    <x v="22"/>
    <x v="0"/>
    <x v="0"/>
  </r>
  <r>
    <x v="370"/>
    <x v="370"/>
    <x v="1"/>
    <x v="2"/>
    <x v="2"/>
    <x v="0"/>
    <x v="0"/>
    <x v="0"/>
    <x v="0"/>
    <x v="0"/>
    <x v="0"/>
    <x v="0"/>
    <x v="22"/>
    <x v="0"/>
    <x v="0"/>
  </r>
  <r>
    <x v="371"/>
    <x v="371"/>
    <x v="2"/>
    <x v="1"/>
    <x v="1"/>
    <x v="0"/>
    <x v="0"/>
    <x v="0"/>
    <x v="0"/>
    <x v="0"/>
    <x v="11"/>
    <x v="0"/>
    <x v="23"/>
    <x v="0"/>
    <x v="0"/>
  </r>
  <r>
    <x v="372"/>
    <x v="372"/>
    <x v="1"/>
    <x v="2"/>
    <x v="2"/>
    <x v="0"/>
    <x v="0"/>
    <x v="0"/>
    <x v="0"/>
    <x v="0"/>
    <x v="0"/>
    <x v="0"/>
    <x v="23"/>
    <x v="0"/>
    <x v="0"/>
  </r>
  <r>
    <x v="373"/>
    <x v="373"/>
    <x v="8"/>
    <x v="0"/>
    <x v="0"/>
    <x v="0"/>
    <x v="0"/>
    <x v="0"/>
    <x v="0"/>
    <x v="0"/>
    <x v="9"/>
    <x v="0"/>
    <x v="23"/>
    <x v="0"/>
    <x v="0"/>
  </r>
  <r>
    <x v="374"/>
    <x v="374"/>
    <x v="1"/>
    <x v="2"/>
    <x v="2"/>
    <x v="0"/>
    <x v="0"/>
    <x v="0"/>
    <x v="0"/>
    <x v="0"/>
    <x v="0"/>
    <x v="0"/>
    <x v="24"/>
    <x v="0"/>
    <x v="0"/>
  </r>
  <r>
    <x v="375"/>
    <x v="375"/>
    <x v="1"/>
    <x v="2"/>
    <x v="2"/>
    <x v="0"/>
    <x v="0"/>
    <x v="0"/>
    <x v="0"/>
    <x v="0"/>
    <x v="0"/>
    <x v="0"/>
    <x v="24"/>
    <x v="0"/>
    <x v="0"/>
  </r>
  <r>
    <x v="376"/>
    <x v="376"/>
    <x v="1"/>
    <x v="2"/>
    <x v="2"/>
    <x v="0"/>
    <x v="0"/>
    <x v="0"/>
    <x v="0"/>
    <x v="0"/>
    <x v="0"/>
    <x v="0"/>
    <x v="24"/>
    <x v="0"/>
    <x v="0"/>
  </r>
  <r>
    <x v="377"/>
    <x v="377"/>
    <x v="1"/>
    <x v="2"/>
    <x v="2"/>
    <x v="0"/>
    <x v="0"/>
    <x v="0"/>
    <x v="0"/>
    <x v="0"/>
    <x v="0"/>
    <x v="0"/>
    <x v="24"/>
    <x v="0"/>
    <x v="0"/>
  </r>
  <r>
    <x v="378"/>
    <x v="378"/>
    <x v="2"/>
    <x v="2"/>
    <x v="2"/>
    <x v="0"/>
    <x v="0"/>
    <x v="6"/>
    <x v="0"/>
    <x v="0"/>
    <x v="5"/>
    <x v="0"/>
    <x v="24"/>
    <x v="0"/>
    <x v="0"/>
  </r>
  <r>
    <x v="379"/>
    <x v="379"/>
    <x v="1"/>
    <x v="2"/>
    <x v="2"/>
    <x v="0"/>
    <x v="0"/>
    <x v="0"/>
    <x v="0"/>
    <x v="0"/>
    <x v="0"/>
    <x v="0"/>
    <x v="24"/>
    <x v="0"/>
    <x v="0"/>
  </r>
  <r>
    <x v="380"/>
    <x v="380"/>
    <x v="1"/>
    <x v="2"/>
    <x v="2"/>
    <x v="0"/>
    <x v="0"/>
    <x v="0"/>
    <x v="0"/>
    <x v="0"/>
    <x v="0"/>
    <x v="0"/>
    <x v="24"/>
    <x v="0"/>
    <x v="0"/>
  </r>
  <r>
    <x v="381"/>
    <x v="381"/>
    <x v="1"/>
    <x v="2"/>
    <x v="2"/>
    <x v="0"/>
    <x v="0"/>
    <x v="0"/>
    <x v="0"/>
    <x v="0"/>
    <x v="0"/>
    <x v="0"/>
    <x v="24"/>
    <x v="0"/>
    <x v="0"/>
  </r>
  <r>
    <x v="382"/>
    <x v="382"/>
    <x v="1"/>
    <x v="2"/>
    <x v="2"/>
    <x v="0"/>
    <x v="0"/>
    <x v="0"/>
    <x v="0"/>
    <x v="0"/>
    <x v="0"/>
    <x v="0"/>
    <x v="24"/>
    <x v="0"/>
    <x v="0"/>
  </r>
  <r>
    <x v="383"/>
    <x v="383"/>
    <x v="1"/>
    <x v="2"/>
    <x v="2"/>
    <x v="0"/>
    <x v="0"/>
    <x v="0"/>
    <x v="0"/>
    <x v="0"/>
    <x v="0"/>
    <x v="0"/>
    <x v="24"/>
    <x v="0"/>
    <x v="0"/>
  </r>
  <r>
    <x v="384"/>
    <x v="384"/>
    <x v="1"/>
    <x v="2"/>
    <x v="2"/>
    <x v="0"/>
    <x v="0"/>
    <x v="6"/>
    <x v="0"/>
    <x v="0"/>
    <x v="0"/>
    <x v="0"/>
    <x v="24"/>
    <x v="0"/>
    <x v="0"/>
  </r>
  <r>
    <x v="385"/>
    <x v="385"/>
    <x v="1"/>
    <x v="2"/>
    <x v="2"/>
    <x v="0"/>
    <x v="0"/>
    <x v="5"/>
    <x v="0"/>
    <x v="0"/>
    <x v="0"/>
    <x v="0"/>
    <x v="24"/>
    <x v="0"/>
    <x v="0"/>
  </r>
  <r>
    <x v="386"/>
    <x v="386"/>
    <x v="1"/>
    <x v="2"/>
    <x v="2"/>
    <x v="0"/>
    <x v="0"/>
    <x v="0"/>
    <x v="0"/>
    <x v="0"/>
    <x v="0"/>
    <x v="0"/>
    <x v="24"/>
    <x v="0"/>
    <x v="0"/>
  </r>
  <r>
    <x v="387"/>
    <x v="387"/>
    <x v="1"/>
    <x v="2"/>
    <x v="2"/>
    <x v="0"/>
    <x v="1"/>
    <x v="0"/>
    <x v="0"/>
    <x v="0"/>
    <x v="0"/>
    <x v="0"/>
    <x v="24"/>
    <x v="0"/>
    <x v="0"/>
  </r>
  <r>
    <x v="388"/>
    <x v="388"/>
    <x v="2"/>
    <x v="2"/>
    <x v="2"/>
    <x v="0"/>
    <x v="1"/>
    <x v="0"/>
    <x v="0"/>
    <x v="0"/>
    <x v="0"/>
    <x v="0"/>
    <x v="24"/>
    <x v="0"/>
    <x v="0"/>
  </r>
  <r>
    <x v="389"/>
    <x v="389"/>
    <x v="1"/>
    <x v="2"/>
    <x v="2"/>
    <x v="0"/>
    <x v="0"/>
    <x v="0"/>
    <x v="0"/>
    <x v="0"/>
    <x v="0"/>
    <x v="0"/>
    <x v="24"/>
    <x v="0"/>
    <x v="0"/>
  </r>
  <r>
    <x v="390"/>
    <x v="390"/>
    <x v="1"/>
    <x v="2"/>
    <x v="2"/>
    <x v="0"/>
    <x v="0"/>
    <x v="0"/>
    <x v="0"/>
    <x v="0"/>
    <x v="0"/>
    <x v="0"/>
    <x v="24"/>
    <x v="0"/>
    <x v="0"/>
  </r>
  <r>
    <x v="391"/>
    <x v="391"/>
    <x v="3"/>
    <x v="0"/>
    <x v="0"/>
    <x v="0"/>
    <x v="0"/>
    <x v="0"/>
    <x v="0"/>
    <x v="0"/>
    <x v="0"/>
    <x v="0"/>
    <x v="24"/>
    <x v="0"/>
    <x v="0"/>
  </r>
  <r>
    <x v="392"/>
    <x v="391"/>
    <x v="4"/>
    <x v="2"/>
    <x v="2"/>
    <x v="0"/>
    <x v="0"/>
    <x v="0"/>
    <x v="0"/>
    <x v="0"/>
    <x v="0"/>
    <x v="0"/>
    <x v="24"/>
    <x v="0"/>
    <x v="0"/>
  </r>
  <r>
    <x v="393"/>
    <x v="392"/>
    <x v="1"/>
    <x v="2"/>
    <x v="2"/>
    <x v="0"/>
    <x v="0"/>
    <x v="0"/>
    <x v="0"/>
    <x v="0"/>
    <x v="0"/>
    <x v="0"/>
    <x v="24"/>
    <x v="0"/>
    <x v="0"/>
  </r>
  <r>
    <x v="394"/>
    <x v="393"/>
    <x v="1"/>
    <x v="2"/>
    <x v="2"/>
    <x v="0"/>
    <x v="0"/>
    <x v="0"/>
    <x v="0"/>
    <x v="0"/>
    <x v="0"/>
    <x v="0"/>
    <x v="24"/>
    <x v="0"/>
    <x v="0"/>
  </r>
  <r>
    <x v="395"/>
    <x v="394"/>
    <x v="1"/>
    <x v="2"/>
    <x v="2"/>
    <x v="0"/>
    <x v="0"/>
    <x v="0"/>
    <x v="0"/>
    <x v="0"/>
    <x v="0"/>
    <x v="0"/>
    <x v="24"/>
    <x v="0"/>
    <x v="0"/>
  </r>
  <r>
    <x v="396"/>
    <x v="395"/>
    <x v="1"/>
    <x v="2"/>
    <x v="2"/>
    <x v="0"/>
    <x v="0"/>
    <x v="0"/>
    <x v="0"/>
    <x v="0"/>
    <x v="0"/>
    <x v="0"/>
    <x v="25"/>
    <x v="0"/>
    <x v="0"/>
  </r>
  <r>
    <x v="397"/>
    <x v="396"/>
    <x v="6"/>
    <x v="1"/>
    <x v="1"/>
    <x v="0"/>
    <x v="0"/>
    <x v="7"/>
    <x v="0"/>
    <x v="0"/>
    <x v="2"/>
    <x v="0"/>
    <x v="26"/>
    <x v="0"/>
    <x v="0"/>
  </r>
  <r>
    <x v="398"/>
    <x v="397"/>
    <x v="1"/>
    <x v="2"/>
    <x v="2"/>
    <x v="0"/>
    <x v="0"/>
    <x v="0"/>
    <x v="0"/>
    <x v="0"/>
    <x v="0"/>
    <x v="0"/>
    <x v="26"/>
    <x v="0"/>
    <x v="0"/>
  </r>
  <r>
    <x v="399"/>
    <x v="398"/>
    <x v="1"/>
    <x v="2"/>
    <x v="2"/>
    <x v="0"/>
    <x v="2"/>
    <x v="0"/>
    <x v="0"/>
    <x v="0"/>
    <x v="0"/>
    <x v="0"/>
    <x v="27"/>
    <x v="0"/>
    <x v="0"/>
  </r>
  <r>
    <x v="400"/>
    <x v="399"/>
    <x v="1"/>
    <x v="2"/>
    <x v="2"/>
    <x v="0"/>
    <x v="3"/>
    <x v="0"/>
    <x v="0"/>
    <x v="0"/>
    <x v="0"/>
    <x v="0"/>
    <x v="27"/>
    <x v="0"/>
    <x v="0"/>
  </r>
  <r>
    <x v="401"/>
    <x v="400"/>
    <x v="1"/>
    <x v="1"/>
    <x v="1"/>
    <x v="0"/>
    <x v="0"/>
    <x v="0"/>
    <x v="0"/>
    <x v="0"/>
    <x v="0"/>
    <x v="0"/>
    <x v="27"/>
    <x v="0"/>
    <x v="0"/>
  </r>
  <r>
    <x v="402"/>
    <x v="401"/>
    <x v="9"/>
    <x v="0"/>
    <x v="0"/>
    <x v="0"/>
    <x v="0"/>
    <x v="0"/>
    <x v="0"/>
    <x v="0"/>
    <x v="0"/>
    <x v="0"/>
    <x v="27"/>
    <x v="0"/>
    <x v="0"/>
  </r>
  <r>
    <x v="403"/>
    <x v="402"/>
    <x v="3"/>
    <x v="0"/>
    <x v="0"/>
    <x v="0"/>
    <x v="0"/>
    <x v="0"/>
    <x v="0"/>
    <x v="0"/>
    <x v="0"/>
    <x v="0"/>
    <x v="27"/>
    <x v="0"/>
    <x v="0"/>
  </r>
  <r>
    <x v="404"/>
    <x v="403"/>
    <x v="1"/>
    <x v="2"/>
    <x v="2"/>
    <x v="0"/>
    <x v="0"/>
    <x v="0"/>
    <x v="0"/>
    <x v="0"/>
    <x v="0"/>
    <x v="0"/>
    <x v="27"/>
    <x v="0"/>
    <x v="0"/>
  </r>
  <r>
    <x v="405"/>
    <x v="404"/>
    <x v="1"/>
    <x v="2"/>
    <x v="2"/>
    <x v="0"/>
    <x v="0"/>
    <x v="0"/>
    <x v="0"/>
    <x v="0"/>
    <x v="0"/>
    <x v="0"/>
    <x v="27"/>
    <x v="0"/>
    <x v="0"/>
  </r>
  <r>
    <x v="406"/>
    <x v="405"/>
    <x v="1"/>
    <x v="2"/>
    <x v="2"/>
    <x v="0"/>
    <x v="0"/>
    <x v="0"/>
    <x v="0"/>
    <x v="0"/>
    <x v="0"/>
    <x v="0"/>
    <x v="27"/>
    <x v="0"/>
    <x v="0"/>
  </r>
  <r>
    <x v="407"/>
    <x v="406"/>
    <x v="1"/>
    <x v="2"/>
    <x v="2"/>
    <x v="0"/>
    <x v="0"/>
    <x v="0"/>
    <x v="0"/>
    <x v="0"/>
    <x v="0"/>
    <x v="0"/>
    <x v="27"/>
    <x v="0"/>
    <x v="0"/>
  </r>
  <r>
    <x v="408"/>
    <x v="407"/>
    <x v="3"/>
    <x v="0"/>
    <x v="0"/>
    <x v="0"/>
    <x v="0"/>
    <x v="0"/>
    <x v="0"/>
    <x v="0"/>
    <x v="0"/>
    <x v="0"/>
    <x v="27"/>
    <x v="1"/>
    <x v="0"/>
  </r>
  <r>
    <x v="409"/>
    <x v="408"/>
    <x v="4"/>
    <x v="2"/>
    <x v="2"/>
    <x v="0"/>
    <x v="0"/>
    <x v="0"/>
    <x v="0"/>
    <x v="0"/>
    <x v="6"/>
    <x v="0"/>
    <x v="28"/>
    <x v="0"/>
    <x v="0"/>
  </r>
  <r>
    <x v="410"/>
    <x v="409"/>
    <x v="4"/>
    <x v="2"/>
    <x v="2"/>
    <x v="0"/>
    <x v="0"/>
    <x v="0"/>
    <x v="0"/>
    <x v="0"/>
    <x v="0"/>
    <x v="0"/>
    <x v="29"/>
    <x v="0"/>
    <x v="0"/>
  </r>
  <r>
    <x v="411"/>
    <x v="410"/>
    <x v="3"/>
    <x v="0"/>
    <x v="0"/>
    <x v="0"/>
    <x v="0"/>
    <x v="0"/>
    <x v="0"/>
    <x v="0"/>
    <x v="0"/>
    <x v="0"/>
    <x v="30"/>
    <x v="0"/>
    <x v="0"/>
  </r>
  <r>
    <x v="412"/>
    <x v="411"/>
    <x v="1"/>
    <x v="2"/>
    <x v="2"/>
    <x v="0"/>
    <x v="0"/>
    <x v="0"/>
    <x v="0"/>
    <x v="0"/>
    <x v="0"/>
    <x v="0"/>
    <x v="30"/>
    <x v="0"/>
    <x v="0"/>
  </r>
  <r>
    <x v="413"/>
    <x v="412"/>
    <x v="4"/>
    <x v="2"/>
    <x v="2"/>
    <x v="0"/>
    <x v="0"/>
    <x v="0"/>
    <x v="0"/>
    <x v="0"/>
    <x v="0"/>
    <x v="0"/>
    <x v="30"/>
    <x v="0"/>
    <x v="0"/>
  </r>
  <r>
    <x v="414"/>
    <x v="413"/>
    <x v="1"/>
    <x v="2"/>
    <x v="2"/>
    <x v="0"/>
    <x v="0"/>
    <x v="0"/>
    <x v="0"/>
    <x v="0"/>
    <x v="0"/>
    <x v="0"/>
    <x v="30"/>
    <x v="0"/>
    <x v="0"/>
  </r>
  <r>
    <x v="415"/>
    <x v="414"/>
    <x v="1"/>
    <x v="2"/>
    <x v="2"/>
    <x v="0"/>
    <x v="0"/>
    <x v="0"/>
    <x v="0"/>
    <x v="0"/>
    <x v="0"/>
    <x v="0"/>
    <x v="30"/>
    <x v="0"/>
    <x v="0"/>
  </r>
  <r>
    <x v="416"/>
    <x v="415"/>
    <x v="5"/>
    <x v="2"/>
    <x v="2"/>
    <x v="0"/>
    <x v="0"/>
    <x v="0"/>
    <x v="0"/>
    <x v="0"/>
    <x v="9"/>
    <x v="0"/>
    <x v="30"/>
    <x v="0"/>
    <x v="0"/>
  </r>
  <r>
    <x v="417"/>
    <x v="416"/>
    <x v="4"/>
    <x v="2"/>
    <x v="2"/>
    <x v="0"/>
    <x v="0"/>
    <x v="0"/>
    <x v="0"/>
    <x v="0"/>
    <x v="0"/>
    <x v="0"/>
    <x v="30"/>
    <x v="0"/>
    <x v="0"/>
  </r>
  <r>
    <x v="418"/>
    <x v="417"/>
    <x v="1"/>
    <x v="3"/>
    <x v="3"/>
    <x v="0"/>
    <x v="0"/>
    <x v="0"/>
    <x v="0"/>
    <x v="0"/>
    <x v="0"/>
    <x v="0"/>
    <x v="30"/>
    <x v="0"/>
    <x v="0"/>
  </r>
  <r>
    <x v="419"/>
    <x v="418"/>
    <x v="1"/>
    <x v="1"/>
    <x v="1"/>
    <x v="0"/>
    <x v="0"/>
    <x v="0"/>
    <x v="0"/>
    <x v="0"/>
    <x v="0"/>
    <x v="0"/>
    <x v="30"/>
    <x v="0"/>
    <x v="0"/>
  </r>
  <r>
    <x v="420"/>
    <x v="419"/>
    <x v="1"/>
    <x v="1"/>
    <x v="1"/>
    <x v="0"/>
    <x v="0"/>
    <x v="0"/>
    <x v="0"/>
    <x v="0"/>
    <x v="0"/>
    <x v="0"/>
    <x v="30"/>
    <x v="0"/>
    <x v="0"/>
  </r>
  <r>
    <x v="421"/>
    <x v="420"/>
    <x v="1"/>
    <x v="1"/>
    <x v="1"/>
    <x v="0"/>
    <x v="0"/>
    <x v="0"/>
    <x v="0"/>
    <x v="0"/>
    <x v="0"/>
    <x v="0"/>
    <x v="30"/>
    <x v="0"/>
    <x v="0"/>
  </r>
  <r>
    <x v="422"/>
    <x v="421"/>
    <x v="1"/>
    <x v="1"/>
    <x v="1"/>
    <x v="0"/>
    <x v="0"/>
    <x v="0"/>
    <x v="0"/>
    <x v="0"/>
    <x v="0"/>
    <x v="0"/>
    <x v="30"/>
    <x v="0"/>
    <x v="0"/>
  </r>
  <r>
    <x v="423"/>
    <x v="422"/>
    <x v="1"/>
    <x v="1"/>
    <x v="1"/>
    <x v="0"/>
    <x v="0"/>
    <x v="0"/>
    <x v="0"/>
    <x v="0"/>
    <x v="0"/>
    <x v="0"/>
    <x v="30"/>
    <x v="0"/>
    <x v="0"/>
  </r>
  <r>
    <x v="424"/>
    <x v="423"/>
    <x v="1"/>
    <x v="1"/>
    <x v="1"/>
    <x v="0"/>
    <x v="0"/>
    <x v="0"/>
    <x v="0"/>
    <x v="0"/>
    <x v="0"/>
    <x v="0"/>
    <x v="30"/>
    <x v="0"/>
    <x v="0"/>
  </r>
  <r>
    <x v="425"/>
    <x v="424"/>
    <x v="1"/>
    <x v="1"/>
    <x v="1"/>
    <x v="0"/>
    <x v="0"/>
    <x v="0"/>
    <x v="0"/>
    <x v="0"/>
    <x v="0"/>
    <x v="0"/>
    <x v="30"/>
    <x v="0"/>
    <x v="0"/>
  </r>
  <r>
    <x v="426"/>
    <x v="425"/>
    <x v="5"/>
    <x v="5"/>
    <x v="5"/>
    <x v="0"/>
    <x v="0"/>
    <x v="0"/>
    <x v="0"/>
    <x v="0"/>
    <x v="7"/>
    <x v="0"/>
    <x v="30"/>
    <x v="0"/>
    <x v="0"/>
  </r>
  <r>
    <x v="427"/>
    <x v="426"/>
    <x v="1"/>
    <x v="3"/>
    <x v="3"/>
    <x v="0"/>
    <x v="0"/>
    <x v="0"/>
    <x v="0"/>
    <x v="0"/>
    <x v="0"/>
    <x v="0"/>
    <x v="31"/>
    <x v="0"/>
    <x v="0"/>
  </r>
  <r>
    <x v="428"/>
    <x v="427"/>
    <x v="4"/>
    <x v="2"/>
    <x v="2"/>
    <x v="0"/>
    <x v="0"/>
    <x v="0"/>
    <x v="0"/>
    <x v="0"/>
    <x v="0"/>
    <x v="0"/>
    <x v="32"/>
    <x v="0"/>
    <x v="0"/>
  </r>
  <r>
    <x v="429"/>
    <x v="428"/>
    <x v="1"/>
    <x v="3"/>
    <x v="3"/>
    <x v="0"/>
    <x v="0"/>
    <x v="0"/>
    <x v="0"/>
    <x v="0"/>
    <x v="0"/>
    <x v="0"/>
    <x v="33"/>
    <x v="0"/>
    <x v="0"/>
  </r>
  <r>
    <x v="430"/>
    <x v="429"/>
    <x v="1"/>
    <x v="2"/>
    <x v="2"/>
    <x v="0"/>
    <x v="0"/>
    <x v="0"/>
    <x v="0"/>
    <x v="0"/>
    <x v="0"/>
    <x v="0"/>
    <x v="33"/>
    <x v="0"/>
    <x v="0"/>
  </r>
  <r>
    <x v="431"/>
    <x v="430"/>
    <x v="4"/>
    <x v="2"/>
    <x v="2"/>
    <x v="0"/>
    <x v="0"/>
    <x v="0"/>
    <x v="0"/>
    <x v="0"/>
    <x v="0"/>
    <x v="0"/>
    <x v="34"/>
    <x v="0"/>
    <x v="1"/>
  </r>
  <r>
    <x v="432"/>
    <x v="431"/>
    <x v="1"/>
    <x v="2"/>
    <x v="2"/>
    <x v="0"/>
    <x v="0"/>
    <x v="0"/>
    <x v="0"/>
    <x v="0"/>
    <x v="0"/>
    <x v="0"/>
    <x v="34"/>
    <x v="0"/>
    <x v="0"/>
  </r>
  <r>
    <x v="433"/>
    <x v="432"/>
    <x v="1"/>
    <x v="2"/>
    <x v="2"/>
    <x v="0"/>
    <x v="0"/>
    <x v="0"/>
    <x v="0"/>
    <x v="0"/>
    <x v="0"/>
    <x v="0"/>
    <x v="34"/>
    <x v="0"/>
    <x v="0"/>
  </r>
  <r>
    <x v="434"/>
    <x v="433"/>
    <x v="6"/>
    <x v="1"/>
    <x v="1"/>
    <x v="0"/>
    <x v="0"/>
    <x v="2"/>
    <x v="0"/>
    <x v="0"/>
    <x v="2"/>
    <x v="0"/>
    <x v="34"/>
    <x v="0"/>
    <x v="0"/>
  </r>
  <r>
    <x v="435"/>
    <x v="434"/>
    <x v="1"/>
    <x v="3"/>
    <x v="3"/>
    <x v="0"/>
    <x v="0"/>
    <x v="0"/>
    <x v="0"/>
    <x v="0"/>
    <x v="0"/>
    <x v="0"/>
    <x v="34"/>
    <x v="0"/>
    <x v="0"/>
  </r>
  <r>
    <x v="436"/>
    <x v="435"/>
    <x v="1"/>
    <x v="2"/>
    <x v="2"/>
    <x v="0"/>
    <x v="0"/>
    <x v="0"/>
    <x v="0"/>
    <x v="0"/>
    <x v="0"/>
    <x v="0"/>
    <x v="34"/>
    <x v="0"/>
    <x v="0"/>
  </r>
  <r>
    <x v="437"/>
    <x v="436"/>
    <x v="3"/>
    <x v="0"/>
    <x v="0"/>
    <x v="0"/>
    <x v="0"/>
    <x v="0"/>
    <x v="0"/>
    <x v="0"/>
    <x v="0"/>
    <x v="0"/>
    <x v="34"/>
    <x v="0"/>
    <x v="0"/>
  </r>
  <r>
    <x v="438"/>
    <x v="437"/>
    <x v="3"/>
    <x v="0"/>
    <x v="0"/>
    <x v="0"/>
    <x v="0"/>
    <x v="0"/>
    <x v="0"/>
    <x v="0"/>
    <x v="0"/>
    <x v="0"/>
    <x v="34"/>
    <x v="0"/>
    <x v="0"/>
  </r>
  <r>
    <x v="439"/>
    <x v="438"/>
    <x v="3"/>
    <x v="0"/>
    <x v="0"/>
    <x v="0"/>
    <x v="0"/>
    <x v="0"/>
    <x v="0"/>
    <x v="0"/>
    <x v="12"/>
    <x v="0"/>
    <x v="34"/>
    <x v="2"/>
    <x v="0"/>
  </r>
  <r>
    <x v="440"/>
    <x v="439"/>
    <x v="5"/>
    <x v="3"/>
    <x v="3"/>
    <x v="0"/>
    <x v="0"/>
    <x v="0"/>
    <x v="0"/>
    <x v="0"/>
    <x v="13"/>
    <x v="0"/>
    <x v="34"/>
    <x v="0"/>
    <x v="0"/>
  </r>
  <r>
    <x v="441"/>
    <x v="440"/>
    <x v="1"/>
    <x v="3"/>
    <x v="3"/>
    <x v="0"/>
    <x v="0"/>
    <x v="0"/>
    <x v="0"/>
    <x v="0"/>
    <x v="0"/>
    <x v="0"/>
    <x v="34"/>
    <x v="0"/>
    <x v="0"/>
  </r>
  <r>
    <x v="442"/>
    <x v="441"/>
    <x v="4"/>
    <x v="1"/>
    <x v="1"/>
    <x v="0"/>
    <x v="0"/>
    <x v="0"/>
    <x v="0"/>
    <x v="0"/>
    <x v="0"/>
    <x v="0"/>
    <x v="34"/>
    <x v="0"/>
    <x v="0"/>
  </r>
  <r>
    <x v="443"/>
    <x v="442"/>
    <x v="1"/>
    <x v="2"/>
    <x v="2"/>
    <x v="0"/>
    <x v="0"/>
    <x v="0"/>
    <x v="0"/>
    <x v="0"/>
    <x v="0"/>
    <x v="0"/>
    <x v="34"/>
    <x v="0"/>
    <x v="0"/>
  </r>
  <r>
    <x v="444"/>
    <x v="443"/>
    <x v="1"/>
    <x v="2"/>
    <x v="2"/>
    <x v="0"/>
    <x v="0"/>
    <x v="0"/>
    <x v="0"/>
    <x v="0"/>
    <x v="0"/>
    <x v="0"/>
    <x v="34"/>
    <x v="0"/>
    <x v="0"/>
  </r>
  <r>
    <x v="445"/>
    <x v="444"/>
    <x v="1"/>
    <x v="2"/>
    <x v="2"/>
    <x v="0"/>
    <x v="0"/>
    <x v="0"/>
    <x v="0"/>
    <x v="0"/>
    <x v="0"/>
    <x v="0"/>
    <x v="34"/>
    <x v="0"/>
    <x v="0"/>
  </r>
  <r>
    <x v="446"/>
    <x v="445"/>
    <x v="5"/>
    <x v="2"/>
    <x v="2"/>
    <x v="0"/>
    <x v="0"/>
    <x v="3"/>
    <x v="0"/>
    <x v="0"/>
    <x v="6"/>
    <x v="0"/>
    <x v="34"/>
    <x v="0"/>
    <x v="0"/>
  </r>
  <r>
    <x v="447"/>
    <x v="446"/>
    <x v="1"/>
    <x v="2"/>
    <x v="2"/>
    <x v="0"/>
    <x v="0"/>
    <x v="0"/>
    <x v="0"/>
    <x v="0"/>
    <x v="0"/>
    <x v="0"/>
    <x v="34"/>
    <x v="0"/>
    <x v="0"/>
  </r>
  <r>
    <x v="448"/>
    <x v="447"/>
    <x v="1"/>
    <x v="2"/>
    <x v="2"/>
    <x v="0"/>
    <x v="0"/>
    <x v="0"/>
    <x v="0"/>
    <x v="0"/>
    <x v="0"/>
    <x v="0"/>
    <x v="34"/>
    <x v="0"/>
    <x v="0"/>
  </r>
  <r>
    <x v="449"/>
    <x v="448"/>
    <x v="1"/>
    <x v="2"/>
    <x v="2"/>
    <x v="0"/>
    <x v="0"/>
    <x v="0"/>
    <x v="0"/>
    <x v="0"/>
    <x v="0"/>
    <x v="0"/>
    <x v="34"/>
    <x v="0"/>
    <x v="0"/>
  </r>
  <r>
    <x v="450"/>
    <x v="441"/>
    <x v="1"/>
    <x v="1"/>
    <x v="1"/>
    <x v="0"/>
    <x v="0"/>
    <x v="0"/>
    <x v="0"/>
    <x v="0"/>
    <x v="0"/>
    <x v="0"/>
    <x v="34"/>
    <x v="0"/>
    <x v="0"/>
  </r>
  <r>
    <x v="451"/>
    <x v="449"/>
    <x v="2"/>
    <x v="2"/>
    <x v="2"/>
    <x v="0"/>
    <x v="0"/>
    <x v="2"/>
    <x v="0"/>
    <x v="0"/>
    <x v="5"/>
    <x v="0"/>
    <x v="34"/>
    <x v="0"/>
    <x v="0"/>
  </r>
  <r>
    <x v="452"/>
    <x v="450"/>
    <x v="1"/>
    <x v="2"/>
    <x v="2"/>
    <x v="0"/>
    <x v="0"/>
    <x v="0"/>
    <x v="0"/>
    <x v="0"/>
    <x v="0"/>
    <x v="0"/>
    <x v="34"/>
    <x v="0"/>
    <x v="0"/>
  </r>
  <r>
    <x v="453"/>
    <x v="451"/>
    <x v="4"/>
    <x v="2"/>
    <x v="2"/>
    <x v="0"/>
    <x v="0"/>
    <x v="0"/>
    <x v="0"/>
    <x v="0"/>
    <x v="0"/>
    <x v="0"/>
    <x v="34"/>
    <x v="0"/>
    <x v="0"/>
  </r>
  <r>
    <x v="454"/>
    <x v="452"/>
    <x v="4"/>
    <x v="2"/>
    <x v="2"/>
    <x v="0"/>
    <x v="0"/>
    <x v="0"/>
    <x v="0"/>
    <x v="0"/>
    <x v="0"/>
    <x v="0"/>
    <x v="34"/>
    <x v="0"/>
    <x v="0"/>
  </r>
  <r>
    <x v="455"/>
    <x v="453"/>
    <x v="2"/>
    <x v="2"/>
    <x v="2"/>
    <x v="0"/>
    <x v="0"/>
    <x v="0"/>
    <x v="0"/>
    <x v="0"/>
    <x v="0"/>
    <x v="0"/>
    <x v="34"/>
    <x v="0"/>
    <x v="0"/>
  </r>
  <r>
    <x v="456"/>
    <x v="454"/>
    <x v="4"/>
    <x v="2"/>
    <x v="2"/>
    <x v="0"/>
    <x v="0"/>
    <x v="0"/>
    <x v="0"/>
    <x v="0"/>
    <x v="0"/>
    <x v="0"/>
    <x v="35"/>
    <x v="0"/>
    <x v="0"/>
  </r>
  <r>
    <x v="457"/>
    <x v="455"/>
    <x v="1"/>
    <x v="2"/>
    <x v="2"/>
    <x v="0"/>
    <x v="0"/>
    <x v="0"/>
    <x v="0"/>
    <x v="0"/>
    <x v="0"/>
    <x v="0"/>
    <x v="35"/>
    <x v="0"/>
    <x v="0"/>
  </r>
  <r>
    <x v="458"/>
    <x v="456"/>
    <x v="1"/>
    <x v="2"/>
    <x v="2"/>
    <x v="0"/>
    <x v="0"/>
    <x v="0"/>
    <x v="0"/>
    <x v="0"/>
    <x v="0"/>
    <x v="0"/>
    <x v="36"/>
    <x v="0"/>
    <x v="0"/>
  </r>
  <r>
    <x v="459"/>
    <x v="457"/>
    <x v="2"/>
    <x v="2"/>
    <x v="2"/>
    <x v="0"/>
    <x v="0"/>
    <x v="0"/>
    <x v="0"/>
    <x v="0"/>
    <x v="0"/>
    <x v="0"/>
    <x v="36"/>
    <x v="0"/>
    <x v="0"/>
  </r>
  <r>
    <x v="460"/>
    <x v="458"/>
    <x v="1"/>
    <x v="2"/>
    <x v="2"/>
    <x v="0"/>
    <x v="0"/>
    <x v="0"/>
    <x v="0"/>
    <x v="0"/>
    <x v="0"/>
    <x v="0"/>
    <x v="36"/>
    <x v="0"/>
    <x v="0"/>
  </r>
  <r>
    <x v="461"/>
    <x v="459"/>
    <x v="1"/>
    <x v="2"/>
    <x v="2"/>
    <x v="0"/>
    <x v="0"/>
    <x v="0"/>
    <x v="0"/>
    <x v="0"/>
    <x v="0"/>
    <x v="0"/>
    <x v="36"/>
    <x v="0"/>
    <x v="0"/>
  </r>
  <r>
    <x v="462"/>
    <x v="460"/>
    <x v="1"/>
    <x v="5"/>
    <x v="5"/>
    <x v="0"/>
    <x v="0"/>
    <x v="0"/>
    <x v="0"/>
    <x v="0"/>
    <x v="0"/>
    <x v="0"/>
    <x v="37"/>
    <x v="0"/>
    <x v="0"/>
  </r>
  <r>
    <x v="463"/>
    <x v="461"/>
    <x v="1"/>
    <x v="2"/>
    <x v="2"/>
    <x v="0"/>
    <x v="0"/>
    <x v="0"/>
    <x v="0"/>
    <x v="0"/>
    <x v="0"/>
    <x v="0"/>
    <x v="38"/>
    <x v="0"/>
    <x v="0"/>
  </r>
  <r>
    <x v="464"/>
    <x v="462"/>
    <x v="1"/>
    <x v="2"/>
    <x v="2"/>
    <x v="0"/>
    <x v="0"/>
    <x v="0"/>
    <x v="0"/>
    <x v="0"/>
    <x v="5"/>
    <x v="0"/>
    <x v="39"/>
    <x v="0"/>
    <x v="0"/>
  </r>
  <r>
    <x v="465"/>
    <x v="463"/>
    <x v="1"/>
    <x v="2"/>
    <x v="2"/>
    <x v="0"/>
    <x v="0"/>
    <x v="2"/>
    <x v="0"/>
    <x v="0"/>
    <x v="0"/>
    <x v="0"/>
    <x v="39"/>
    <x v="0"/>
    <x v="0"/>
  </r>
  <r>
    <x v="466"/>
    <x v="464"/>
    <x v="4"/>
    <x v="2"/>
    <x v="2"/>
    <x v="0"/>
    <x v="0"/>
    <x v="0"/>
    <x v="0"/>
    <x v="0"/>
    <x v="0"/>
    <x v="0"/>
    <x v="40"/>
    <x v="0"/>
    <x v="0"/>
  </r>
  <r>
    <x v="467"/>
    <x v="465"/>
    <x v="4"/>
    <x v="2"/>
    <x v="2"/>
    <x v="0"/>
    <x v="0"/>
    <x v="0"/>
    <x v="0"/>
    <x v="0"/>
    <x v="0"/>
    <x v="0"/>
    <x v="40"/>
    <x v="0"/>
    <x v="0"/>
  </r>
  <r>
    <x v="468"/>
    <x v="466"/>
    <x v="4"/>
    <x v="2"/>
    <x v="2"/>
    <x v="0"/>
    <x v="0"/>
    <x v="3"/>
    <x v="0"/>
    <x v="0"/>
    <x v="0"/>
    <x v="0"/>
    <x v="40"/>
    <x v="0"/>
    <x v="0"/>
  </r>
  <r>
    <x v="469"/>
    <x v="467"/>
    <x v="1"/>
    <x v="2"/>
    <x v="2"/>
    <x v="0"/>
    <x v="0"/>
    <x v="0"/>
    <x v="0"/>
    <x v="0"/>
    <x v="0"/>
    <x v="0"/>
    <x v="40"/>
    <x v="0"/>
    <x v="0"/>
  </r>
  <r>
    <x v="470"/>
    <x v="468"/>
    <x v="2"/>
    <x v="2"/>
    <x v="2"/>
    <x v="0"/>
    <x v="0"/>
    <x v="0"/>
    <x v="0"/>
    <x v="0"/>
    <x v="0"/>
    <x v="0"/>
    <x v="40"/>
    <x v="0"/>
    <x v="0"/>
  </r>
  <r>
    <x v="471"/>
    <x v="469"/>
    <x v="1"/>
    <x v="1"/>
    <x v="1"/>
    <x v="0"/>
    <x v="0"/>
    <x v="5"/>
    <x v="0"/>
    <x v="0"/>
    <x v="0"/>
    <x v="0"/>
    <x v="41"/>
    <x v="0"/>
    <x v="0"/>
  </r>
  <r>
    <x v="472"/>
    <x v="470"/>
    <x v="1"/>
    <x v="1"/>
    <x v="1"/>
    <x v="0"/>
    <x v="0"/>
    <x v="1"/>
    <x v="0"/>
    <x v="0"/>
    <x v="2"/>
    <x v="0"/>
    <x v="41"/>
    <x v="0"/>
    <x v="0"/>
  </r>
  <r>
    <x v="473"/>
    <x v="471"/>
    <x v="1"/>
    <x v="1"/>
    <x v="1"/>
    <x v="0"/>
    <x v="0"/>
    <x v="0"/>
    <x v="0"/>
    <x v="0"/>
    <x v="0"/>
    <x v="0"/>
    <x v="41"/>
    <x v="0"/>
    <x v="0"/>
  </r>
  <r>
    <x v="474"/>
    <x v="472"/>
    <x v="1"/>
    <x v="1"/>
    <x v="1"/>
    <x v="0"/>
    <x v="0"/>
    <x v="3"/>
    <x v="0"/>
    <x v="0"/>
    <x v="0"/>
    <x v="0"/>
    <x v="41"/>
    <x v="0"/>
    <x v="0"/>
  </r>
  <r>
    <x v="475"/>
    <x v="473"/>
    <x v="1"/>
    <x v="1"/>
    <x v="1"/>
    <x v="0"/>
    <x v="0"/>
    <x v="1"/>
    <x v="0"/>
    <x v="0"/>
    <x v="0"/>
    <x v="0"/>
    <x v="41"/>
    <x v="0"/>
    <x v="0"/>
  </r>
  <r>
    <x v="476"/>
    <x v="474"/>
    <x v="1"/>
    <x v="1"/>
    <x v="1"/>
    <x v="0"/>
    <x v="0"/>
    <x v="2"/>
    <x v="0"/>
    <x v="0"/>
    <x v="0"/>
    <x v="0"/>
    <x v="41"/>
    <x v="0"/>
    <x v="0"/>
  </r>
  <r>
    <x v="477"/>
    <x v="475"/>
    <x v="1"/>
    <x v="1"/>
    <x v="1"/>
    <x v="0"/>
    <x v="0"/>
    <x v="0"/>
    <x v="0"/>
    <x v="0"/>
    <x v="0"/>
    <x v="0"/>
    <x v="41"/>
    <x v="0"/>
    <x v="0"/>
  </r>
  <r>
    <x v="478"/>
    <x v="476"/>
    <x v="6"/>
    <x v="1"/>
    <x v="1"/>
    <x v="0"/>
    <x v="0"/>
    <x v="1"/>
    <x v="0"/>
    <x v="0"/>
    <x v="11"/>
    <x v="0"/>
    <x v="41"/>
    <x v="0"/>
    <x v="0"/>
  </r>
  <r>
    <x v="479"/>
    <x v="477"/>
    <x v="6"/>
    <x v="1"/>
    <x v="1"/>
    <x v="0"/>
    <x v="0"/>
    <x v="1"/>
    <x v="0"/>
    <x v="0"/>
    <x v="11"/>
    <x v="0"/>
    <x v="41"/>
    <x v="0"/>
    <x v="0"/>
  </r>
  <r>
    <x v="480"/>
    <x v="478"/>
    <x v="2"/>
    <x v="1"/>
    <x v="1"/>
    <x v="0"/>
    <x v="0"/>
    <x v="0"/>
    <x v="0"/>
    <x v="0"/>
    <x v="0"/>
    <x v="0"/>
    <x v="41"/>
    <x v="0"/>
    <x v="0"/>
  </r>
  <r>
    <x v="481"/>
    <x v="479"/>
    <x v="6"/>
    <x v="1"/>
    <x v="1"/>
    <x v="0"/>
    <x v="0"/>
    <x v="3"/>
    <x v="0"/>
    <x v="0"/>
    <x v="11"/>
    <x v="0"/>
    <x v="41"/>
    <x v="0"/>
    <x v="0"/>
  </r>
  <r>
    <x v="482"/>
    <x v="480"/>
    <x v="1"/>
    <x v="5"/>
    <x v="5"/>
    <x v="0"/>
    <x v="0"/>
    <x v="0"/>
    <x v="0"/>
    <x v="0"/>
    <x v="7"/>
    <x v="0"/>
    <x v="42"/>
    <x v="0"/>
    <x v="0"/>
  </r>
  <r>
    <x v="483"/>
    <x v="481"/>
    <x v="1"/>
    <x v="5"/>
    <x v="5"/>
    <x v="0"/>
    <x v="0"/>
    <x v="0"/>
    <x v="0"/>
    <x v="0"/>
    <x v="0"/>
    <x v="0"/>
    <x v="42"/>
    <x v="0"/>
    <x v="0"/>
  </r>
  <r>
    <x v="484"/>
    <x v="482"/>
    <x v="1"/>
    <x v="2"/>
    <x v="2"/>
    <x v="0"/>
    <x v="0"/>
    <x v="0"/>
    <x v="0"/>
    <x v="0"/>
    <x v="0"/>
    <x v="0"/>
    <x v="43"/>
    <x v="0"/>
    <x v="0"/>
  </r>
  <r>
    <x v="485"/>
    <x v="483"/>
    <x v="1"/>
    <x v="2"/>
    <x v="2"/>
    <x v="0"/>
    <x v="0"/>
    <x v="0"/>
    <x v="0"/>
    <x v="0"/>
    <x v="0"/>
    <x v="0"/>
    <x v="44"/>
    <x v="0"/>
    <x v="0"/>
  </r>
  <r>
    <x v="486"/>
    <x v="484"/>
    <x v="1"/>
    <x v="5"/>
    <x v="5"/>
    <x v="0"/>
    <x v="0"/>
    <x v="0"/>
    <x v="0"/>
    <x v="0"/>
    <x v="0"/>
    <x v="0"/>
    <x v="45"/>
    <x v="0"/>
    <x v="0"/>
  </r>
  <r>
    <x v="487"/>
    <x v="485"/>
    <x v="1"/>
    <x v="2"/>
    <x v="2"/>
    <x v="0"/>
    <x v="0"/>
    <x v="0"/>
    <x v="0"/>
    <x v="0"/>
    <x v="0"/>
    <x v="0"/>
    <x v="45"/>
    <x v="0"/>
    <x v="0"/>
  </r>
  <r>
    <x v="488"/>
    <x v="486"/>
    <x v="1"/>
    <x v="2"/>
    <x v="2"/>
    <x v="0"/>
    <x v="0"/>
    <x v="0"/>
    <x v="0"/>
    <x v="0"/>
    <x v="0"/>
    <x v="0"/>
    <x v="46"/>
    <x v="0"/>
    <x v="0"/>
  </r>
  <r>
    <x v="489"/>
    <x v="487"/>
    <x v="1"/>
    <x v="2"/>
    <x v="2"/>
    <x v="0"/>
    <x v="0"/>
    <x v="0"/>
    <x v="0"/>
    <x v="0"/>
    <x v="0"/>
    <x v="0"/>
    <x v="47"/>
    <x v="0"/>
    <x v="0"/>
  </r>
  <r>
    <x v="490"/>
    <x v="488"/>
    <x v="1"/>
    <x v="2"/>
    <x v="2"/>
    <x v="0"/>
    <x v="0"/>
    <x v="0"/>
    <x v="0"/>
    <x v="0"/>
    <x v="0"/>
    <x v="0"/>
    <x v="48"/>
    <x v="0"/>
    <x v="0"/>
  </r>
  <r>
    <x v="491"/>
    <x v="489"/>
    <x v="1"/>
    <x v="2"/>
    <x v="2"/>
    <x v="0"/>
    <x v="0"/>
    <x v="0"/>
    <x v="0"/>
    <x v="0"/>
    <x v="0"/>
    <x v="0"/>
    <x v="49"/>
    <x v="0"/>
    <x v="0"/>
  </r>
  <r>
    <x v="492"/>
    <x v="490"/>
    <x v="1"/>
    <x v="2"/>
    <x v="2"/>
    <x v="0"/>
    <x v="0"/>
    <x v="0"/>
    <x v="0"/>
    <x v="0"/>
    <x v="0"/>
    <x v="0"/>
    <x v="50"/>
    <x v="0"/>
    <x v="0"/>
  </r>
  <r>
    <x v="493"/>
    <x v="491"/>
    <x v="4"/>
    <x v="1"/>
    <x v="1"/>
    <x v="0"/>
    <x v="0"/>
    <x v="1"/>
    <x v="0"/>
    <x v="0"/>
    <x v="2"/>
    <x v="0"/>
    <x v="51"/>
    <x v="0"/>
    <x v="0"/>
  </r>
  <r>
    <x v="494"/>
    <x v="492"/>
    <x v="1"/>
    <x v="2"/>
    <x v="2"/>
    <x v="0"/>
    <x v="0"/>
    <x v="0"/>
    <x v="0"/>
    <x v="0"/>
    <x v="0"/>
    <x v="0"/>
    <x v="51"/>
    <x v="0"/>
    <x v="0"/>
  </r>
  <r>
    <x v="495"/>
    <x v="493"/>
    <x v="1"/>
    <x v="2"/>
    <x v="2"/>
    <x v="0"/>
    <x v="0"/>
    <x v="3"/>
    <x v="0"/>
    <x v="0"/>
    <x v="0"/>
    <x v="0"/>
    <x v="51"/>
    <x v="0"/>
    <x v="0"/>
  </r>
  <r>
    <x v="496"/>
    <x v="494"/>
    <x v="1"/>
    <x v="2"/>
    <x v="2"/>
    <x v="0"/>
    <x v="0"/>
    <x v="0"/>
    <x v="0"/>
    <x v="0"/>
    <x v="0"/>
    <x v="0"/>
    <x v="52"/>
    <x v="0"/>
    <x v="0"/>
  </r>
  <r>
    <x v="497"/>
    <x v="495"/>
    <x v="1"/>
    <x v="2"/>
    <x v="2"/>
    <x v="0"/>
    <x v="0"/>
    <x v="0"/>
    <x v="0"/>
    <x v="0"/>
    <x v="0"/>
    <x v="0"/>
    <x v="52"/>
    <x v="0"/>
    <x v="0"/>
  </r>
  <r>
    <x v="498"/>
    <x v="496"/>
    <x v="1"/>
    <x v="2"/>
    <x v="2"/>
    <x v="0"/>
    <x v="0"/>
    <x v="0"/>
    <x v="0"/>
    <x v="0"/>
    <x v="0"/>
    <x v="0"/>
    <x v="52"/>
    <x v="0"/>
    <x v="0"/>
  </r>
  <r>
    <x v="499"/>
    <x v="497"/>
    <x v="1"/>
    <x v="2"/>
    <x v="2"/>
    <x v="0"/>
    <x v="0"/>
    <x v="0"/>
    <x v="0"/>
    <x v="0"/>
    <x v="5"/>
    <x v="0"/>
    <x v="53"/>
    <x v="0"/>
    <x v="0"/>
  </r>
  <r>
    <x v="500"/>
    <x v="498"/>
    <x v="1"/>
    <x v="2"/>
    <x v="2"/>
    <x v="0"/>
    <x v="0"/>
    <x v="0"/>
    <x v="0"/>
    <x v="0"/>
    <x v="0"/>
    <x v="0"/>
    <x v="54"/>
    <x v="0"/>
    <x v="0"/>
  </r>
  <r>
    <x v="501"/>
    <x v="499"/>
    <x v="4"/>
    <x v="2"/>
    <x v="2"/>
    <x v="0"/>
    <x v="0"/>
    <x v="0"/>
    <x v="0"/>
    <x v="0"/>
    <x v="0"/>
    <x v="0"/>
    <x v="54"/>
    <x v="0"/>
    <x v="0"/>
  </r>
  <r>
    <x v="502"/>
    <x v="500"/>
    <x v="1"/>
    <x v="2"/>
    <x v="2"/>
    <x v="0"/>
    <x v="0"/>
    <x v="2"/>
    <x v="0"/>
    <x v="0"/>
    <x v="0"/>
    <x v="0"/>
    <x v="54"/>
    <x v="0"/>
    <x v="0"/>
  </r>
  <r>
    <x v="503"/>
    <x v="501"/>
    <x v="1"/>
    <x v="2"/>
    <x v="2"/>
    <x v="0"/>
    <x v="0"/>
    <x v="3"/>
    <x v="0"/>
    <x v="0"/>
    <x v="0"/>
    <x v="0"/>
    <x v="54"/>
    <x v="0"/>
    <x v="0"/>
  </r>
  <r>
    <x v="504"/>
    <x v="502"/>
    <x v="5"/>
    <x v="2"/>
    <x v="2"/>
    <x v="0"/>
    <x v="0"/>
    <x v="5"/>
    <x v="0"/>
    <x v="0"/>
    <x v="8"/>
    <x v="0"/>
    <x v="54"/>
    <x v="0"/>
    <x v="0"/>
  </r>
  <r>
    <x v="505"/>
    <x v="503"/>
    <x v="2"/>
    <x v="2"/>
    <x v="2"/>
    <x v="0"/>
    <x v="0"/>
    <x v="0"/>
    <x v="0"/>
    <x v="0"/>
    <x v="0"/>
    <x v="0"/>
    <x v="54"/>
    <x v="0"/>
    <x v="0"/>
  </r>
  <r>
    <x v="506"/>
    <x v="504"/>
    <x v="2"/>
    <x v="2"/>
    <x v="2"/>
    <x v="0"/>
    <x v="0"/>
    <x v="0"/>
    <x v="0"/>
    <x v="0"/>
    <x v="0"/>
    <x v="0"/>
    <x v="55"/>
    <x v="0"/>
    <x v="0"/>
  </r>
  <r>
    <x v="507"/>
    <x v="505"/>
    <x v="1"/>
    <x v="2"/>
    <x v="2"/>
    <x v="0"/>
    <x v="0"/>
    <x v="0"/>
    <x v="0"/>
    <x v="0"/>
    <x v="9"/>
    <x v="0"/>
    <x v="56"/>
    <x v="0"/>
    <x v="0"/>
  </r>
  <r>
    <x v="508"/>
    <x v="506"/>
    <x v="4"/>
    <x v="1"/>
    <x v="1"/>
    <x v="0"/>
    <x v="0"/>
    <x v="0"/>
    <x v="0"/>
    <x v="0"/>
    <x v="11"/>
    <x v="0"/>
    <x v="57"/>
    <x v="0"/>
    <x v="0"/>
  </r>
  <r>
    <x v="509"/>
    <x v="507"/>
    <x v="1"/>
    <x v="2"/>
    <x v="2"/>
    <x v="0"/>
    <x v="0"/>
    <x v="0"/>
    <x v="0"/>
    <x v="0"/>
    <x v="0"/>
    <x v="0"/>
    <x v="58"/>
    <x v="0"/>
    <x v="0"/>
  </r>
  <r>
    <x v="510"/>
    <x v="508"/>
    <x v="1"/>
    <x v="2"/>
    <x v="2"/>
    <x v="0"/>
    <x v="0"/>
    <x v="0"/>
    <x v="0"/>
    <x v="0"/>
    <x v="0"/>
    <x v="0"/>
    <x v="59"/>
    <x v="0"/>
    <x v="0"/>
  </r>
  <r>
    <x v="511"/>
    <x v="509"/>
    <x v="1"/>
    <x v="2"/>
    <x v="2"/>
    <x v="0"/>
    <x v="0"/>
    <x v="0"/>
    <x v="0"/>
    <x v="0"/>
    <x v="0"/>
    <x v="0"/>
    <x v="59"/>
    <x v="0"/>
    <x v="0"/>
  </r>
  <r>
    <x v="512"/>
    <x v="510"/>
    <x v="1"/>
    <x v="2"/>
    <x v="2"/>
    <x v="0"/>
    <x v="0"/>
    <x v="0"/>
    <x v="0"/>
    <x v="0"/>
    <x v="0"/>
    <x v="0"/>
    <x v="60"/>
    <x v="0"/>
    <x v="0"/>
  </r>
  <r>
    <x v="513"/>
    <x v="511"/>
    <x v="1"/>
    <x v="2"/>
    <x v="2"/>
    <x v="0"/>
    <x v="0"/>
    <x v="0"/>
    <x v="0"/>
    <x v="0"/>
    <x v="0"/>
    <x v="0"/>
    <x v="61"/>
    <x v="0"/>
    <x v="0"/>
  </r>
  <r>
    <x v="514"/>
    <x v="512"/>
    <x v="1"/>
    <x v="2"/>
    <x v="2"/>
    <x v="0"/>
    <x v="0"/>
    <x v="0"/>
    <x v="0"/>
    <x v="0"/>
    <x v="0"/>
    <x v="0"/>
    <x v="62"/>
    <x v="0"/>
    <x v="0"/>
  </r>
  <r>
    <x v="515"/>
    <x v="513"/>
    <x v="1"/>
    <x v="2"/>
    <x v="2"/>
    <x v="0"/>
    <x v="0"/>
    <x v="7"/>
    <x v="0"/>
    <x v="0"/>
    <x v="0"/>
    <x v="0"/>
    <x v="62"/>
    <x v="0"/>
    <x v="0"/>
  </r>
  <r>
    <x v="516"/>
    <x v="514"/>
    <x v="1"/>
    <x v="2"/>
    <x v="2"/>
    <x v="0"/>
    <x v="0"/>
    <x v="0"/>
    <x v="0"/>
    <x v="0"/>
    <x v="0"/>
    <x v="0"/>
    <x v="63"/>
    <x v="0"/>
    <x v="0"/>
  </r>
  <r>
    <x v="517"/>
    <x v="515"/>
    <x v="4"/>
    <x v="2"/>
    <x v="2"/>
    <x v="0"/>
    <x v="0"/>
    <x v="0"/>
    <x v="0"/>
    <x v="0"/>
    <x v="0"/>
    <x v="0"/>
    <x v="63"/>
    <x v="0"/>
    <x v="0"/>
  </r>
  <r>
    <x v="518"/>
    <x v="516"/>
    <x v="4"/>
    <x v="2"/>
    <x v="2"/>
    <x v="0"/>
    <x v="0"/>
    <x v="0"/>
    <x v="0"/>
    <x v="0"/>
    <x v="8"/>
    <x v="0"/>
    <x v="63"/>
    <x v="0"/>
    <x v="0"/>
  </r>
  <r>
    <x v="519"/>
    <x v="517"/>
    <x v="4"/>
    <x v="2"/>
    <x v="2"/>
    <x v="0"/>
    <x v="0"/>
    <x v="0"/>
    <x v="0"/>
    <x v="0"/>
    <x v="0"/>
    <x v="0"/>
    <x v="64"/>
    <x v="0"/>
    <x v="0"/>
  </r>
  <r>
    <x v="520"/>
    <x v="518"/>
    <x v="1"/>
    <x v="2"/>
    <x v="2"/>
    <x v="0"/>
    <x v="0"/>
    <x v="0"/>
    <x v="0"/>
    <x v="0"/>
    <x v="0"/>
    <x v="0"/>
    <x v="64"/>
    <x v="0"/>
    <x v="0"/>
  </r>
  <r>
    <x v="521"/>
    <x v="519"/>
    <x v="1"/>
    <x v="2"/>
    <x v="2"/>
    <x v="0"/>
    <x v="0"/>
    <x v="0"/>
    <x v="0"/>
    <x v="0"/>
    <x v="0"/>
    <x v="0"/>
    <x v="65"/>
    <x v="0"/>
    <x v="0"/>
  </r>
  <r>
    <x v="522"/>
    <x v="520"/>
    <x v="4"/>
    <x v="2"/>
    <x v="2"/>
    <x v="0"/>
    <x v="0"/>
    <x v="0"/>
    <x v="0"/>
    <x v="0"/>
    <x v="0"/>
    <x v="0"/>
    <x v="66"/>
    <x v="0"/>
    <x v="0"/>
  </r>
  <r>
    <x v="523"/>
    <x v="521"/>
    <x v="1"/>
    <x v="2"/>
    <x v="2"/>
    <x v="0"/>
    <x v="0"/>
    <x v="3"/>
    <x v="0"/>
    <x v="0"/>
    <x v="0"/>
    <x v="0"/>
    <x v="67"/>
    <x v="0"/>
    <x v="0"/>
  </r>
  <r>
    <x v="524"/>
    <x v="522"/>
    <x v="6"/>
    <x v="1"/>
    <x v="1"/>
    <x v="0"/>
    <x v="0"/>
    <x v="0"/>
    <x v="0"/>
    <x v="0"/>
    <x v="11"/>
    <x v="0"/>
    <x v="68"/>
    <x v="0"/>
    <x v="0"/>
  </r>
  <r>
    <x v="525"/>
    <x v="523"/>
    <x v="4"/>
    <x v="2"/>
    <x v="2"/>
    <x v="0"/>
    <x v="0"/>
    <x v="0"/>
    <x v="0"/>
    <x v="0"/>
    <x v="0"/>
    <x v="0"/>
    <x v="68"/>
    <x v="0"/>
    <x v="0"/>
  </r>
  <r>
    <x v="526"/>
    <x v="524"/>
    <x v="1"/>
    <x v="2"/>
    <x v="2"/>
    <x v="0"/>
    <x v="0"/>
    <x v="0"/>
    <x v="0"/>
    <x v="0"/>
    <x v="0"/>
    <x v="0"/>
    <x v="68"/>
    <x v="0"/>
    <x v="0"/>
  </r>
  <r>
    <x v="527"/>
    <x v="525"/>
    <x v="1"/>
    <x v="3"/>
    <x v="3"/>
    <x v="0"/>
    <x v="0"/>
    <x v="0"/>
    <x v="0"/>
    <x v="0"/>
    <x v="0"/>
    <x v="0"/>
    <x v="68"/>
    <x v="0"/>
    <x v="0"/>
  </r>
  <r>
    <x v="528"/>
    <x v="526"/>
    <x v="4"/>
    <x v="2"/>
    <x v="2"/>
    <x v="0"/>
    <x v="0"/>
    <x v="0"/>
    <x v="0"/>
    <x v="0"/>
    <x v="0"/>
    <x v="0"/>
    <x v="68"/>
    <x v="0"/>
    <x v="0"/>
  </r>
  <r>
    <x v="529"/>
    <x v="527"/>
    <x v="4"/>
    <x v="1"/>
    <x v="1"/>
    <x v="0"/>
    <x v="0"/>
    <x v="0"/>
    <x v="0"/>
    <x v="0"/>
    <x v="0"/>
    <x v="0"/>
    <x v="68"/>
    <x v="0"/>
    <x v="0"/>
  </r>
  <r>
    <x v="530"/>
    <x v="528"/>
    <x v="4"/>
    <x v="2"/>
    <x v="2"/>
    <x v="0"/>
    <x v="0"/>
    <x v="0"/>
    <x v="0"/>
    <x v="0"/>
    <x v="0"/>
    <x v="0"/>
    <x v="68"/>
    <x v="0"/>
    <x v="0"/>
  </r>
  <r>
    <x v="531"/>
    <x v="527"/>
    <x v="4"/>
    <x v="1"/>
    <x v="1"/>
    <x v="0"/>
    <x v="0"/>
    <x v="0"/>
    <x v="0"/>
    <x v="0"/>
    <x v="0"/>
    <x v="0"/>
    <x v="68"/>
    <x v="0"/>
    <x v="0"/>
  </r>
  <r>
    <x v="532"/>
    <x v="529"/>
    <x v="4"/>
    <x v="0"/>
    <x v="0"/>
    <x v="0"/>
    <x v="0"/>
    <x v="0"/>
    <x v="0"/>
    <x v="0"/>
    <x v="0"/>
    <x v="0"/>
    <x v="68"/>
    <x v="3"/>
    <x v="0"/>
  </r>
  <r>
    <x v="533"/>
    <x v="530"/>
    <x v="4"/>
    <x v="3"/>
    <x v="3"/>
    <x v="0"/>
    <x v="0"/>
    <x v="0"/>
    <x v="0"/>
    <x v="0"/>
    <x v="0"/>
    <x v="0"/>
    <x v="69"/>
    <x v="0"/>
    <x v="0"/>
  </r>
  <r>
    <x v="534"/>
    <x v="531"/>
    <x v="4"/>
    <x v="3"/>
    <x v="3"/>
    <x v="0"/>
    <x v="0"/>
    <x v="7"/>
    <x v="0"/>
    <x v="0"/>
    <x v="0"/>
    <x v="0"/>
    <x v="69"/>
    <x v="0"/>
    <x v="0"/>
  </r>
  <r>
    <x v="535"/>
    <x v="532"/>
    <x v="9"/>
    <x v="0"/>
    <x v="0"/>
    <x v="0"/>
    <x v="0"/>
    <x v="0"/>
    <x v="0"/>
    <x v="0"/>
    <x v="0"/>
    <x v="0"/>
    <x v="70"/>
    <x v="0"/>
    <x v="0"/>
  </r>
  <r>
    <x v="536"/>
    <x v="533"/>
    <x v="1"/>
    <x v="2"/>
    <x v="2"/>
    <x v="0"/>
    <x v="0"/>
    <x v="0"/>
    <x v="0"/>
    <x v="0"/>
    <x v="0"/>
    <x v="0"/>
    <x v="70"/>
    <x v="0"/>
    <x v="0"/>
  </r>
  <r>
    <x v="537"/>
    <x v="534"/>
    <x v="3"/>
    <x v="0"/>
    <x v="0"/>
    <x v="0"/>
    <x v="0"/>
    <x v="0"/>
    <x v="0"/>
    <x v="0"/>
    <x v="0"/>
    <x v="0"/>
    <x v="70"/>
    <x v="0"/>
    <x v="0"/>
  </r>
  <r>
    <x v="538"/>
    <x v="535"/>
    <x v="1"/>
    <x v="2"/>
    <x v="2"/>
    <x v="0"/>
    <x v="0"/>
    <x v="0"/>
    <x v="0"/>
    <x v="0"/>
    <x v="0"/>
    <x v="0"/>
    <x v="70"/>
    <x v="0"/>
    <x v="0"/>
  </r>
  <r>
    <x v="539"/>
    <x v="536"/>
    <x v="1"/>
    <x v="2"/>
    <x v="2"/>
    <x v="0"/>
    <x v="0"/>
    <x v="0"/>
    <x v="0"/>
    <x v="0"/>
    <x v="0"/>
    <x v="0"/>
    <x v="70"/>
    <x v="0"/>
    <x v="0"/>
  </r>
  <r>
    <x v="540"/>
    <x v="537"/>
    <x v="1"/>
    <x v="2"/>
    <x v="2"/>
    <x v="0"/>
    <x v="0"/>
    <x v="0"/>
    <x v="0"/>
    <x v="0"/>
    <x v="0"/>
    <x v="0"/>
    <x v="71"/>
    <x v="0"/>
    <x v="0"/>
  </r>
  <r>
    <x v="541"/>
    <x v="538"/>
    <x v="1"/>
    <x v="1"/>
    <x v="1"/>
    <x v="0"/>
    <x v="0"/>
    <x v="0"/>
    <x v="0"/>
    <x v="0"/>
    <x v="0"/>
    <x v="0"/>
    <x v="71"/>
    <x v="0"/>
    <x v="0"/>
  </r>
  <r>
    <x v="542"/>
    <x v="539"/>
    <x v="10"/>
    <x v="0"/>
    <x v="0"/>
    <x v="0"/>
    <x v="0"/>
    <x v="0"/>
    <x v="0"/>
    <x v="0"/>
    <x v="0"/>
    <x v="0"/>
    <x v="71"/>
    <x v="3"/>
    <x v="0"/>
  </r>
  <r>
    <x v="543"/>
    <x v="540"/>
    <x v="1"/>
    <x v="1"/>
    <x v="1"/>
    <x v="0"/>
    <x v="0"/>
    <x v="0"/>
    <x v="0"/>
    <x v="0"/>
    <x v="0"/>
    <x v="0"/>
    <x v="72"/>
    <x v="0"/>
    <x v="0"/>
  </r>
  <r>
    <x v="544"/>
    <x v="541"/>
    <x v="1"/>
    <x v="2"/>
    <x v="2"/>
    <x v="0"/>
    <x v="0"/>
    <x v="0"/>
    <x v="0"/>
    <x v="0"/>
    <x v="0"/>
    <x v="0"/>
    <x v="72"/>
    <x v="0"/>
    <x v="0"/>
  </r>
  <r>
    <x v="545"/>
    <x v="542"/>
    <x v="1"/>
    <x v="5"/>
    <x v="5"/>
    <x v="0"/>
    <x v="0"/>
    <x v="3"/>
    <x v="0"/>
    <x v="0"/>
    <x v="7"/>
    <x v="0"/>
    <x v="72"/>
    <x v="0"/>
    <x v="0"/>
  </r>
  <r>
    <x v="546"/>
    <x v="543"/>
    <x v="8"/>
    <x v="0"/>
    <x v="0"/>
    <x v="0"/>
    <x v="0"/>
    <x v="0"/>
    <x v="0"/>
    <x v="0"/>
    <x v="9"/>
    <x v="0"/>
    <x v="73"/>
    <x v="0"/>
    <x v="0"/>
  </r>
  <r>
    <x v="547"/>
    <x v="544"/>
    <x v="1"/>
    <x v="2"/>
    <x v="2"/>
    <x v="0"/>
    <x v="0"/>
    <x v="0"/>
    <x v="0"/>
    <x v="0"/>
    <x v="0"/>
    <x v="0"/>
    <x v="74"/>
    <x v="0"/>
    <x v="0"/>
  </r>
  <r>
    <x v="548"/>
    <x v="545"/>
    <x v="4"/>
    <x v="2"/>
    <x v="2"/>
    <x v="0"/>
    <x v="0"/>
    <x v="1"/>
    <x v="0"/>
    <x v="0"/>
    <x v="0"/>
    <x v="0"/>
    <x v="74"/>
    <x v="0"/>
    <x v="0"/>
  </r>
  <r>
    <x v="549"/>
    <x v="546"/>
    <x v="4"/>
    <x v="2"/>
    <x v="2"/>
    <x v="0"/>
    <x v="0"/>
    <x v="1"/>
    <x v="0"/>
    <x v="0"/>
    <x v="0"/>
    <x v="0"/>
    <x v="74"/>
    <x v="0"/>
    <x v="0"/>
  </r>
  <r>
    <x v="550"/>
    <x v="547"/>
    <x v="4"/>
    <x v="2"/>
    <x v="2"/>
    <x v="0"/>
    <x v="0"/>
    <x v="1"/>
    <x v="0"/>
    <x v="0"/>
    <x v="0"/>
    <x v="0"/>
    <x v="74"/>
    <x v="0"/>
    <x v="0"/>
  </r>
  <r>
    <x v="551"/>
    <x v="548"/>
    <x v="4"/>
    <x v="2"/>
    <x v="2"/>
    <x v="0"/>
    <x v="0"/>
    <x v="1"/>
    <x v="0"/>
    <x v="0"/>
    <x v="0"/>
    <x v="0"/>
    <x v="74"/>
    <x v="0"/>
    <x v="0"/>
  </r>
  <r>
    <x v="552"/>
    <x v="549"/>
    <x v="1"/>
    <x v="2"/>
    <x v="2"/>
    <x v="0"/>
    <x v="0"/>
    <x v="0"/>
    <x v="0"/>
    <x v="0"/>
    <x v="0"/>
    <x v="0"/>
    <x v="75"/>
    <x v="0"/>
    <x v="0"/>
  </r>
  <r>
    <x v="553"/>
    <x v="550"/>
    <x v="1"/>
    <x v="2"/>
    <x v="2"/>
    <x v="0"/>
    <x v="0"/>
    <x v="0"/>
    <x v="0"/>
    <x v="0"/>
    <x v="0"/>
    <x v="0"/>
    <x v="75"/>
    <x v="0"/>
    <x v="0"/>
  </r>
  <r>
    <x v="554"/>
    <x v="551"/>
    <x v="1"/>
    <x v="2"/>
    <x v="2"/>
    <x v="0"/>
    <x v="0"/>
    <x v="0"/>
    <x v="0"/>
    <x v="0"/>
    <x v="0"/>
    <x v="0"/>
    <x v="76"/>
    <x v="0"/>
    <x v="0"/>
  </r>
  <r>
    <x v="555"/>
    <x v="552"/>
    <x v="1"/>
    <x v="2"/>
    <x v="2"/>
    <x v="0"/>
    <x v="2"/>
    <x v="0"/>
    <x v="0"/>
    <x v="0"/>
    <x v="0"/>
    <x v="1"/>
    <x v="77"/>
    <x v="4"/>
    <x v="0"/>
  </r>
  <r>
    <x v="556"/>
    <x v="553"/>
    <x v="1"/>
    <x v="2"/>
    <x v="2"/>
    <x v="0"/>
    <x v="2"/>
    <x v="0"/>
    <x v="0"/>
    <x v="0"/>
    <x v="0"/>
    <x v="1"/>
    <x v="77"/>
    <x v="4"/>
    <x v="0"/>
  </r>
  <r>
    <x v="557"/>
    <x v="554"/>
    <x v="1"/>
    <x v="2"/>
    <x v="2"/>
    <x v="0"/>
    <x v="2"/>
    <x v="0"/>
    <x v="0"/>
    <x v="0"/>
    <x v="0"/>
    <x v="1"/>
    <x v="77"/>
    <x v="4"/>
    <x v="0"/>
  </r>
  <r>
    <x v="558"/>
    <x v="555"/>
    <x v="1"/>
    <x v="2"/>
    <x v="2"/>
    <x v="0"/>
    <x v="2"/>
    <x v="0"/>
    <x v="0"/>
    <x v="0"/>
    <x v="0"/>
    <x v="1"/>
    <x v="77"/>
    <x v="4"/>
    <x v="0"/>
  </r>
  <r>
    <x v="559"/>
    <x v="556"/>
    <x v="1"/>
    <x v="2"/>
    <x v="2"/>
    <x v="0"/>
    <x v="3"/>
    <x v="0"/>
    <x v="0"/>
    <x v="0"/>
    <x v="0"/>
    <x v="1"/>
    <x v="77"/>
    <x v="4"/>
    <x v="0"/>
  </r>
  <r>
    <x v="560"/>
    <x v="557"/>
    <x v="1"/>
    <x v="2"/>
    <x v="2"/>
    <x v="0"/>
    <x v="2"/>
    <x v="0"/>
    <x v="0"/>
    <x v="0"/>
    <x v="0"/>
    <x v="1"/>
    <x v="77"/>
    <x v="4"/>
    <x v="0"/>
  </r>
  <r>
    <x v="561"/>
    <x v="558"/>
    <x v="1"/>
    <x v="2"/>
    <x v="2"/>
    <x v="0"/>
    <x v="2"/>
    <x v="0"/>
    <x v="0"/>
    <x v="0"/>
    <x v="8"/>
    <x v="1"/>
    <x v="77"/>
    <x v="4"/>
    <x v="0"/>
  </r>
  <r>
    <x v="562"/>
    <x v="559"/>
    <x v="1"/>
    <x v="2"/>
    <x v="2"/>
    <x v="0"/>
    <x v="0"/>
    <x v="0"/>
    <x v="0"/>
    <x v="0"/>
    <x v="0"/>
    <x v="0"/>
    <x v="77"/>
    <x v="0"/>
    <x v="0"/>
  </r>
  <r>
    <x v="563"/>
    <x v="560"/>
    <x v="1"/>
    <x v="2"/>
    <x v="2"/>
    <x v="0"/>
    <x v="0"/>
    <x v="0"/>
    <x v="0"/>
    <x v="0"/>
    <x v="0"/>
    <x v="0"/>
    <x v="77"/>
    <x v="0"/>
    <x v="0"/>
  </r>
  <r>
    <x v="564"/>
    <x v="561"/>
    <x v="4"/>
    <x v="2"/>
    <x v="2"/>
    <x v="0"/>
    <x v="0"/>
    <x v="0"/>
    <x v="0"/>
    <x v="0"/>
    <x v="0"/>
    <x v="0"/>
    <x v="78"/>
    <x v="0"/>
    <x v="0"/>
  </r>
  <r>
    <x v="565"/>
    <x v="562"/>
    <x v="4"/>
    <x v="2"/>
    <x v="2"/>
    <x v="0"/>
    <x v="0"/>
    <x v="0"/>
    <x v="0"/>
    <x v="0"/>
    <x v="0"/>
    <x v="0"/>
    <x v="78"/>
    <x v="0"/>
    <x v="0"/>
  </r>
  <r>
    <x v="566"/>
    <x v="563"/>
    <x v="4"/>
    <x v="2"/>
    <x v="2"/>
    <x v="0"/>
    <x v="0"/>
    <x v="0"/>
    <x v="0"/>
    <x v="0"/>
    <x v="0"/>
    <x v="0"/>
    <x v="78"/>
    <x v="0"/>
    <x v="0"/>
  </r>
  <r>
    <x v="567"/>
    <x v="564"/>
    <x v="4"/>
    <x v="2"/>
    <x v="2"/>
    <x v="0"/>
    <x v="0"/>
    <x v="0"/>
    <x v="0"/>
    <x v="0"/>
    <x v="0"/>
    <x v="0"/>
    <x v="78"/>
    <x v="0"/>
    <x v="0"/>
  </r>
  <r>
    <x v="568"/>
    <x v="565"/>
    <x v="1"/>
    <x v="3"/>
    <x v="3"/>
    <x v="0"/>
    <x v="0"/>
    <x v="0"/>
    <x v="0"/>
    <x v="0"/>
    <x v="0"/>
    <x v="0"/>
    <x v="79"/>
    <x v="0"/>
    <x v="0"/>
  </r>
  <r>
    <x v="569"/>
    <x v="566"/>
    <x v="1"/>
    <x v="2"/>
    <x v="2"/>
    <x v="0"/>
    <x v="0"/>
    <x v="0"/>
    <x v="0"/>
    <x v="0"/>
    <x v="0"/>
    <x v="0"/>
    <x v="80"/>
    <x v="0"/>
    <x v="0"/>
  </r>
  <r>
    <x v="570"/>
    <x v="567"/>
    <x v="1"/>
    <x v="2"/>
    <x v="2"/>
    <x v="0"/>
    <x v="0"/>
    <x v="0"/>
    <x v="0"/>
    <x v="0"/>
    <x v="0"/>
    <x v="0"/>
    <x v="80"/>
    <x v="0"/>
    <x v="0"/>
  </r>
  <r>
    <x v="571"/>
    <x v="568"/>
    <x v="1"/>
    <x v="2"/>
    <x v="2"/>
    <x v="0"/>
    <x v="0"/>
    <x v="0"/>
    <x v="0"/>
    <x v="0"/>
    <x v="0"/>
    <x v="0"/>
    <x v="81"/>
    <x v="0"/>
    <x v="0"/>
  </r>
  <r>
    <x v="572"/>
    <x v="569"/>
    <x v="1"/>
    <x v="2"/>
    <x v="2"/>
    <x v="0"/>
    <x v="0"/>
    <x v="0"/>
    <x v="0"/>
    <x v="0"/>
    <x v="0"/>
    <x v="0"/>
    <x v="81"/>
    <x v="0"/>
    <x v="0"/>
  </r>
  <r>
    <x v="573"/>
    <x v="570"/>
    <x v="4"/>
    <x v="2"/>
    <x v="2"/>
    <x v="0"/>
    <x v="0"/>
    <x v="0"/>
    <x v="0"/>
    <x v="0"/>
    <x v="0"/>
    <x v="0"/>
    <x v="81"/>
    <x v="0"/>
    <x v="0"/>
  </r>
  <r>
    <x v="574"/>
    <x v="571"/>
    <x v="1"/>
    <x v="2"/>
    <x v="2"/>
    <x v="0"/>
    <x v="0"/>
    <x v="0"/>
    <x v="0"/>
    <x v="0"/>
    <x v="0"/>
    <x v="0"/>
    <x v="81"/>
    <x v="0"/>
    <x v="0"/>
  </r>
  <r>
    <x v="575"/>
    <x v="572"/>
    <x v="4"/>
    <x v="2"/>
    <x v="2"/>
    <x v="0"/>
    <x v="0"/>
    <x v="0"/>
    <x v="0"/>
    <x v="0"/>
    <x v="0"/>
    <x v="0"/>
    <x v="82"/>
    <x v="0"/>
    <x v="0"/>
  </r>
  <r>
    <x v="576"/>
    <x v="573"/>
    <x v="1"/>
    <x v="2"/>
    <x v="2"/>
    <x v="0"/>
    <x v="0"/>
    <x v="0"/>
    <x v="0"/>
    <x v="0"/>
    <x v="0"/>
    <x v="0"/>
    <x v="83"/>
    <x v="0"/>
    <x v="0"/>
  </r>
  <r>
    <x v="577"/>
    <x v="574"/>
    <x v="1"/>
    <x v="2"/>
    <x v="2"/>
    <x v="0"/>
    <x v="0"/>
    <x v="0"/>
    <x v="0"/>
    <x v="0"/>
    <x v="0"/>
    <x v="0"/>
    <x v="83"/>
    <x v="0"/>
    <x v="0"/>
  </r>
  <r>
    <x v="578"/>
    <x v="575"/>
    <x v="1"/>
    <x v="3"/>
    <x v="3"/>
    <x v="0"/>
    <x v="0"/>
    <x v="0"/>
    <x v="0"/>
    <x v="0"/>
    <x v="0"/>
    <x v="0"/>
    <x v="83"/>
    <x v="0"/>
    <x v="0"/>
  </r>
  <r>
    <x v="579"/>
    <x v="575"/>
    <x v="8"/>
    <x v="0"/>
    <x v="0"/>
    <x v="0"/>
    <x v="0"/>
    <x v="0"/>
    <x v="0"/>
    <x v="0"/>
    <x v="0"/>
    <x v="0"/>
    <x v="83"/>
    <x v="0"/>
    <x v="0"/>
  </r>
  <r>
    <x v="580"/>
    <x v="576"/>
    <x v="1"/>
    <x v="2"/>
    <x v="2"/>
    <x v="0"/>
    <x v="0"/>
    <x v="0"/>
    <x v="0"/>
    <x v="0"/>
    <x v="0"/>
    <x v="0"/>
    <x v="84"/>
    <x v="0"/>
    <x v="0"/>
  </r>
  <r>
    <x v="581"/>
    <x v="577"/>
    <x v="1"/>
    <x v="2"/>
    <x v="2"/>
    <x v="0"/>
    <x v="0"/>
    <x v="0"/>
    <x v="0"/>
    <x v="0"/>
    <x v="0"/>
    <x v="0"/>
    <x v="84"/>
    <x v="0"/>
    <x v="0"/>
  </r>
  <r>
    <x v="582"/>
    <x v="578"/>
    <x v="1"/>
    <x v="2"/>
    <x v="2"/>
    <x v="0"/>
    <x v="0"/>
    <x v="0"/>
    <x v="0"/>
    <x v="0"/>
    <x v="0"/>
    <x v="0"/>
    <x v="84"/>
    <x v="0"/>
    <x v="0"/>
  </r>
  <r>
    <x v="583"/>
    <x v="579"/>
    <x v="1"/>
    <x v="2"/>
    <x v="2"/>
    <x v="0"/>
    <x v="0"/>
    <x v="0"/>
    <x v="0"/>
    <x v="0"/>
    <x v="0"/>
    <x v="0"/>
    <x v="85"/>
    <x v="0"/>
    <x v="0"/>
  </r>
  <r>
    <x v="584"/>
    <x v="580"/>
    <x v="1"/>
    <x v="2"/>
    <x v="2"/>
    <x v="0"/>
    <x v="0"/>
    <x v="0"/>
    <x v="0"/>
    <x v="0"/>
    <x v="0"/>
    <x v="0"/>
    <x v="85"/>
    <x v="0"/>
    <x v="0"/>
  </r>
  <r>
    <x v="585"/>
    <x v="581"/>
    <x v="1"/>
    <x v="2"/>
    <x v="2"/>
    <x v="0"/>
    <x v="0"/>
    <x v="0"/>
    <x v="0"/>
    <x v="0"/>
    <x v="0"/>
    <x v="0"/>
    <x v="85"/>
    <x v="0"/>
    <x v="0"/>
  </r>
  <r>
    <x v="586"/>
    <x v="582"/>
    <x v="4"/>
    <x v="2"/>
    <x v="2"/>
    <x v="0"/>
    <x v="0"/>
    <x v="0"/>
    <x v="0"/>
    <x v="0"/>
    <x v="0"/>
    <x v="0"/>
    <x v="85"/>
    <x v="0"/>
    <x v="0"/>
  </r>
  <r>
    <x v="587"/>
    <x v="583"/>
    <x v="2"/>
    <x v="1"/>
    <x v="1"/>
    <x v="0"/>
    <x v="0"/>
    <x v="3"/>
    <x v="0"/>
    <x v="0"/>
    <x v="2"/>
    <x v="0"/>
    <x v="86"/>
    <x v="0"/>
    <x v="0"/>
  </r>
  <r>
    <x v="588"/>
    <x v="584"/>
    <x v="1"/>
    <x v="2"/>
    <x v="2"/>
    <x v="0"/>
    <x v="0"/>
    <x v="0"/>
    <x v="0"/>
    <x v="0"/>
    <x v="0"/>
    <x v="0"/>
    <x v="86"/>
    <x v="0"/>
    <x v="0"/>
  </r>
  <r>
    <x v="589"/>
    <x v="585"/>
    <x v="1"/>
    <x v="2"/>
    <x v="2"/>
    <x v="0"/>
    <x v="0"/>
    <x v="0"/>
    <x v="0"/>
    <x v="0"/>
    <x v="0"/>
    <x v="0"/>
    <x v="86"/>
    <x v="0"/>
    <x v="0"/>
  </r>
  <r>
    <x v="590"/>
    <x v="586"/>
    <x v="1"/>
    <x v="2"/>
    <x v="2"/>
    <x v="0"/>
    <x v="0"/>
    <x v="0"/>
    <x v="0"/>
    <x v="0"/>
    <x v="0"/>
    <x v="0"/>
    <x v="86"/>
    <x v="0"/>
    <x v="0"/>
  </r>
  <r>
    <x v="591"/>
    <x v="587"/>
    <x v="1"/>
    <x v="2"/>
    <x v="2"/>
    <x v="0"/>
    <x v="0"/>
    <x v="0"/>
    <x v="0"/>
    <x v="0"/>
    <x v="0"/>
    <x v="0"/>
    <x v="86"/>
    <x v="0"/>
    <x v="0"/>
  </r>
  <r>
    <x v="592"/>
    <x v="588"/>
    <x v="4"/>
    <x v="2"/>
    <x v="2"/>
    <x v="0"/>
    <x v="0"/>
    <x v="0"/>
    <x v="0"/>
    <x v="0"/>
    <x v="0"/>
    <x v="0"/>
    <x v="86"/>
    <x v="0"/>
    <x v="0"/>
  </r>
  <r>
    <x v="593"/>
    <x v="589"/>
    <x v="1"/>
    <x v="2"/>
    <x v="2"/>
    <x v="0"/>
    <x v="0"/>
    <x v="0"/>
    <x v="0"/>
    <x v="0"/>
    <x v="0"/>
    <x v="0"/>
    <x v="87"/>
    <x v="0"/>
    <x v="0"/>
  </r>
  <r>
    <x v="594"/>
    <x v="590"/>
    <x v="1"/>
    <x v="2"/>
    <x v="2"/>
    <x v="0"/>
    <x v="0"/>
    <x v="0"/>
    <x v="0"/>
    <x v="0"/>
    <x v="0"/>
    <x v="0"/>
    <x v="88"/>
    <x v="0"/>
    <x v="0"/>
  </r>
  <r>
    <x v="595"/>
    <x v="591"/>
    <x v="4"/>
    <x v="2"/>
    <x v="2"/>
    <x v="0"/>
    <x v="0"/>
    <x v="0"/>
    <x v="0"/>
    <x v="0"/>
    <x v="0"/>
    <x v="0"/>
    <x v="89"/>
    <x v="0"/>
    <x v="0"/>
  </r>
  <r>
    <x v="596"/>
    <x v="592"/>
    <x v="1"/>
    <x v="2"/>
    <x v="2"/>
    <x v="0"/>
    <x v="0"/>
    <x v="0"/>
    <x v="0"/>
    <x v="0"/>
    <x v="0"/>
    <x v="0"/>
    <x v="89"/>
    <x v="0"/>
    <x v="0"/>
  </r>
  <r>
    <x v="597"/>
    <x v="593"/>
    <x v="1"/>
    <x v="2"/>
    <x v="2"/>
    <x v="0"/>
    <x v="0"/>
    <x v="0"/>
    <x v="0"/>
    <x v="0"/>
    <x v="14"/>
    <x v="0"/>
    <x v="89"/>
    <x v="0"/>
    <x v="0"/>
  </r>
  <r>
    <x v="598"/>
    <x v="594"/>
    <x v="4"/>
    <x v="2"/>
    <x v="2"/>
    <x v="0"/>
    <x v="0"/>
    <x v="0"/>
    <x v="0"/>
    <x v="0"/>
    <x v="0"/>
    <x v="0"/>
    <x v="90"/>
    <x v="0"/>
    <x v="0"/>
  </r>
  <r>
    <x v="599"/>
    <x v="595"/>
    <x v="4"/>
    <x v="2"/>
    <x v="2"/>
    <x v="0"/>
    <x v="0"/>
    <x v="3"/>
    <x v="0"/>
    <x v="0"/>
    <x v="14"/>
    <x v="0"/>
    <x v="90"/>
    <x v="0"/>
    <x v="0"/>
  </r>
  <r>
    <x v="600"/>
    <x v="596"/>
    <x v="1"/>
    <x v="5"/>
    <x v="5"/>
    <x v="0"/>
    <x v="0"/>
    <x v="0"/>
    <x v="0"/>
    <x v="0"/>
    <x v="0"/>
    <x v="0"/>
    <x v="91"/>
    <x v="0"/>
    <x v="0"/>
  </r>
  <r>
    <x v="601"/>
    <x v="597"/>
    <x v="1"/>
    <x v="5"/>
    <x v="5"/>
    <x v="0"/>
    <x v="0"/>
    <x v="0"/>
    <x v="0"/>
    <x v="0"/>
    <x v="0"/>
    <x v="0"/>
    <x v="91"/>
    <x v="0"/>
    <x v="0"/>
  </r>
  <r>
    <x v="602"/>
    <x v="598"/>
    <x v="1"/>
    <x v="5"/>
    <x v="5"/>
    <x v="0"/>
    <x v="0"/>
    <x v="0"/>
    <x v="0"/>
    <x v="0"/>
    <x v="0"/>
    <x v="0"/>
    <x v="91"/>
    <x v="0"/>
    <x v="0"/>
  </r>
  <r>
    <x v="603"/>
    <x v="599"/>
    <x v="1"/>
    <x v="5"/>
    <x v="5"/>
    <x v="0"/>
    <x v="0"/>
    <x v="0"/>
    <x v="0"/>
    <x v="0"/>
    <x v="0"/>
    <x v="0"/>
    <x v="91"/>
    <x v="5"/>
    <x v="0"/>
  </r>
  <r>
    <x v="604"/>
    <x v="600"/>
    <x v="1"/>
    <x v="2"/>
    <x v="2"/>
    <x v="0"/>
    <x v="0"/>
    <x v="0"/>
    <x v="0"/>
    <x v="0"/>
    <x v="0"/>
    <x v="0"/>
    <x v="91"/>
    <x v="0"/>
    <x v="0"/>
  </r>
  <r>
    <x v="605"/>
    <x v="601"/>
    <x v="4"/>
    <x v="2"/>
    <x v="2"/>
    <x v="0"/>
    <x v="0"/>
    <x v="0"/>
    <x v="0"/>
    <x v="0"/>
    <x v="0"/>
    <x v="0"/>
    <x v="92"/>
    <x v="0"/>
    <x v="0"/>
  </r>
  <r>
    <x v="606"/>
    <x v="602"/>
    <x v="1"/>
    <x v="2"/>
    <x v="2"/>
    <x v="0"/>
    <x v="0"/>
    <x v="0"/>
    <x v="0"/>
    <x v="0"/>
    <x v="0"/>
    <x v="0"/>
    <x v="92"/>
    <x v="0"/>
    <x v="0"/>
  </r>
  <r>
    <x v="607"/>
    <x v="603"/>
    <x v="11"/>
    <x v="1"/>
    <x v="1"/>
    <x v="0"/>
    <x v="0"/>
    <x v="0"/>
    <x v="0"/>
    <x v="0"/>
    <x v="0"/>
    <x v="0"/>
    <x v="93"/>
    <x v="0"/>
    <x v="0"/>
  </r>
  <r>
    <x v="608"/>
    <x v="604"/>
    <x v="1"/>
    <x v="2"/>
    <x v="2"/>
    <x v="0"/>
    <x v="0"/>
    <x v="0"/>
    <x v="0"/>
    <x v="0"/>
    <x v="0"/>
    <x v="0"/>
    <x v="93"/>
    <x v="5"/>
    <x v="0"/>
  </r>
  <r>
    <x v="609"/>
    <x v="605"/>
    <x v="4"/>
    <x v="1"/>
    <x v="1"/>
    <x v="0"/>
    <x v="0"/>
    <x v="0"/>
    <x v="0"/>
    <x v="0"/>
    <x v="0"/>
    <x v="0"/>
    <x v="93"/>
    <x v="0"/>
    <x v="0"/>
  </r>
  <r>
    <x v="610"/>
    <x v="606"/>
    <x v="1"/>
    <x v="2"/>
    <x v="2"/>
    <x v="0"/>
    <x v="0"/>
    <x v="0"/>
    <x v="0"/>
    <x v="0"/>
    <x v="0"/>
    <x v="0"/>
    <x v="93"/>
    <x v="0"/>
    <x v="0"/>
  </r>
  <r>
    <x v="611"/>
    <x v="607"/>
    <x v="11"/>
    <x v="1"/>
    <x v="1"/>
    <x v="0"/>
    <x v="0"/>
    <x v="0"/>
    <x v="0"/>
    <x v="0"/>
    <x v="0"/>
    <x v="0"/>
    <x v="94"/>
    <x v="0"/>
    <x v="0"/>
  </r>
  <r>
    <x v="612"/>
    <x v="608"/>
    <x v="11"/>
    <x v="1"/>
    <x v="1"/>
    <x v="0"/>
    <x v="0"/>
    <x v="0"/>
    <x v="0"/>
    <x v="0"/>
    <x v="0"/>
    <x v="0"/>
    <x v="94"/>
    <x v="0"/>
    <x v="0"/>
  </r>
  <r>
    <x v="613"/>
    <x v="609"/>
    <x v="11"/>
    <x v="1"/>
    <x v="1"/>
    <x v="0"/>
    <x v="0"/>
    <x v="0"/>
    <x v="0"/>
    <x v="0"/>
    <x v="0"/>
    <x v="0"/>
    <x v="94"/>
    <x v="0"/>
    <x v="0"/>
  </r>
  <r>
    <x v="614"/>
    <x v="610"/>
    <x v="4"/>
    <x v="3"/>
    <x v="3"/>
    <x v="0"/>
    <x v="0"/>
    <x v="7"/>
    <x v="0"/>
    <x v="0"/>
    <x v="0"/>
    <x v="0"/>
    <x v="95"/>
    <x v="0"/>
    <x v="0"/>
  </r>
  <r>
    <x v="615"/>
    <x v="611"/>
    <x v="4"/>
    <x v="3"/>
    <x v="3"/>
    <x v="0"/>
    <x v="0"/>
    <x v="0"/>
    <x v="0"/>
    <x v="0"/>
    <x v="13"/>
    <x v="2"/>
    <x v="95"/>
    <x v="0"/>
    <x v="0"/>
  </r>
  <r>
    <x v="616"/>
    <x v="612"/>
    <x v="4"/>
    <x v="3"/>
    <x v="3"/>
    <x v="0"/>
    <x v="0"/>
    <x v="0"/>
    <x v="0"/>
    <x v="0"/>
    <x v="13"/>
    <x v="2"/>
    <x v="95"/>
    <x v="0"/>
    <x v="0"/>
  </r>
  <r>
    <x v="617"/>
    <x v="613"/>
    <x v="4"/>
    <x v="3"/>
    <x v="3"/>
    <x v="0"/>
    <x v="0"/>
    <x v="0"/>
    <x v="0"/>
    <x v="0"/>
    <x v="13"/>
    <x v="2"/>
    <x v="95"/>
    <x v="0"/>
    <x v="0"/>
  </r>
  <r>
    <x v="618"/>
    <x v="614"/>
    <x v="4"/>
    <x v="3"/>
    <x v="3"/>
    <x v="0"/>
    <x v="0"/>
    <x v="7"/>
    <x v="0"/>
    <x v="0"/>
    <x v="13"/>
    <x v="2"/>
    <x v="95"/>
    <x v="0"/>
    <x v="0"/>
  </r>
  <r>
    <x v="619"/>
    <x v="615"/>
    <x v="4"/>
    <x v="3"/>
    <x v="3"/>
    <x v="0"/>
    <x v="0"/>
    <x v="7"/>
    <x v="0"/>
    <x v="0"/>
    <x v="13"/>
    <x v="2"/>
    <x v="95"/>
    <x v="0"/>
    <x v="0"/>
  </r>
  <r>
    <x v="620"/>
    <x v="530"/>
    <x v="4"/>
    <x v="3"/>
    <x v="3"/>
    <x v="0"/>
    <x v="0"/>
    <x v="0"/>
    <x v="0"/>
    <x v="0"/>
    <x v="0"/>
    <x v="0"/>
    <x v="95"/>
    <x v="0"/>
    <x v="0"/>
  </r>
  <r>
    <x v="621"/>
    <x v="616"/>
    <x v="4"/>
    <x v="2"/>
    <x v="2"/>
    <x v="0"/>
    <x v="0"/>
    <x v="1"/>
    <x v="0"/>
    <x v="0"/>
    <x v="0"/>
    <x v="0"/>
    <x v="96"/>
    <x v="0"/>
    <x v="0"/>
  </r>
  <r>
    <x v="622"/>
    <x v="617"/>
    <x v="11"/>
    <x v="2"/>
    <x v="2"/>
    <x v="0"/>
    <x v="0"/>
    <x v="0"/>
    <x v="0"/>
    <x v="0"/>
    <x v="0"/>
    <x v="0"/>
    <x v="96"/>
    <x v="0"/>
    <x v="0"/>
  </r>
  <r>
    <x v="623"/>
    <x v="618"/>
    <x v="11"/>
    <x v="2"/>
    <x v="2"/>
    <x v="0"/>
    <x v="0"/>
    <x v="0"/>
    <x v="0"/>
    <x v="0"/>
    <x v="0"/>
    <x v="0"/>
    <x v="96"/>
    <x v="0"/>
    <x v="0"/>
  </r>
  <r>
    <x v="624"/>
    <x v="619"/>
    <x v="4"/>
    <x v="2"/>
    <x v="2"/>
    <x v="0"/>
    <x v="0"/>
    <x v="0"/>
    <x v="0"/>
    <x v="0"/>
    <x v="0"/>
    <x v="0"/>
    <x v="96"/>
    <x v="0"/>
    <x v="0"/>
  </r>
  <r>
    <x v="625"/>
    <x v="620"/>
    <x v="4"/>
    <x v="2"/>
    <x v="2"/>
    <x v="0"/>
    <x v="0"/>
    <x v="0"/>
    <x v="0"/>
    <x v="0"/>
    <x v="0"/>
    <x v="0"/>
    <x v="96"/>
    <x v="0"/>
    <x v="0"/>
  </r>
  <r>
    <x v="626"/>
    <x v="621"/>
    <x v="4"/>
    <x v="2"/>
    <x v="2"/>
    <x v="0"/>
    <x v="0"/>
    <x v="0"/>
    <x v="0"/>
    <x v="0"/>
    <x v="0"/>
    <x v="0"/>
    <x v="96"/>
    <x v="0"/>
    <x v="0"/>
  </r>
  <r>
    <x v="627"/>
    <x v="622"/>
    <x v="4"/>
    <x v="2"/>
    <x v="2"/>
    <x v="0"/>
    <x v="0"/>
    <x v="0"/>
    <x v="0"/>
    <x v="0"/>
    <x v="0"/>
    <x v="0"/>
    <x v="96"/>
    <x v="0"/>
    <x v="0"/>
  </r>
  <r>
    <x v="628"/>
    <x v="623"/>
    <x v="4"/>
    <x v="2"/>
    <x v="2"/>
    <x v="0"/>
    <x v="0"/>
    <x v="0"/>
    <x v="0"/>
    <x v="0"/>
    <x v="0"/>
    <x v="0"/>
    <x v="96"/>
    <x v="0"/>
    <x v="0"/>
  </r>
  <r>
    <x v="629"/>
    <x v="624"/>
    <x v="4"/>
    <x v="2"/>
    <x v="2"/>
    <x v="0"/>
    <x v="0"/>
    <x v="0"/>
    <x v="0"/>
    <x v="0"/>
    <x v="0"/>
    <x v="0"/>
    <x v="96"/>
    <x v="0"/>
    <x v="0"/>
  </r>
  <r>
    <x v="630"/>
    <x v="625"/>
    <x v="8"/>
    <x v="0"/>
    <x v="0"/>
    <x v="0"/>
    <x v="0"/>
    <x v="0"/>
    <x v="0"/>
    <x v="0"/>
    <x v="4"/>
    <x v="0"/>
    <x v="96"/>
    <x v="0"/>
    <x v="0"/>
  </r>
  <r>
    <x v="631"/>
    <x v="626"/>
    <x v="2"/>
    <x v="2"/>
    <x v="2"/>
    <x v="0"/>
    <x v="0"/>
    <x v="0"/>
    <x v="0"/>
    <x v="0"/>
    <x v="0"/>
    <x v="0"/>
    <x v="97"/>
    <x v="0"/>
    <x v="0"/>
  </r>
  <r>
    <x v="632"/>
    <x v="627"/>
    <x v="2"/>
    <x v="1"/>
    <x v="1"/>
    <x v="0"/>
    <x v="0"/>
    <x v="0"/>
    <x v="0"/>
    <x v="0"/>
    <x v="0"/>
    <x v="0"/>
    <x v="97"/>
    <x v="0"/>
    <x v="0"/>
  </r>
  <r>
    <x v="633"/>
    <x v="628"/>
    <x v="10"/>
    <x v="0"/>
    <x v="0"/>
    <x v="0"/>
    <x v="0"/>
    <x v="0"/>
    <x v="0"/>
    <x v="0"/>
    <x v="0"/>
    <x v="0"/>
    <x v="97"/>
    <x v="3"/>
    <x v="0"/>
  </r>
  <r>
    <x v="634"/>
    <x v="629"/>
    <x v="1"/>
    <x v="5"/>
    <x v="5"/>
    <x v="0"/>
    <x v="0"/>
    <x v="0"/>
    <x v="0"/>
    <x v="0"/>
    <x v="7"/>
    <x v="0"/>
    <x v="97"/>
    <x v="0"/>
    <x v="0"/>
  </r>
  <r>
    <x v="635"/>
    <x v="630"/>
    <x v="1"/>
    <x v="5"/>
    <x v="5"/>
    <x v="0"/>
    <x v="0"/>
    <x v="0"/>
    <x v="0"/>
    <x v="0"/>
    <x v="7"/>
    <x v="0"/>
    <x v="97"/>
    <x v="0"/>
    <x v="0"/>
  </r>
  <r>
    <x v="636"/>
    <x v="631"/>
    <x v="1"/>
    <x v="2"/>
    <x v="2"/>
    <x v="0"/>
    <x v="0"/>
    <x v="0"/>
    <x v="0"/>
    <x v="0"/>
    <x v="0"/>
    <x v="0"/>
    <x v="98"/>
    <x v="0"/>
    <x v="0"/>
  </r>
  <r>
    <x v="637"/>
    <x v="632"/>
    <x v="1"/>
    <x v="2"/>
    <x v="2"/>
    <x v="0"/>
    <x v="0"/>
    <x v="0"/>
    <x v="0"/>
    <x v="0"/>
    <x v="0"/>
    <x v="0"/>
    <x v="98"/>
    <x v="0"/>
    <x v="0"/>
  </r>
  <r>
    <x v="638"/>
    <x v="633"/>
    <x v="2"/>
    <x v="2"/>
    <x v="2"/>
    <x v="0"/>
    <x v="0"/>
    <x v="0"/>
    <x v="0"/>
    <x v="0"/>
    <x v="0"/>
    <x v="0"/>
    <x v="98"/>
    <x v="0"/>
    <x v="0"/>
  </r>
  <r>
    <x v="639"/>
    <x v="634"/>
    <x v="2"/>
    <x v="2"/>
    <x v="2"/>
    <x v="0"/>
    <x v="0"/>
    <x v="0"/>
    <x v="0"/>
    <x v="0"/>
    <x v="8"/>
    <x v="0"/>
    <x v="98"/>
    <x v="0"/>
    <x v="0"/>
  </r>
  <r>
    <x v="640"/>
    <x v="635"/>
    <x v="4"/>
    <x v="2"/>
    <x v="2"/>
    <x v="0"/>
    <x v="0"/>
    <x v="0"/>
    <x v="0"/>
    <x v="0"/>
    <x v="0"/>
    <x v="0"/>
    <x v="98"/>
    <x v="0"/>
    <x v="0"/>
  </r>
  <r>
    <x v="641"/>
    <x v="636"/>
    <x v="4"/>
    <x v="2"/>
    <x v="2"/>
    <x v="0"/>
    <x v="0"/>
    <x v="0"/>
    <x v="0"/>
    <x v="0"/>
    <x v="8"/>
    <x v="0"/>
    <x v="99"/>
    <x v="0"/>
    <x v="0"/>
  </r>
  <r>
    <x v="642"/>
    <x v="637"/>
    <x v="4"/>
    <x v="0"/>
    <x v="0"/>
    <x v="0"/>
    <x v="0"/>
    <x v="0"/>
    <x v="0"/>
    <x v="0"/>
    <x v="12"/>
    <x v="3"/>
    <x v="99"/>
    <x v="0"/>
    <x v="0"/>
  </r>
  <r>
    <x v="643"/>
    <x v="638"/>
    <x v="3"/>
    <x v="0"/>
    <x v="0"/>
    <x v="0"/>
    <x v="0"/>
    <x v="0"/>
    <x v="0"/>
    <x v="0"/>
    <x v="12"/>
    <x v="3"/>
    <x v="99"/>
    <x v="0"/>
    <x v="0"/>
  </r>
  <r>
    <x v="644"/>
    <x v="639"/>
    <x v="4"/>
    <x v="1"/>
    <x v="1"/>
    <x v="0"/>
    <x v="0"/>
    <x v="0"/>
    <x v="0"/>
    <x v="0"/>
    <x v="0"/>
    <x v="0"/>
    <x v="99"/>
    <x v="0"/>
    <x v="0"/>
  </r>
  <r>
    <x v="645"/>
    <x v="640"/>
    <x v="4"/>
    <x v="1"/>
    <x v="1"/>
    <x v="0"/>
    <x v="0"/>
    <x v="0"/>
    <x v="0"/>
    <x v="0"/>
    <x v="0"/>
    <x v="0"/>
    <x v="99"/>
    <x v="0"/>
    <x v="0"/>
  </r>
  <r>
    <x v="646"/>
    <x v="641"/>
    <x v="4"/>
    <x v="1"/>
    <x v="1"/>
    <x v="0"/>
    <x v="0"/>
    <x v="0"/>
    <x v="0"/>
    <x v="0"/>
    <x v="0"/>
    <x v="0"/>
    <x v="99"/>
    <x v="0"/>
    <x v="0"/>
  </r>
  <r>
    <x v="647"/>
    <x v="642"/>
    <x v="11"/>
    <x v="2"/>
    <x v="2"/>
    <x v="0"/>
    <x v="0"/>
    <x v="0"/>
    <x v="0"/>
    <x v="0"/>
    <x v="0"/>
    <x v="0"/>
    <x v="99"/>
    <x v="0"/>
    <x v="0"/>
  </r>
  <r>
    <x v="648"/>
    <x v="643"/>
    <x v="11"/>
    <x v="2"/>
    <x v="2"/>
    <x v="0"/>
    <x v="0"/>
    <x v="0"/>
    <x v="0"/>
    <x v="0"/>
    <x v="0"/>
    <x v="0"/>
    <x v="99"/>
    <x v="0"/>
    <x v="0"/>
  </r>
  <r>
    <x v="649"/>
    <x v="644"/>
    <x v="11"/>
    <x v="2"/>
    <x v="2"/>
    <x v="0"/>
    <x v="0"/>
    <x v="2"/>
    <x v="0"/>
    <x v="0"/>
    <x v="0"/>
    <x v="0"/>
    <x v="99"/>
    <x v="0"/>
    <x v="0"/>
  </r>
  <r>
    <x v="650"/>
    <x v="645"/>
    <x v="11"/>
    <x v="1"/>
    <x v="1"/>
    <x v="0"/>
    <x v="0"/>
    <x v="0"/>
    <x v="0"/>
    <x v="0"/>
    <x v="0"/>
    <x v="0"/>
    <x v="100"/>
    <x v="0"/>
    <x v="0"/>
  </r>
  <r>
    <x v="651"/>
    <x v="646"/>
    <x v="1"/>
    <x v="5"/>
    <x v="5"/>
    <x v="0"/>
    <x v="0"/>
    <x v="0"/>
    <x v="0"/>
    <x v="0"/>
    <x v="0"/>
    <x v="0"/>
    <x v="101"/>
    <x v="0"/>
    <x v="0"/>
  </r>
  <r>
    <x v="652"/>
    <x v="647"/>
    <x v="3"/>
    <x v="0"/>
    <x v="0"/>
    <x v="0"/>
    <x v="0"/>
    <x v="0"/>
    <x v="0"/>
    <x v="0"/>
    <x v="0"/>
    <x v="4"/>
    <x v="102"/>
    <x v="0"/>
    <x v="0"/>
  </r>
  <r>
    <x v="653"/>
    <x v="648"/>
    <x v="3"/>
    <x v="0"/>
    <x v="0"/>
    <x v="0"/>
    <x v="0"/>
    <x v="0"/>
    <x v="0"/>
    <x v="0"/>
    <x v="0"/>
    <x v="0"/>
    <x v="102"/>
    <x v="0"/>
    <x v="0"/>
  </r>
  <r>
    <x v="654"/>
    <x v="649"/>
    <x v="3"/>
    <x v="0"/>
    <x v="0"/>
    <x v="0"/>
    <x v="0"/>
    <x v="0"/>
    <x v="0"/>
    <x v="0"/>
    <x v="0"/>
    <x v="5"/>
    <x v="102"/>
    <x v="0"/>
    <x v="0"/>
  </r>
  <r>
    <x v="655"/>
    <x v="650"/>
    <x v="3"/>
    <x v="0"/>
    <x v="0"/>
    <x v="0"/>
    <x v="0"/>
    <x v="0"/>
    <x v="0"/>
    <x v="0"/>
    <x v="0"/>
    <x v="0"/>
    <x v="102"/>
    <x v="0"/>
    <x v="0"/>
  </r>
  <r>
    <x v="656"/>
    <x v="651"/>
    <x v="3"/>
    <x v="0"/>
    <x v="0"/>
    <x v="0"/>
    <x v="0"/>
    <x v="0"/>
    <x v="0"/>
    <x v="0"/>
    <x v="0"/>
    <x v="0"/>
    <x v="102"/>
    <x v="0"/>
    <x v="0"/>
  </r>
  <r>
    <x v="657"/>
    <x v="652"/>
    <x v="3"/>
    <x v="0"/>
    <x v="0"/>
    <x v="0"/>
    <x v="0"/>
    <x v="0"/>
    <x v="0"/>
    <x v="0"/>
    <x v="0"/>
    <x v="4"/>
    <x v="102"/>
    <x v="0"/>
    <x v="0"/>
  </r>
  <r>
    <x v="658"/>
    <x v="653"/>
    <x v="3"/>
    <x v="0"/>
    <x v="0"/>
    <x v="0"/>
    <x v="0"/>
    <x v="0"/>
    <x v="0"/>
    <x v="0"/>
    <x v="0"/>
    <x v="0"/>
    <x v="102"/>
    <x v="0"/>
    <x v="0"/>
  </r>
  <r>
    <x v="659"/>
    <x v="654"/>
    <x v="3"/>
    <x v="0"/>
    <x v="0"/>
    <x v="0"/>
    <x v="0"/>
    <x v="0"/>
    <x v="0"/>
    <x v="0"/>
    <x v="0"/>
    <x v="0"/>
    <x v="102"/>
    <x v="0"/>
    <x v="0"/>
  </r>
  <r>
    <x v="660"/>
    <x v="655"/>
    <x v="3"/>
    <x v="0"/>
    <x v="0"/>
    <x v="0"/>
    <x v="0"/>
    <x v="0"/>
    <x v="0"/>
    <x v="0"/>
    <x v="0"/>
    <x v="3"/>
    <x v="102"/>
    <x v="0"/>
    <x v="0"/>
  </r>
  <r>
    <x v="661"/>
    <x v="656"/>
    <x v="3"/>
    <x v="0"/>
    <x v="0"/>
    <x v="0"/>
    <x v="0"/>
    <x v="0"/>
    <x v="0"/>
    <x v="0"/>
    <x v="0"/>
    <x v="4"/>
    <x v="102"/>
    <x v="0"/>
    <x v="0"/>
  </r>
  <r>
    <x v="662"/>
    <x v="657"/>
    <x v="3"/>
    <x v="0"/>
    <x v="0"/>
    <x v="0"/>
    <x v="0"/>
    <x v="0"/>
    <x v="0"/>
    <x v="0"/>
    <x v="0"/>
    <x v="4"/>
    <x v="102"/>
    <x v="0"/>
    <x v="0"/>
  </r>
  <r>
    <x v="663"/>
    <x v="658"/>
    <x v="3"/>
    <x v="0"/>
    <x v="0"/>
    <x v="0"/>
    <x v="0"/>
    <x v="0"/>
    <x v="0"/>
    <x v="0"/>
    <x v="0"/>
    <x v="4"/>
    <x v="102"/>
    <x v="0"/>
    <x v="0"/>
  </r>
  <r>
    <x v="664"/>
    <x v="659"/>
    <x v="3"/>
    <x v="0"/>
    <x v="0"/>
    <x v="0"/>
    <x v="0"/>
    <x v="0"/>
    <x v="0"/>
    <x v="0"/>
    <x v="0"/>
    <x v="4"/>
    <x v="102"/>
    <x v="0"/>
    <x v="0"/>
  </r>
  <r>
    <x v="665"/>
    <x v="660"/>
    <x v="3"/>
    <x v="0"/>
    <x v="0"/>
    <x v="0"/>
    <x v="0"/>
    <x v="0"/>
    <x v="0"/>
    <x v="0"/>
    <x v="0"/>
    <x v="4"/>
    <x v="102"/>
    <x v="0"/>
    <x v="0"/>
  </r>
  <r>
    <x v="666"/>
    <x v="661"/>
    <x v="3"/>
    <x v="0"/>
    <x v="0"/>
    <x v="0"/>
    <x v="0"/>
    <x v="0"/>
    <x v="0"/>
    <x v="0"/>
    <x v="0"/>
    <x v="4"/>
    <x v="102"/>
    <x v="0"/>
    <x v="0"/>
  </r>
  <r>
    <x v="667"/>
    <x v="662"/>
    <x v="3"/>
    <x v="0"/>
    <x v="0"/>
    <x v="0"/>
    <x v="0"/>
    <x v="0"/>
    <x v="0"/>
    <x v="0"/>
    <x v="0"/>
    <x v="4"/>
    <x v="102"/>
    <x v="0"/>
    <x v="0"/>
  </r>
  <r>
    <x v="668"/>
    <x v="663"/>
    <x v="3"/>
    <x v="0"/>
    <x v="0"/>
    <x v="0"/>
    <x v="0"/>
    <x v="0"/>
    <x v="0"/>
    <x v="0"/>
    <x v="0"/>
    <x v="4"/>
    <x v="102"/>
    <x v="0"/>
    <x v="0"/>
  </r>
  <r>
    <x v="669"/>
    <x v="664"/>
    <x v="3"/>
    <x v="0"/>
    <x v="0"/>
    <x v="0"/>
    <x v="0"/>
    <x v="0"/>
    <x v="0"/>
    <x v="0"/>
    <x v="0"/>
    <x v="5"/>
    <x v="102"/>
    <x v="0"/>
    <x v="0"/>
  </r>
  <r>
    <x v="670"/>
    <x v="665"/>
    <x v="3"/>
    <x v="0"/>
    <x v="0"/>
    <x v="0"/>
    <x v="0"/>
    <x v="0"/>
    <x v="0"/>
    <x v="0"/>
    <x v="0"/>
    <x v="3"/>
    <x v="102"/>
    <x v="0"/>
    <x v="0"/>
  </r>
  <r>
    <x v="671"/>
    <x v="666"/>
    <x v="3"/>
    <x v="0"/>
    <x v="0"/>
    <x v="0"/>
    <x v="0"/>
    <x v="0"/>
    <x v="0"/>
    <x v="0"/>
    <x v="0"/>
    <x v="3"/>
    <x v="102"/>
    <x v="0"/>
    <x v="0"/>
  </r>
  <r>
    <x v="672"/>
    <x v="667"/>
    <x v="3"/>
    <x v="0"/>
    <x v="0"/>
    <x v="0"/>
    <x v="0"/>
    <x v="0"/>
    <x v="0"/>
    <x v="0"/>
    <x v="0"/>
    <x v="3"/>
    <x v="102"/>
    <x v="0"/>
    <x v="0"/>
  </r>
  <r>
    <x v="673"/>
    <x v="668"/>
    <x v="3"/>
    <x v="0"/>
    <x v="0"/>
    <x v="0"/>
    <x v="0"/>
    <x v="0"/>
    <x v="0"/>
    <x v="0"/>
    <x v="0"/>
    <x v="3"/>
    <x v="102"/>
    <x v="0"/>
    <x v="0"/>
  </r>
  <r>
    <x v="674"/>
    <x v="669"/>
    <x v="3"/>
    <x v="0"/>
    <x v="0"/>
    <x v="0"/>
    <x v="0"/>
    <x v="0"/>
    <x v="0"/>
    <x v="0"/>
    <x v="0"/>
    <x v="0"/>
    <x v="102"/>
    <x v="0"/>
    <x v="0"/>
  </r>
  <r>
    <x v="675"/>
    <x v="670"/>
    <x v="3"/>
    <x v="0"/>
    <x v="0"/>
    <x v="0"/>
    <x v="0"/>
    <x v="0"/>
    <x v="0"/>
    <x v="0"/>
    <x v="0"/>
    <x v="4"/>
    <x v="102"/>
    <x v="0"/>
    <x v="0"/>
  </r>
  <r>
    <x v="676"/>
    <x v="671"/>
    <x v="3"/>
    <x v="0"/>
    <x v="0"/>
    <x v="0"/>
    <x v="0"/>
    <x v="0"/>
    <x v="0"/>
    <x v="0"/>
    <x v="0"/>
    <x v="0"/>
    <x v="102"/>
    <x v="0"/>
    <x v="0"/>
  </r>
  <r>
    <x v="677"/>
    <x v="672"/>
    <x v="3"/>
    <x v="0"/>
    <x v="0"/>
    <x v="0"/>
    <x v="0"/>
    <x v="0"/>
    <x v="0"/>
    <x v="0"/>
    <x v="0"/>
    <x v="5"/>
    <x v="102"/>
    <x v="0"/>
    <x v="0"/>
  </r>
  <r>
    <x v="678"/>
    <x v="673"/>
    <x v="3"/>
    <x v="0"/>
    <x v="0"/>
    <x v="0"/>
    <x v="0"/>
    <x v="0"/>
    <x v="0"/>
    <x v="0"/>
    <x v="0"/>
    <x v="0"/>
    <x v="102"/>
    <x v="0"/>
    <x v="0"/>
  </r>
  <r>
    <x v="679"/>
    <x v="674"/>
    <x v="3"/>
    <x v="0"/>
    <x v="0"/>
    <x v="0"/>
    <x v="0"/>
    <x v="0"/>
    <x v="0"/>
    <x v="0"/>
    <x v="0"/>
    <x v="3"/>
    <x v="102"/>
    <x v="0"/>
    <x v="0"/>
  </r>
  <r>
    <x v="680"/>
    <x v="675"/>
    <x v="3"/>
    <x v="0"/>
    <x v="0"/>
    <x v="0"/>
    <x v="0"/>
    <x v="0"/>
    <x v="0"/>
    <x v="0"/>
    <x v="0"/>
    <x v="3"/>
    <x v="102"/>
    <x v="0"/>
    <x v="0"/>
  </r>
  <r>
    <x v="681"/>
    <x v="676"/>
    <x v="3"/>
    <x v="0"/>
    <x v="0"/>
    <x v="0"/>
    <x v="0"/>
    <x v="0"/>
    <x v="0"/>
    <x v="0"/>
    <x v="0"/>
    <x v="0"/>
    <x v="102"/>
    <x v="0"/>
    <x v="0"/>
  </r>
  <r>
    <x v="682"/>
    <x v="677"/>
    <x v="3"/>
    <x v="0"/>
    <x v="0"/>
    <x v="0"/>
    <x v="0"/>
    <x v="0"/>
    <x v="0"/>
    <x v="0"/>
    <x v="0"/>
    <x v="4"/>
    <x v="102"/>
    <x v="0"/>
    <x v="0"/>
  </r>
  <r>
    <x v="683"/>
    <x v="678"/>
    <x v="3"/>
    <x v="0"/>
    <x v="0"/>
    <x v="0"/>
    <x v="0"/>
    <x v="0"/>
    <x v="0"/>
    <x v="0"/>
    <x v="0"/>
    <x v="3"/>
    <x v="102"/>
    <x v="0"/>
    <x v="0"/>
  </r>
  <r>
    <x v="684"/>
    <x v="679"/>
    <x v="12"/>
    <x v="0"/>
    <x v="0"/>
    <x v="0"/>
    <x v="0"/>
    <x v="0"/>
    <x v="0"/>
    <x v="0"/>
    <x v="0"/>
    <x v="3"/>
    <x v="102"/>
    <x v="0"/>
    <x v="0"/>
  </r>
  <r>
    <x v="685"/>
    <x v="680"/>
    <x v="12"/>
    <x v="0"/>
    <x v="0"/>
    <x v="0"/>
    <x v="0"/>
    <x v="0"/>
    <x v="0"/>
    <x v="0"/>
    <x v="0"/>
    <x v="4"/>
    <x v="102"/>
    <x v="4"/>
    <x v="0"/>
  </r>
  <r>
    <x v="686"/>
    <x v="681"/>
    <x v="3"/>
    <x v="0"/>
    <x v="0"/>
    <x v="0"/>
    <x v="0"/>
    <x v="0"/>
    <x v="0"/>
    <x v="0"/>
    <x v="0"/>
    <x v="0"/>
    <x v="102"/>
    <x v="0"/>
    <x v="0"/>
  </r>
  <r>
    <x v="687"/>
    <x v="682"/>
    <x v="4"/>
    <x v="2"/>
    <x v="2"/>
    <x v="0"/>
    <x v="0"/>
    <x v="0"/>
    <x v="0"/>
    <x v="0"/>
    <x v="9"/>
    <x v="6"/>
    <x v="103"/>
    <x v="0"/>
    <x v="0"/>
  </r>
  <r>
    <x v="688"/>
    <x v="683"/>
    <x v="4"/>
    <x v="2"/>
    <x v="2"/>
    <x v="0"/>
    <x v="0"/>
    <x v="0"/>
    <x v="0"/>
    <x v="0"/>
    <x v="0"/>
    <x v="0"/>
    <x v="104"/>
    <x v="0"/>
    <x v="0"/>
  </r>
  <r>
    <x v="689"/>
    <x v="684"/>
    <x v="11"/>
    <x v="2"/>
    <x v="2"/>
    <x v="0"/>
    <x v="0"/>
    <x v="0"/>
    <x v="0"/>
    <x v="0"/>
    <x v="0"/>
    <x v="0"/>
    <x v="104"/>
    <x v="0"/>
    <x v="0"/>
  </r>
  <r>
    <x v="690"/>
    <x v="685"/>
    <x v="1"/>
    <x v="3"/>
    <x v="3"/>
    <x v="0"/>
    <x v="0"/>
    <x v="0"/>
    <x v="0"/>
    <x v="0"/>
    <x v="0"/>
    <x v="0"/>
    <x v="104"/>
    <x v="0"/>
    <x v="0"/>
  </r>
  <r>
    <x v="691"/>
    <x v="686"/>
    <x v="4"/>
    <x v="3"/>
    <x v="3"/>
    <x v="0"/>
    <x v="0"/>
    <x v="0"/>
    <x v="0"/>
    <x v="0"/>
    <x v="0"/>
    <x v="0"/>
    <x v="104"/>
    <x v="0"/>
    <x v="0"/>
  </r>
  <r>
    <x v="692"/>
    <x v="687"/>
    <x v="4"/>
    <x v="3"/>
    <x v="3"/>
    <x v="0"/>
    <x v="0"/>
    <x v="0"/>
    <x v="0"/>
    <x v="0"/>
    <x v="0"/>
    <x v="0"/>
    <x v="104"/>
    <x v="0"/>
    <x v="0"/>
  </r>
  <r>
    <x v="693"/>
    <x v="688"/>
    <x v="4"/>
    <x v="3"/>
    <x v="3"/>
    <x v="0"/>
    <x v="0"/>
    <x v="0"/>
    <x v="0"/>
    <x v="0"/>
    <x v="0"/>
    <x v="0"/>
    <x v="104"/>
    <x v="0"/>
    <x v="0"/>
  </r>
  <r>
    <x v="694"/>
    <x v="689"/>
    <x v="11"/>
    <x v="2"/>
    <x v="2"/>
    <x v="0"/>
    <x v="0"/>
    <x v="0"/>
    <x v="0"/>
    <x v="0"/>
    <x v="0"/>
    <x v="0"/>
    <x v="105"/>
    <x v="0"/>
    <x v="0"/>
  </r>
  <r>
    <x v="695"/>
    <x v="690"/>
    <x v="11"/>
    <x v="2"/>
    <x v="2"/>
    <x v="0"/>
    <x v="0"/>
    <x v="0"/>
    <x v="0"/>
    <x v="0"/>
    <x v="0"/>
    <x v="6"/>
    <x v="106"/>
    <x v="0"/>
    <x v="0"/>
  </r>
  <r>
    <x v="696"/>
    <x v="691"/>
    <x v="11"/>
    <x v="2"/>
    <x v="2"/>
    <x v="0"/>
    <x v="0"/>
    <x v="2"/>
    <x v="0"/>
    <x v="0"/>
    <x v="9"/>
    <x v="0"/>
    <x v="106"/>
    <x v="0"/>
    <x v="0"/>
  </r>
  <r>
    <x v="697"/>
    <x v="692"/>
    <x v="4"/>
    <x v="2"/>
    <x v="2"/>
    <x v="0"/>
    <x v="0"/>
    <x v="3"/>
    <x v="0"/>
    <x v="0"/>
    <x v="6"/>
    <x v="0"/>
    <x v="106"/>
    <x v="0"/>
    <x v="0"/>
  </r>
  <r>
    <x v="698"/>
    <x v="693"/>
    <x v="11"/>
    <x v="2"/>
    <x v="2"/>
    <x v="0"/>
    <x v="0"/>
    <x v="0"/>
    <x v="0"/>
    <x v="0"/>
    <x v="0"/>
    <x v="1"/>
    <x v="107"/>
    <x v="0"/>
    <x v="0"/>
  </r>
  <r>
    <x v="699"/>
    <x v="694"/>
    <x v="11"/>
    <x v="2"/>
    <x v="2"/>
    <x v="0"/>
    <x v="0"/>
    <x v="0"/>
    <x v="0"/>
    <x v="0"/>
    <x v="0"/>
    <x v="0"/>
    <x v="108"/>
    <x v="0"/>
    <x v="0"/>
  </r>
  <r>
    <x v="700"/>
    <x v="695"/>
    <x v="11"/>
    <x v="2"/>
    <x v="2"/>
    <x v="0"/>
    <x v="0"/>
    <x v="0"/>
    <x v="0"/>
    <x v="0"/>
    <x v="0"/>
    <x v="0"/>
    <x v="108"/>
    <x v="0"/>
    <x v="0"/>
  </r>
  <r>
    <x v="701"/>
    <x v="696"/>
    <x v="1"/>
    <x v="2"/>
    <x v="2"/>
    <x v="0"/>
    <x v="0"/>
    <x v="0"/>
    <x v="0"/>
    <x v="0"/>
    <x v="0"/>
    <x v="1"/>
    <x v="109"/>
    <x v="0"/>
    <x v="0"/>
  </r>
  <r>
    <x v="702"/>
    <x v="697"/>
    <x v="10"/>
    <x v="0"/>
    <x v="0"/>
    <x v="0"/>
    <x v="0"/>
    <x v="0"/>
    <x v="0"/>
    <x v="0"/>
    <x v="0"/>
    <x v="5"/>
    <x v="109"/>
    <x v="6"/>
    <x v="0"/>
  </r>
  <r>
    <x v="703"/>
    <x v="698"/>
    <x v="2"/>
    <x v="2"/>
    <x v="2"/>
    <x v="0"/>
    <x v="0"/>
    <x v="0"/>
    <x v="0"/>
    <x v="0"/>
    <x v="0"/>
    <x v="0"/>
    <x v="109"/>
    <x v="0"/>
    <x v="0"/>
  </r>
  <r>
    <x v="704"/>
    <x v="699"/>
    <x v="10"/>
    <x v="0"/>
    <x v="0"/>
    <x v="0"/>
    <x v="0"/>
    <x v="0"/>
    <x v="0"/>
    <x v="0"/>
    <x v="12"/>
    <x v="3"/>
    <x v="109"/>
    <x v="3"/>
    <x v="0"/>
  </r>
  <r>
    <x v="705"/>
    <x v="700"/>
    <x v="1"/>
    <x v="3"/>
    <x v="3"/>
    <x v="0"/>
    <x v="0"/>
    <x v="0"/>
    <x v="0"/>
    <x v="0"/>
    <x v="0"/>
    <x v="0"/>
    <x v="110"/>
    <x v="0"/>
    <x v="0"/>
  </r>
  <r>
    <x v="706"/>
    <x v="701"/>
    <x v="4"/>
    <x v="2"/>
    <x v="2"/>
    <x v="0"/>
    <x v="0"/>
    <x v="0"/>
    <x v="0"/>
    <x v="0"/>
    <x v="5"/>
    <x v="0"/>
    <x v="111"/>
    <x v="0"/>
    <x v="0"/>
  </r>
  <r>
    <x v="707"/>
    <x v="702"/>
    <x v="1"/>
    <x v="3"/>
    <x v="3"/>
    <x v="0"/>
    <x v="0"/>
    <x v="0"/>
    <x v="0"/>
    <x v="0"/>
    <x v="0"/>
    <x v="0"/>
    <x v="112"/>
    <x v="0"/>
    <x v="0"/>
  </r>
  <r>
    <x v="708"/>
    <x v="703"/>
    <x v="4"/>
    <x v="2"/>
    <x v="2"/>
    <x v="0"/>
    <x v="0"/>
    <x v="3"/>
    <x v="0"/>
    <x v="0"/>
    <x v="0"/>
    <x v="0"/>
    <x v="113"/>
    <x v="0"/>
    <x v="0"/>
  </r>
  <r>
    <x v="709"/>
    <x v="704"/>
    <x v="9"/>
    <x v="0"/>
    <x v="0"/>
    <x v="0"/>
    <x v="0"/>
    <x v="0"/>
    <x v="0"/>
    <x v="0"/>
    <x v="0"/>
    <x v="0"/>
    <x v="113"/>
    <x v="0"/>
    <x v="0"/>
  </r>
  <r>
    <x v="710"/>
    <x v="705"/>
    <x v="1"/>
    <x v="1"/>
    <x v="1"/>
    <x v="0"/>
    <x v="0"/>
    <x v="0"/>
    <x v="0"/>
    <x v="0"/>
    <x v="0"/>
    <x v="0"/>
    <x v="113"/>
    <x v="0"/>
    <x v="0"/>
  </r>
  <r>
    <x v="711"/>
    <x v="706"/>
    <x v="2"/>
    <x v="2"/>
    <x v="2"/>
    <x v="0"/>
    <x v="0"/>
    <x v="0"/>
    <x v="0"/>
    <x v="0"/>
    <x v="0"/>
    <x v="0"/>
    <x v="113"/>
    <x v="0"/>
    <x v="0"/>
  </r>
  <r>
    <x v="712"/>
    <x v="707"/>
    <x v="13"/>
    <x v="0"/>
    <x v="0"/>
    <x v="0"/>
    <x v="0"/>
    <x v="0"/>
    <x v="0"/>
    <x v="0"/>
    <x v="0"/>
    <x v="3"/>
    <x v="113"/>
    <x v="3"/>
    <x v="0"/>
  </r>
  <r>
    <x v="713"/>
    <x v="708"/>
    <x v="1"/>
    <x v="2"/>
    <x v="2"/>
    <x v="0"/>
    <x v="1"/>
    <x v="0"/>
    <x v="0"/>
    <x v="0"/>
    <x v="0"/>
    <x v="0"/>
    <x v="113"/>
    <x v="0"/>
    <x v="0"/>
  </r>
  <r>
    <x v="714"/>
    <x v="709"/>
    <x v="13"/>
    <x v="0"/>
    <x v="0"/>
    <x v="0"/>
    <x v="0"/>
    <x v="0"/>
    <x v="0"/>
    <x v="0"/>
    <x v="0"/>
    <x v="3"/>
    <x v="113"/>
    <x v="3"/>
    <x v="0"/>
  </r>
  <r>
    <x v="715"/>
    <x v="710"/>
    <x v="4"/>
    <x v="2"/>
    <x v="2"/>
    <x v="0"/>
    <x v="0"/>
    <x v="0"/>
    <x v="0"/>
    <x v="0"/>
    <x v="0"/>
    <x v="0"/>
    <x v="114"/>
    <x v="0"/>
    <x v="0"/>
  </r>
  <r>
    <x v="716"/>
    <x v="711"/>
    <x v="4"/>
    <x v="2"/>
    <x v="2"/>
    <x v="0"/>
    <x v="0"/>
    <x v="0"/>
    <x v="0"/>
    <x v="0"/>
    <x v="0"/>
    <x v="7"/>
    <x v="114"/>
    <x v="0"/>
    <x v="0"/>
  </r>
  <r>
    <x v="717"/>
    <x v="712"/>
    <x v="2"/>
    <x v="3"/>
    <x v="3"/>
    <x v="0"/>
    <x v="0"/>
    <x v="5"/>
    <x v="0"/>
    <x v="0"/>
    <x v="13"/>
    <x v="7"/>
    <x v="114"/>
    <x v="0"/>
    <x v="0"/>
  </r>
  <r>
    <x v="718"/>
    <x v="713"/>
    <x v="4"/>
    <x v="2"/>
    <x v="2"/>
    <x v="0"/>
    <x v="0"/>
    <x v="0"/>
    <x v="0"/>
    <x v="0"/>
    <x v="9"/>
    <x v="8"/>
    <x v="114"/>
    <x v="0"/>
    <x v="0"/>
  </r>
  <r>
    <x v="719"/>
    <x v="714"/>
    <x v="12"/>
    <x v="0"/>
    <x v="0"/>
    <x v="0"/>
    <x v="0"/>
    <x v="0"/>
    <x v="0"/>
    <x v="0"/>
    <x v="12"/>
    <x v="3"/>
    <x v="115"/>
    <x v="7"/>
    <x v="0"/>
  </r>
  <r>
    <x v="720"/>
    <x v="715"/>
    <x v="4"/>
    <x v="1"/>
    <x v="1"/>
    <x v="0"/>
    <x v="0"/>
    <x v="7"/>
    <x v="0"/>
    <x v="0"/>
    <x v="2"/>
    <x v="8"/>
    <x v="116"/>
    <x v="0"/>
    <x v="0"/>
  </r>
  <r>
    <x v="721"/>
    <x v="716"/>
    <x v="4"/>
    <x v="2"/>
    <x v="2"/>
    <x v="0"/>
    <x v="0"/>
    <x v="0"/>
    <x v="0"/>
    <x v="0"/>
    <x v="15"/>
    <x v="0"/>
    <x v="117"/>
    <x v="0"/>
    <x v="0"/>
  </r>
  <r>
    <x v="722"/>
    <x v="717"/>
    <x v="4"/>
    <x v="2"/>
    <x v="2"/>
    <x v="0"/>
    <x v="0"/>
    <x v="0"/>
    <x v="0"/>
    <x v="0"/>
    <x v="0"/>
    <x v="2"/>
    <x v="118"/>
    <x v="0"/>
    <x v="0"/>
  </r>
  <r>
    <x v="723"/>
    <x v="718"/>
    <x v="6"/>
    <x v="3"/>
    <x v="3"/>
    <x v="0"/>
    <x v="0"/>
    <x v="1"/>
    <x v="0"/>
    <x v="0"/>
    <x v="0"/>
    <x v="7"/>
    <x v="118"/>
    <x v="0"/>
    <x v="0"/>
  </r>
  <r>
    <x v="724"/>
    <x v="719"/>
    <x v="1"/>
    <x v="3"/>
    <x v="3"/>
    <x v="0"/>
    <x v="0"/>
    <x v="0"/>
    <x v="0"/>
    <x v="0"/>
    <x v="0"/>
    <x v="0"/>
    <x v="118"/>
    <x v="0"/>
    <x v="0"/>
  </r>
  <r>
    <x v="725"/>
    <x v="720"/>
    <x v="11"/>
    <x v="2"/>
    <x v="2"/>
    <x v="0"/>
    <x v="0"/>
    <x v="0"/>
    <x v="0"/>
    <x v="0"/>
    <x v="0"/>
    <x v="1"/>
    <x v="118"/>
    <x v="0"/>
    <x v="0"/>
  </r>
  <r>
    <x v="726"/>
    <x v="721"/>
    <x v="11"/>
    <x v="2"/>
    <x v="2"/>
    <x v="0"/>
    <x v="0"/>
    <x v="0"/>
    <x v="0"/>
    <x v="0"/>
    <x v="0"/>
    <x v="0"/>
    <x v="119"/>
    <x v="0"/>
    <x v="0"/>
  </r>
  <r>
    <x v="727"/>
    <x v="722"/>
    <x v="12"/>
    <x v="0"/>
    <x v="0"/>
    <x v="0"/>
    <x v="0"/>
    <x v="0"/>
    <x v="0"/>
    <x v="0"/>
    <x v="12"/>
    <x v="5"/>
    <x v="119"/>
    <x v="8"/>
    <x v="0"/>
  </r>
  <r>
    <x v="728"/>
    <x v="723"/>
    <x v="12"/>
    <x v="0"/>
    <x v="0"/>
    <x v="0"/>
    <x v="0"/>
    <x v="0"/>
    <x v="0"/>
    <x v="0"/>
    <x v="0"/>
    <x v="0"/>
    <x v="119"/>
    <x v="0"/>
    <x v="0"/>
  </r>
  <r>
    <x v="729"/>
    <x v="724"/>
    <x v="1"/>
    <x v="1"/>
    <x v="1"/>
    <x v="0"/>
    <x v="0"/>
    <x v="0"/>
    <x v="0"/>
    <x v="0"/>
    <x v="0"/>
    <x v="0"/>
    <x v="120"/>
    <x v="0"/>
    <x v="0"/>
  </r>
  <r>
    <x v="730"/>
    <x v="725"/>
    <x v="1"/>
    <x v="2"/>
    <x v="2"/>
    <x v="0"/>
    <x v="0"/>
    <x v="0"/>
    <x v="0"/>
    <x v="0"/>
    <x v="0"/>
    <x v="0"/>
    <x v="120"/>
    <x v="0"/>
    <x v="0"/>
  </r>
  <r>
    <x v="731"/>
    <x v="726"/>
    <x v="3"/>
    <x v="0"/>
    <x v="0"/>
    <x v="0"/>
    <x v="0"/>
    <x v="0"/>
    <x v="0"/>
    <x v="0"/>
    <x v="12"/>
    <x v="0"/>
    <x v="120"/>
    <x v="0"/>
    <x v="0"/>
  </r>
  <r>
    <x v="732"/>
    <x v="727"/>
    <x v="12"/>
    <x v="0"/>
    <x v="0"/>
    <x v="0"/>
    <x v="0"/>
    <x v="0"/>
    <x v="0"/>
    <x v="0"/>
    <x v="12"/>
    <x v="0"/>
    <x v="120"/>
    <x v="9"/>
    <x v="0"/>
  </r>
  <r>
    <x v="733"/>
    <x v="728"/>
    <x v="4"/>
    <x v="1"/>
    <x v="1"/>
    <x v="0"/>
    <x v="0"/>
    <x v="7"/>
    <x v="0"/>
    <x v="0"/>
    <x v="0"/>
    <x v="2"/>
    <x v="120"/>
    <x v="0"/>
    <x v="0"/>
  </r>
  <r>
    <x v="734"/>
    <x v="729"/>
    <x v="1"/>
    <x v="3"/>
    <x v="3"/>
    <x v="0"/>
    <x v="0"/>
    <x v="3"/>
    <x v="0"/>
    <x v="0"/>
    <x v="0"/>
    <x v="8"/>
    <x v="121"/>
    <x v="0"/>
    <x v="0"/>
  </r>
  <r>
    <x v="735"/>
    <x v="730"/>
    <x v="4"/>
    <x v="2"/>
    <x v="2"/>
    <x v="0"/>
    <x v="0"/>
    <x v="0"/>
    <x v="0"/>
    <x v="0"/>
    <x v="0"/>
    <x v="2"/>
    <x v="121"/>
    <x v="0"/>
    <x v="0"/>
  </r>
  <r>
    <x v="736"/>
    <x v="731"/>
    <x v="4"/>
    <x v="2"/>
    <x v="2"/>
    <x v="0"/>
    <x v="0"/>
    <x v="0"/>
    <x v="0"/>
    <x v="0"/>
    <x v="0"/>
    <x v="0"/>
    <x v="122"/>
    <x v="0"/>
    <x v="0"/>
  </r>
  <r>
    <x v="737"/>
    <x v="732"/>
    <x v="12"/>
    <x v="0"/>
    <x v="0"/>
    <x v="0"/>
    <x v="0"/>
    <x v="0"/>
    <x v="0"/>
    <x v="0"/>
    <x v="0"/>
    <x v="9"/>
    <x v="122"/>
    <x v="10"/>
    <x v="0"/>
  </r>
  <r>
    <x v="738"/>
    <x v="733"/>
    <x v="3"/>
    <x v="0"/>
    <x v="0"/>
    <x v="0"/>
    <x v="0"/>
    <x v="0"/>
    <x v="0"/>
    <x v="0"/>
    <x v="0"/>
    <x v="5"/>
    <x v="122"/>
    <x v="0"/>
    <x v="0"/>
  </r>
  <r>
    <x v="739"/>
    <x v="734"/>
    <x v="4"/>
    <x v="1"/>
    <x v="1"/>
    <x v="0"/>
    <x v="0"/>
    <x v="0"/>
    <x v="0"/>
    <x v="0"/>
    <x v="0"/>
    <x v="0"/>
    <x v="122"/>
    <x v="0"/>
    <x v="0"/>
  </r>
  <r>
    <x v="740"/>
    <x v="735"/>
    <x v="4"/>
    <x v="2"/>
    <x v="2"/>
    <x v="0"/>
    <x v="0"/>
    <x v="0"/>
    <x v="0"/>
    <x v="0"/>
    <x v="5"/>
    <x v="0"/>
    <x v="123"/>
    <x v="0"/>
    <x v="0"/>
  </r>
  <r>
    <x v="741"/>
    <x v="736"/>
    <x v="4"/>
    <x v="2"/>
    <x v="2"/>
    <x v="0"/>
    <x v="0"/>
    <x v="0"/>
    <x v="0"/>
    <x v="0"/>
    <x v="0"/>
    <x v="0"/>
    <x v="123"/>
    <x v="0"/>
    <x v="0"/>
  </r>
  <r>
    <x v="742"/>
    <x v="737"/>
    <x v="12"/>
    <x v="0"/>
    <x v="0"/>
    <x v="0"/>
    <x v="0"/>
    <x v="0"/>
    <x v="0"/>
    <x v="0"/>
    <x v="0"/>
    <x v="4"/>
    <x v="123"/>
    <x v="11"/>
    <x v="0"/>
  </r>
  <r>
    <x v="743"/>
    <x v="738"/>
    <x v="12"/>
    <x v="0"/>
    <x v="0"/>
    <x v="0"/>
    <x v="0"/>
    <x v="0"/>
    <x v="0"/>
    <x v="0"/>
    <x v="0"/>
    <x v="10"/>
    <x v="123"/>
    <x v="8"/>
    <x v="0"/>
  </r>
  <r>
    <x v="744"/>
    <x v="739"/>
    <x v="12"/>
    <x v="0"/>
    <x v="0"/>
    <x v="0"/>
    <x v="0"/>
    <x v="0"/>
    <x v="0"/>
    <x v="0"/>
    <x v="0"/>
    <x v="10"/>
    <x v="123"/>
    <x v="8"/>
    <x v="0"/>
  </r>
  <r>
    <x v="745"/>
    <x v="740"/>
    <x v="3"/>
    <x v="0"/>
    <x v="0"/>
    <x v="0"/>
    <x v="0"/>
    <x v="0"/>
    <x v="0"/>
    <x v="0"/>
    <x v="0"/>
    <x v="0"/>
    <x v="124"/>
    <x v="0"/>
    <x v="0"/>
  </r>
  <r>
    <x v="746"/>
    <x v="741"/>
    <x v="3"/>
    <x v="0"/>
    <x v="0"/>
    <x v="0"/>
    <x v="0"/>
    <x v="0"/>
    <x v="0"/>
    <x v="0"/>
    <x v="0"/>
    <x v="5"/>
    <x v="124"/>
    <x v="0"/>
    <x v="0"/>
  </r>
  <r>
    <x v="747"/>
    <x v="742"/>
    <x v="12"/>
    <x v="0"/>
    <x v="0"/>
    <x v="0"/>
    <x v="0"/>
    <x v="0"/>
    <x v="0"/>
    <x v="0"/>
    <x v="0"/>
    <x v="5"/>
    <x v="124"/>
    <x v="0"/>
    <x v="0"/>
  </r>
  <r>
    <x v="748"/>
    <x v="743"/>
    <x v="4"/>
    <x v="1"/>
    <x v="1"/>
    <x v="0"/>
    <x v="0"/>
    <x v="1"/>
    <x v="0"/>
    <x v="0"/>
    <x v="2"/>
    <x v="11"/>
    <x v="125"/>
    <x v="0"/>
    <x v="0"/>
  </r>
  <r>
    <x v="749"/>
    <x v="744"/>
    <x v="4"/>
    <x v="2"/>
    <x v="2"/>
    <x v="0"/>
    <x v="0"/>
    <x v="0"/>
    <x v="0"/>
    <x v="0"/>
    <x v="0"/>
    <x v="11"/>
    <x v="126"/>
    <x v="0"/>
    <x v="0"/>
  </r>
  <r>
    <x v="750"/>
    <x v="745"/>
    <x v="11"/>
    <x v="2"/>
    <x v="2"/>
    <x v="0"/>
    <x v="0"/>
    <x v="0"/>
    <x v="0"/>
    <x v="0"/>
    <x v="0"/>
    <x v="1"/>
    <x v="126"/>
    <x v="0"/>
    <x v="0"/>
  </r>
  <r>
    <x v="751"/>
    <x v="746"/>
    <x v="4"/>
    <x v="2"/>
    <x v="2"/>
    <x v="0"/>
    <x v="0"/>
    <x v="0"/>
    <x v="0"/>
    <x v="0"/>
    <x v="0"/>
    <x v="2"/>
    <x v="126"/>
    <x v="0"/>
    <x v="0"/>
  </r>
  <r>
    <x v="752"/>
    <x v="747"/>
    <x v="12"/>
    <x v="0"/>
    <x v="0"/>
    <x v="0"/>
    <x v="0"/>
    <x v="0"/>
    <x v="0"/>
    <x v="0"/>
    <x v="12"/>
    <x v="3"/>
    <x v="127"/>
    <x v="12"/>
    <x v="0"/>
  </r>
  <r>
    <x v="753"/>
    <x v="748"/>
    <x v="3"/>
    <x v="0"/>
    <x v="0"/>
    <x v="0"/>
    <x v="0"/>
    <x v="0"/>
    <x v="0"/>
    <x v="0"/>
    <x v="0"/>
    <x v="0"/>
    <x v="128"/>
    <x v="0"/>
    <x v="0"/>
  </r>
  <r>
    <x v="754"/>
    <x v="749"/>
    <x v="4"/>
    <x v="2"/>
    <x v="2"/>
    <x v="0"/>
    <x v="0"/>
    <x v="0"/>
    <x v="0"/>
    <x v="0"/>
    <x v="0"/>
    <x v="2"/>
    <x v="129"/>
    <x v="0"/>
    <x v="0"/>
  </r>
  <r>
    <x v="755"/>
    <x v="750"/>
    <x v="3"/>
    <x v="0"/>
    <x v="0"/>
    <x v="0"/>
    <x v="0"/>
    <x v="0"/>
    <x v="0"/>
    <x v="0"/>
    <x v="0"/>
    <x v="3"/>
    <x v="129"/>
    <x v="0"/>
    <x v="0"/>
  </r>
  <r>
    <x v="756"/>
    <x v="751"/>
    <x v="11"/>
    <x v="2"/>
    <x v="2"/>
    <x v="0"/>
    <x v="0"/>
    <x v="2"/>
    <x v="0"/>
    <x v="0"/>
    <x v="0"/>
    <x v="0"/>
    <x v="130"/>
    <x v="0"/>
    <x v="0"/>
  </r>
  <r>
    <x v="757"/>
    <x v="752"/>
    <x v="11"/>
    <x v="2"/>
    <x v="2"/>
    <x v="0"/>
    <x v="0"/>
    <x v="2"/>
    <x v="0"/>
    <x v="0"/>
    <x v="0"/>
    <x v="0"/>
    <x v="130"/>
    <x v="0"/>
    <x v="0"/>
  </r>
  <r>
    <x v="758"/>
    <x v="753"/>
    <x v="11"/>
    <x v="2"/>
    <x v="2"/>
    <x v="0"/>
    <x v="0"/>
    <x v="5"/>
    <x v="0"/>
    <x v="0"/>
    <x v="0"/>
    <x v="1"/>
    <x v="131"/>
    <x v="0"/>
    <x v="0"/>
  </r>
  <r>
    <x v="759"/>
    <x v="754"/>
    <x v="12"/>
    <x v="0"/>
    <x v="0"/>
    <x v="0"/>
    <x v="0"/>
    <x v="0"/>
    <x v="0"/>
    <x v="0"/>
    <x v="0"/>
    <x v="3"/>
    <x v="131"/>
    <x v="8"/>
    <x v="0"/>
  </r>
  <r>
    <x v="760"/>
    <x v="755"/>
    <x v="4"/>
    <x v="2"/>
    <x v="2"/>
    <x v="0"/>
    <x v="0"/>
    <x v="0"/>
    <x v="0"/>
    <x v="0"/>
    <x v="5"/>
    <x v="0"/>
    <x v="132"/>
    <x v="0"/>
    <x v="0"/>
  </r>
  <r>
    <x v="761"/>
    <x v="756"/>
    <x v="11"/>
    <x v="2"/>
    <x v="2"/>
    <x v="0"/>
    <x v="0"/>
    <x v="2"/>
    <x v="0"/>
    <x v="0"/>
    <x v="0"/>
    <x v="0"/>
    <x v="133"/>
    <x v="0"/>
    <x v="0"/>
  </r>
  <r>
    <x v="762"/>
    <x v="757"/>
    <x v="4"/>
    <x v="1"/>
    <x v="1"/>
    <x v="0"/>
    <x v="0"/>
    <x v="0"/>
    <x v="0"/>
    <x v="0"/>
    <x v="0"/>
    <x v="0"/>
    <x v="133"/>
    <x v="0"/>
    <x v="0"/>
  </r>
  <r>
    <x v="763"/>
    <x v="758"/>
    <x v="4"/>
    <x v="1"/>
    <x v="1"/>
    <x v="0"/>
    <x v="0"/>
    <x v="1"/>
    <x v="0"/>
    <x v="0"/>
    <x v="2"/>
    <x v="0"/>
    <x v="133"/>
    <x v="0"/>
    <x v="0"/>
  </r>
  <r>
    <x v="764"/>
    <x v="759"/>
    <x v="11"/>
    <x v="2"/>
    <x v="2"/>
    <x v="0"/>
    <x v="0"/>
    <x v="0"/>
    <x v="0"/>
    <x v="0"/>
    <x v="0"/>
    <x v="0"/>
    <x v="134"/>
    <x v="0"/>
    <x v="0"/>
  </r>
  <r>
    <x v="765"/>
    <x v="760"/>
    <x v="11"/>
    <x v="2"/>
    <x v="2"/>
    <x v="0"/>
    <x v="0"/>
    <x v="0"/>
    <x v="0"/>
    <x v="0"/>
    <x v="0"/>
    <x v="0"/>
    <x v="135"/>
    <x v="0"/>
    <x v="0"/>
  </r>
  <r>
    <x v="766"/>
    <x v="761"/>
    <x v="1"/>
    <x v="3"/>
    <x v="3"/>
    <x v="0"/>
    <x v="0"/>
    <x v="0"/>
    <x v="0"/>
    <x v="0"/>
    <x v="0"/>
    <x v="0"/>
    <x v="136"/>
    <x v="0"/>
    <x v="0"/>
  </r>
  <r>
    <x v="767"/>
    <x v="762"/>
    <x v="11"/>
    <x v="2"/>
    <x v="2"/>
    <x v="0"/>
    <x v="0"/>
    <x v="0"/>
    <x v="0"/>
    <x v="0"/>
    <x v="0"/>
    <x v="0"/>
    <x v="137"/>
    <x v="0"/>
    <x v="0"/>
  </r>
  <r>
    <x v="768"/>
    <x v="763"/>
    <x v="11"/>
    <x v="2"/>
    <x v="2"/>
    <x v="0"/>
    <x v="0"/>
    <x v="0"/>
    <x v="0"/>
    <x v="0"/>
    <x v="9"/>
    <x v="0"/>
    <x v="138"/>
    <x v="0"/>
    <x v="0"/>
  </r>
  <r>
    <x v="769"/>
    <x v="764"/>
    <x v="1"/>
    <x v="1"/>
    <x v="1"/>
    <x v="0"/>
    <x v="0"/>
    <x v="0"/>
    <x v="0"/>
    <x v="0"/>
    <x v="0"/>
    <x v="0"/>
    <x v="139"/>
    <x v="5"/>
    <x v="0"/>
  </r>
  <r>
    <x v="770"/>
    <x v="765"/>
    <x v="11"/>
    <x v="1"/>
    <x v="1"/>
    <x v="0"/>
    <x v="0"/>
    <x v="0"/>
    <x v="0"/>
    <x v="0"/>
    <x v="11"/>
    <x v="0"/>
    <x v="140"/>
    <x v="0"/>
    <x v="0"/>
  </r>
  <r>
    <x v="771"/>
    <x v="766"/>
    <x v="12"/>
    <x v="0"/>
    <x v="0"/>
    <x v="0"/>
    <x v="0"/>
    <x v="0"/>
    <x v="0"/>
    <x v="0"/>
    <x v="0"/>
    <x v="3"/>
    <x v="140"/>
    <x v="0"/>
    <x v="0"/>
  </r>
  <r>
    <x v="772"/>
    <x v="767"/>
    <x v="2"/>
    <x v="5"/>
    <x v="5"/>
    <x v="0"/>
    <x v="0"/>
    <x v="0"/>
    <x v="0"/>
    <x v="0"/>
    <x v="0"/>
    <x v="0"/>
    <x v="140"/>
    <x v="0"/>
    <x v="0"/>
  </r>
  <r>
    <x v="773"/>
    <x v="768"/>
    <x v="4"/>
    <x v="2"/>
    <x v="2"/>
    <x v="0"/>
    <x v="0"/>
    <x v="0"/>
    <x v="0"/>
    <x v="0"/>
    <x v="1"/>
    <x v="12"/>
    <x v="141"/>
    <x v="0"/>
    <x v="0"/>
  </r>
  <r>
    <x v="774"/>
    <x v="769"/>
    <x v="4"/>
    <x v="2"/>
    <x v="2"/>
    <x v="0"/>
    <x v="3"/>
    <x v="0"/>
    <x v="0"/>
    <x v="0"/>
    <x v="0"/>
    <x v="0"/>
    <x v="142"/>
    <x v="0"/>
    <x v="0"/>
  </r>
  <r>
    <x v="775"/>
    <x v="402"/>
    <x v="12"/>
    <x v="0"/>
    <x v="0"/>
    <x v="0"/>
    <x v="0"/>
    <x v="0"/>
    <x v="0"/>
    <x v="0"/>
    <x v="0"/>
    <x v="10"/>
    <x v="143"/>
    <x v="13"/>
    <x v="0"/>
  </r>
  <r>
    <x v="776"/>
    <x v="770"/>
    <x v="12"/>
    <x v="0"/>
    <x v="0"/>
    <x v="0"/>
    <x v="0"/>
    <x v="0"/>
    <x v="0"/>
    <x v="0"/>
    <x v="0"/>
    <x v="10"/>
    <x v="143"/>
    <x v="14"/>
    <x v="0"/>
  </r>
  <r>
    <x v="777"/>
    <x v="771"/>
    <x v="12"/>
    <x v="0"/>
    <x v="0"/>
    <x v="0"/>
    <x v="0"/>
    <x v="0"/>
    <x v="0"/>
    <x v="0"/>
    <x v="0"/>
    <x v="0"/>
    <x v="143"/>
    <x v="15"/>
    <x v="0"/>
  </r>
  <r>
    <x v="778"/>
    <x v="772"/>
    <x v="1"/>
    <x v="3"/>
    <x v="3"/>
    <x v="0"/>
    <x v="0"/>
    <x v="0"/>
    <x v="0"/>
    <x v="0"/>
    <x v="0"/>
    <x v="0"/>
    <x v="143"/>
    <x v="0"/>
    <x v="0"/>
  </r>
  <r>
    <x v="779"/>
    <x v="773"/>
    <x v="1"/>
    <x v="5"/>
    <x v="5"/>
    <x v="0"/>
    <x v="0"/>
    <x v="3"/>
    <x v="0"/>
    <x v="0"/>
    <x v="0"/>
    <x v="6"/>
    <x v="144"/>
    <x v="0"/>
    <x v="0"/>
  </r>
  <r>
    <x v="780"/>
    <x v="774"/>
    <x v="4"/>
    <x v="2"/>
    <x v="2"/>
    <x v="0"/>
    <x v="0"/>
    <x v="3"/>
    <x v="0"/>
    <x v="0"/>
    <x v="0"/>
    <x v="13"/>
    <x v="144"/>
    <x v="0"/>
    <x v="0"/>
  </r>
  <r>
    <x v="781"/>
    <x v="775"/>
    <x v="12"/>
    <x v="0"/>
    <x v="0"/>
    <x v="0"/>
    <x v="0"/>
    <x v="0"/>
    <x v="0"/>
    <x v="0"/>
    <x v="0"/>
    <x v="3"/>
    <x v="144"/>
    <x v="16"/>
    <x v="0"/>
  </r>
  <r>
    <x v="782"/>
    <x v="776"/>
    <x v="4"/>
    <x v="0"/>
    <x v="0"/>
    <x v="0"/>
    <x v="0"/>
    <x v="0"/>
    <x v="0"/>
    <x v="0"/>
    <x v="0"/>
    <x v="0"/>
    <x v="145"/>
    <x v="0"/>
    <x v="0"/>
  </r>
  <r>
    <x v="783"/>
    <x v="777"/>
    <x v="11"/>
    <x v="2"/>
    <x v="2"/>
    <x v="0"/>
    <x v="0"/>
    <x v="0"/>
    <x v="0"/>
    <x v="0"/>
    <x v="0"/>
    <x v="1"/>
    <x v="145"/>
    <x v="0"/>
    <x v="0"/>
  </r>
  <r>
    <x v="784"/>
    <x v="778"/>
    <x v="12"/>
    <x v="0"/>
    <x v="0"/>
    <x v="0"/>
    <x v="0"/>
    <x v="0"/>
    <x v="0"/>
    <x v="0"/>
    <x v="0"/>
    <x v="0"/>
    <x v="145"/>
    <x v="17"/>
    <x v="0"/>
  </r>
  <r>
    <x v="785"/>
    <x v="779"/>
    <x v="11"/>
    <x v="2"/>
    <x v="2"/>
    <x v="0"/>
    <x v="0"/>
    <x v="0"/>
    <x v="0"/>
    <x v="0"/>
    <x v="0"/>
    <x v="0"/>
    <x v="146"/>
    <x v="0"/>
    <x v="0"/>
  </r>
  <r>
    <x v="786"/>
    <x v="780"/>
    <x v="11"/>
    <x v="2"/>
    <x v="2"/>
    <x v="0"/>
    <x v="0"/>
    <x v="0"/>
    <x v="0"/>
    <x v="0"/>
    <x v="0"/>
    <x v="1"/>
    <x v="147"/>
    <x v="0"/>
    <x v="0"/>
  </r>
  <r>
    <x v="787"/>
    <x v="781"/>
    <x v="4"/>
    <x v="2"/>
    <x v="2"/>
    <x v="0"/>
    <x v="0"/>
    <x v="0"/>
    <x v="0"/>
    <x v="0"/>
    <x v="8"/>
    <x v="13"/>
    <x v="147"/>
    <x v="0"/>
    <x v="0"/>
  </r>
  <r>
    <x v="788"/>
    <x v="782"/>
    <x v="11"/>
    <x v="1"/>
    <x v="1"/>
    <x v="0"/>
    <x v="0"/>
    <x v="3"/>
    <x v="0"/>
    <x v="0"/>
    <x v="2"/>
    <x v="0"/>
    <x v="148"/>
    <x v="0"/>
    <x v="0"/>
  </r>
  <r>
    <x v="789"/>
    <x v="783"/>
    <x v="1"/>
    <x v="3"/>
    <x v="3"/>
    <x v="0"/>
    <x v="0"/>
    <x v="7"/>
    <x v="0"/>
    <x v="0"/>
    <x v="0"/>
    <x v="2"/>
    <x v="148"/>
    <x v="0"/>
    <x v="0"/>
  </r>
  <r>
    <x v="790"/>
    <x v="784"/>
    <x v="1"/>
    <x v="3"/>
    <x v="3"/>
    <x v="0"/>
    <x v="0"/>
    <x v="7"/>
    <x v="0"/>
    <x v="0"/>
    <x v="0"/>
    <x v="6"/>
    <x v="148"/>
    <x v="0"/>
    <x v="0"/>
  </r>
  <r>
    <x v="791"/>
    <x v="785"/>
    <x v="11"/>
    <x v="2"/>
    <x v="2"/>
    <x v="0"/>
    <x v="0"/>
    <x v="2"/>
    <x v="0"/>
    <x v="0"/>
    <x v="0"/>
    <x v="13"/>
    <x v="149"/>
    <x v="0"/>
    <x v="0"/>
  </r>
  <r>
    <x v="792"/>
    <x v="786"/>
    <x v="12"/>
    <x v="0"/>
    <x v="0"/>
    <x v="0"/>
    <x v="0"/>
    <x v="0"/>
    <x v="0"/>
    <x v="0"/>
    <x v="0"/>
    <x v="10"/>
    <x v="149"/>
    <x v="10"/>
    <x v="0"/>
  </r>
  <r>
    <x v="793"/>
    <x v="787"/>
    <x v="4"/>
    <x v="1"/>
    <x v="1"/>
    <x v="0"/>
    <x v="0"/>
    <x v="3"/>
    <x v="0"/>
    <x v="0"/>
    <x v="0"/>
    <x v="12"/>
    <x v="149"/>
    <x v="0"/>
    <x v="0"/>
  </r>
  <r>
    <x v="794"/>
    <x v="788"/>
    <x v="4"/>
    <x v="1"/>
    <x v="1"/>
    <x v="0"/>
    <x v="0"/>
    <x v="3"/>
    <x v="0"/>
    <x v="0"/>
    <x v="0"/>
    <x v="12"/>
    <x v="149"/>
    <x v="0"/>
    <x v="0"/>
  </r>
  <r>
    <x v="795"/>
    <x v="789"/>
    <x v="9"/>
    <x v="0"/>
    <x v="0"/>
    <x v="0"/>
    <x v="0"/>
    <x v="0"/>
    <x v="0"/>
    <x v="0"/>
    <x v="0"/>
    <x v="0"/>
    <x v="150"/>
    <x v="0"/>
    <x v="0"/>
  </r>
  <r>
    <x v="796"/>
    <x v="790"/>
    <x v="1"/>
    <x v="2"/>
    <x v="2"/>
    <x v="0"/>
    <x v="0"/>
    <x v="0"/>
    <x v="0"/>
    <x v="0"/>
    <x v="0"/>
    <x v="0"/>
    <x v="150"/>
    <x v="0"/>
    <x v="0"/>
  </r>
  <r>
    <x v="797"/>
    <x v="791"/>
    <x v="1"/>
    <x v="3"/>
    <x v="3"/>
    <x v="0"/>
    <x v="0"/>
    <x v="0"/>
    <x v="0"/>
    <x v="0"/>
    <x v="0"/>
    <x v="0"/>
    <x v="151"/>
    <x v="0"/>
    <x v="0"/>
  </r>
  <r>
    <x v="798"/>
    <x v="792"/>
    <x v="11"/>
    <x v="2"/>
    <x v="2"/>
    <x v="0"/>
    <x v="0"/>
    <x v="0"/>
    <x v="0"/>
    <x v="0"/>
    <x v="0"/>
    <x v="0"/>
    <x v="152"/>
    <x v="0"/>
    <x v="0"/>
  </r>
  <r>
    <x v="799"/>
    <x v="793"/>
    <x v="11"/>
    <x v="2"/>
    <x v="2"/>
    <x v="0"/>
    <x v="0"/>
    <x v="0"/>
    <x v="0"/>
    <x v="0"/>
    <x v="0"/>
    <x v="0"/>
    <x v="153"/>
    <x v="0"/>
    <x v="0"/>
  </r>
  <r>
    <x v="800"/>
    <x v="794"/>
    <x v="11"/>
    <x v="2"/>
    <x v="2"/>
    <x v="0"/>
    <x v="0"/>
    <x v="0"/>
    <x v="0"/>
    <x v="0"/>
    <x v="0"/>
    <x v="0"/>
    <x v="153"/>
    <x v="0"/>
    <x v="0"/>
  </r>
  <r>
    <x v="801"/>
    <x v="795"/>
    <x v="11"/>
    <x v="2"/>
    <x v="2"/>
    <x v="0"/>
    <x v="0"/>
    <x v="0"/>
    <x v="0"/>
    <x v="0"/>
    <x v="0"/>
    <x v="0"/>
    <x v="153"/>
    <x v="0"/>
    <x v="0"/>
  </r>
  <r>
    <x v="802"/>
    <x v="796"/>
    <x v="11"/>
    <x v="2"/>
    <x v="2"/>
    <x v="0"/>
    <x v="0"/>
    <x v="0"/>
    <x v="0"/>
    <x v="0"/>
    <x v="0"/>
    <x v="0"/>
    <x v="154"/>
    <x v="0"/>
    <x v="0"/>
  </r>
  <r>
    <x v="803"/>
    <x v="797"/>
    <x v="4"/>
    <x v="2"/>
    <x v="2"/>
    <x v="0"/>
    <x v="0"/>
    <x v="0"/>
    <x v="0"/>
    <x v="0"/>
    <x v="0"/>
    <x v="14"/>
    <x v="154"/>
    <x v="0"/>
    <x v="0"/>
  </r>
  <r>
    <x v="804"/>
    <x v="798"/>
    <x v="11"/>
    <x v="2"/>
    <x v="2"/>
    <x v="0"/>
    <x v="0"/>
    <x v="0"/>
    <x v="0"/>
    <x v="0"/>
    <x v="0"/>
    <x v="1"/>
    <x v="154"/>
    <x v="0"/>
    <x v="0"/>
  </r>
  <r>
    <x v="805"/>
    <x v="799"/>
    <x v="1"/>
    <x v="2"/>
    <x v="2"/>
    <x v="0"/>
    <x v="0"/>
    <x v="0"/>
    <x v="0"/>
    <x v="0"/>
    <x v="0"/>
    <x v="0"/>
    <x v="155"/>
    <x v="0"/>
    <x v="0"/>
  </r>
  <r>
    <x v="806"/>
    <x v="800"/>
    <x v="1"/>
    <x v="5"/>
    <x v="5"/>
    <x v="0"/>
    <x v="0"/>
    <x v="0"/>
    <x v="0"/>
    <x v="0"/>
    <x v="0"/>
    <x v="0"/>
    <x v="155"/>
    <x v="0"/>
    <x v="0"/>
  </r>
  <r>
    <x v="807"/>
    <x v="801"/>
    <x v="3"/>
    <x v="0"/>
    <x v="0"/>
    <x v="0"/>
    <x v="0"/>
    <x v="0"/>
    <x v="0"/>
    <x v="0"/>
    <x v="0"/>
    <x v="0"/>
    <x v="155"/>
    <x v="0"/>
    <x v="0"/>
  </r>
  <r>
    <x v="808"/>
    <x v="802"/>
    <x v="2"/>
    <x v="5"/>
    <x v="5"/>
    <x v="0"/>
    <x v="0"/>
    <x v="0"/>
    <x v="0"/>
    <x v="0"/>
    <x v="0"/>
    <x v="0"/>
    <x v="155"/>
    <x v="0"/>
    <x v="0"/>
  </r>
  <r>
    <x v="809"/>
    <x v="803"/>
    <x v="11"/>
    <x v="2"/>
    <x v="2"/>
    <x v="0"/>
    <x v="0"/>
    <x v="0"/>
    <x v="0"/>
    <x v="0"/>
    <x v="0"/>
    <x v="0"/>
    <x v="156"/>
    <x v="0"/>
    <x v="0"/>
  </r>
  <r>
    <x v="810"/>
    <x v="804"/>
    <x v="11"/>
    <x v="5"/>
    <x v="5"/>
    <x v="0"/>
    <x v="0"/>
    <x v="0"/>
    <x v="0"/>
    <x v="0"/>
    <x v="0"/>
    <x v="0"/>
    <x v="156"/>
    <x v="0"/>
    <x v="0"/>
  </r>
  <r>
    <x v="811"/>
    <x v="805"/>
    <x v="13"/>
    <x v="0"/>
    <x v="0"/>
    <x v="0"/>
    <x v="0"/>
    <x v="0"/>
    <x v="0"/>
    <x v="0"/>
    <x v="0"/>
    <x v="3"/>
    <x v="157"/>
    <x v="0"/>
    <x v="0"/>
  </r>
  <r>
    <x v="812"/>
    <x v="806"/>
    <x v="4"/>
    <x v="2"/>
    <x v="2"/>
    <x v="0"/>
    <x v="0"/>
    <x v="0"/>
    <x v="0"/>
    <x v="0"/>
    <x v="0"/>
    <x v="0"/>
    <x v="158"/>
    <x v="0"/>
    <x v="0"/>
  </r>
  <r>
    <x v="813"/>
    <x v="807"/>
    <x v="4"/>
    <x v="2"/>
    <x v="2"/>
    <x v="0"/>
    <x v="0"/>
    <x v="0"/>
    <x v="0"/>
    <x v="0"/>
    <x v="0"/>
    <x v="0"/>
    <x v="158"/>
    <x v="0"/>
    <x v="0"/>
  </r>
  <r>
    <x v="814"/>
    <x v="808"/>
    <x v="4"/>
    <x v="2"/>
    <x v="2"/>
    <x v="0"/>
    <x v="0"/>
    <x v="0"/>
    <x v="0"/>
    <x v="0"/>
    <x v="0"/>
    <x v="15"/>
    <x v="159"/>
    <x v="0"/>
    <x v="0"/>
  </r>
  <r>
    <x v="815"/>
    <x v="809"/>
    <x v="1"/>
    <x v="3"/>
    <x v="3"/>
    <x v="0"/>
    <x v="0"/>
    <x v="0"/>
    <x v="0"/>
    <x v="0"/>
    <x v="0"/>
    <x v="0"/>
    <x v="160"/>
    <x v="0"/>
    <x v="0"/>
  </r>
  <r>
    <x v="816"/>
    <x v="810"/>
    <x v="1"/>
    <x v="3"/>
    <x v="3"/>
    <x v="0"/>
    <x v="0"/>
    <x v="3"/>
    <x v="0"/>
    <x v="0"/>
    <x v="0"/>
    <x v="12"/>
    <x v="160"/>
    <x v="0"/>
    <x v="0"/>
  </r>
  <r>
    <x v="817"/>
    <x v="811"/>
    <x v="4"/>
    <x v="3"/>
    <x v="3"/>
    <x v="0"/>
    <x v="0"/>
    <x v="3"/>
    <x v="0"/>
    <x v="0"/>
    <x v="13"/>
    <x v="16"/>
    <x v="160"/>
    <x v="0"/>
    <x v="0"/>
  </r>
  <r>
    <x v="818"/>
    <x v="812"/>
    <x v="11"/>
    <x v="2"/>
    <x v="2"/>
    <x v="0"/>
    <x v="0"/>
    <x v="0"/>
    <x v="0"/>
    <x v="0"/>
    <x v="0"/>
    <x v="1"/>
    <x v="161"/>
    <x v="0"/>
    <x v="0"/>
  </r>
  <r>
    <x v="819"/>
    <x v="813"/>
    <x v="4"/>
    <x v="1"/>
    <x v="1"/>
    <x v="0"/>
    <x v="0"/>
    <x v="1"/>
    <x v="0"/>
    <x v="0"/>
    <x v="11"/>
    <x v="15"/>
    <x v="161"/>
    <x v="0"/>
    <x v="0"/>
  </r>
  <r>
    <x v="820"/>
    <x v="814"/>
    <x v="4"/>
    <x v="2"/>
    <x v="2"/>
    <x v="0"/>
    <x v="0"/>
    <x v="3"/>
    <x v="0"/>
    <x v="0"/>
    <x v="0"/>
    <x v="16"/>
    <x v="162"/>
    <x v="0"/>
    <x v="0"/>
  </r>
  <r>
    <x v="821"/>
    <x v="815"/>
    <x v="4"/>
    <x v="2"/>
    <x v="2"/>
    <x v="0"/>
    <x v="0"/>
    <x v="0"/>
    <x v="0"/>
    <x v="0"/>
    <x v="0"/>
    <x v="0"/>
    <x v="162"/>
    <x v="0"/>
    <x v="0"/>
  </r>
  <r>
    <x v="822"/>
    <x v="816"/>
    <x v="4"/>
    <x v="2"/>
    <x v="2"/>
    <x v="0"/>
    <x v="0"/>
    <x v="0"/>
    <x v="0"/>
    <x v="0"/>
    <x v="0"/>
    <x v="0"/>
    <x v="162"/>
    <x v="0"/>
    <x v="0"/>
  </r>
  <r>
    <x v="823"/>
    <x v="817"/>
    <x v="10"/>
    <x v="0"/>
    <x v="0"/>
    <x v="0"/>
    <x v="0"/>
    <x v="0"/>
    <x v="0"/>
    <x v="0"/>
    <x v="12"/>
    <x v="3"/>
    <x v="162"/>
    <x v="3"/>
    <x v="0"/>
  </r>
  <r>
    <x v="824"/>
    <x v="818"/>
    <x v="12"/>
    <x v="0"/>
    <x v="0"/>
    <x v="0"/>
    <x v="0"/>
    <x v="0"/>
    <x v="0"/>
    <x v="0"/>
    <x v="12"/>
    <x v="3"/>
    <x v="163"/>
    <x v="18"/>
    <x v="0"/>
  </r>
  <r>
    <x v="825"/>
    <x v="819"/>
    <x v="1"/>
    <x v="5"/>
    <x v="5"/>
    <x v="0"/>
    <x v="0"/>
    <x v="0"/>
    <x v="0"/>
    <x v="0"/>
    <x v="0"/>
    <x v="6"/>
    <x v="163"/>
    <x v="0"/>
    <x v="0"/>
  </r>
  <r>
    <x v="826"/>
    <x v="820"/>
    <x v="12"/>
    <x v="0"/>
    <x v="0"/>
    <x v="0"/>
    <x v="0"/>
    <x v="0"/>
    <x v="0"/>
    <x v="0"/>
    <x v="0"/>
    <x v="3"/>
    <x v="164"/>
    <x v="16"/>
    <x v="0"/>
  </r>
  <r>
    <x v="827"/>
    <x v="821"/>
    <x v="11"/>
    <x v="2"/>
    <x v="2"/>
    <x v="0"/>
    <x v="0"/>
    <x v="0"/>
    <x v="0"/>
    <x v="0"/>
    <x v="0"/>
    <x v="1"/>
    <x v="164"/>
    <x v="0"/>
    <x v="0"/>
  </r>
  <r>
    <x v="828"/>
    <x v="822"/>
    <x v="4"/>
    <x v="3"/>
    <x v="3"/>
    <x v="0"/>
    <x v="0"/>
    <x v="1"/>
    <x v="0"/>
    <x v="0"/>
    <x v="0"/>
    <x v="15"/>
    <x v="165"/>
    <x v="0"/>
    <x v="0"/>
  </r>
  <r>
    <x v="829"/>
    <x v="823"/>
    <x v="4"/>
    <x v="2"/>
    <x v="2"/>
    <x v="0"/>
    <x v="0"/>
    <x v="2"/>
    <x v="0"/>
    <x v="0"/>
    <x v="0"/>
    <x v="0"/>
    <x v="165"/>
    <x v="0"/>
    <x v="0"/>
  </r>
  <r>
    <x v="830"/>
    <x v="824"/>
    <x v="11"/>
    <x v="2"/>
    <x v="2"/>
    <x v="0"/>
    <x v="0"/>
    <x v="0"/>
    <x v="0"/>
    <x v="0"/>
    <x v="0"/>
    <x v="1"/>
    <x v="166"/>
    <x v="0"/>
    <x v="0"/>
  </r>
  <r>
    <x v="831"/>
    <x v="825"/>
    <x v="4"/>
    <x v="2"/>
    <x v="2"/>
    <x v="0"/>
    <x v="0"/>
    <x v="3"/>
    <x v="0"/>
    <x v="0"/>
    <x v="0"/>
    <x v="0"/>
    <x v="166"/>
    <x v="0"/>
    <x v="0"/>
  </r>
  <r>
    <x v="832"/>
    <x v="826"/>
    <x v="4"/>
    <x v="2"/>
    <x v="2"/>
    <x v="0"/>
    <x v="0"/>
    <x v="2"/>
    <x v="0"/>
    <x v="0"/>
    <x v="0"/>
    <x v="0"/>
    <x v="166"/>
    <x v="0"/>
    <x v="0"/>
  </r>
  <r>
    <x v="833"/>
    <x v="827"/>
    <x v="11"/>
    <x v="2"/>
    <x v="2"/>
    <x v="0"/>
    <x v="0"/>
    <x v="0"/>
    <x v="0"/>
    <x v="0"/>
    <x v="0"/>
    <x v="0"/>
    <x v="167"/>
    <x v="0"/>
    <x v="0"/>
  </r>
  <r>
    <x v="834"/>
    <x v="828"/>
    <x v="11"/>
    <x v="2"/>
    <x v="2"/>
    <x v="0"/>
    <x v="0"/>
    <x v="0"/>
    <x v="0"/>
    <x v="0"/>
    <x v="0"/>
    <x v="0"/>
    <x v="168"/>
    <x v="0"/>
    <x v="0"/>
  </r>
  <r>
    <x v="835"/>
    <x v="829"/>
    <x v="4"/>
    <x v="2"/>
    <x v="2"/>
    <x v="0"/>
    <x v="0"/>
    <x v="0"/>
    <x v="0"/>
    <x v="0"/>
    <x v="0"/>
    <x v="0"/>
    <x v="169"/>
    <x v="0"/>
    <x v="0"/>
  </r>
  <r>
    <x v="836"/>
    <x v="830"/>
    <x v="4"/>
    <x v="1"/>
    <x v="1"/>
    <x v="0"/>
    <x v="0"/>
    <x v="0"/>
    <x v="0"/>
    <x v="0"/>
    <x v="2"/>
    <x v="17"/>
    <x v="169"/>
    <x v="0"/>
    <x v="0"/>
  </r>
  <r>
    <x v="837"/>
    <x v="831"/>
    <x v="12"/>
    <x v="0"/>
    <x v="0"/>
    <x v="0"/>
    <x v="0"/>
    <x v="0"/>
    <x v="0"/>
    <x v="0"/>
    <x v="0"/>
    <x v="0"/>
    <x v="170"/>
    <x v="19"/>
    <x v="0"/>
  </r>
  <r>
    <x v="838"/>
    <x v="832"/>
    <x v="4"/>
    <x v="2"/>
    <x v="2"/>
    <x v="0"/>
    <x v="0"/>
    <x v="0"/>
    <x v="0"/>
    <x v="0"/>
    <x v="8"/>
    <x v="17"/>
    <x v="171"/>
    <x v="0"/>
    <x v="0"/>
  </r>
  <r>
    <x v="839"/>
    <x v="833"/>
    <x v="4"/>
    <x v="2"/>
    <x v="2"/>
    <x v="0"/>
    <x v="0"/>
    <x v="0"/>
    <x v="0"/>
    <x v="0"/>
    <x v="0"/>
    <x v="0"/>
    <x v="171"/>
    <x v="0"/>
    <x v="0"/>
  </r>
  <r>
    <x v="840"/>
    <x v="834"/>
    <x v="1"/>
    <x v="2"/>
    <x v="2"/>
    <x v="0"/>
    <x v="0"/>
    <x v="0"/>
    <x v="0"/>
    <x v="0"/>
    <x v="0"/>
    <x v="1"/>
    <x v="171"/>
    <x v="0"/>
    <x v="0"/>
  </r>
  <r>
    <x v="841"/>
    <x v="835"/>
    <x v="1"/>
    <x v="3"/>
    <x v="3"/>
    <x v="0"/>
    <x v="0"/>
    <x v="0"/>
    <x v="0"/>
    <x v="0"/>
    <x v="0"/>
    <x v="0"/>
    <x v="171"/>
    <x v="0"/>
    <x v="0"/>
  </r>
  <r>
    <x v="842"/>
    <x v="836"/>
    <x v="1"/>
    <x v="3"/>
    <x v="3"/>
    <x v="0"/>
    <x v="0"/>
    <x v="0"/>
    <x v="0"/>
    <x v="0"/>
    <x v="0"/>
    <x v="0"/>
    <x v="171"/>
    <x v="0"/>
    <x v="0"/>
  </r>
  <r>
    <x v="843"/>
    <x v="837"/>
    <x v="1"/>
    <x v="3"/>
    <x v="3"/>
    <x v="0"/>
    <x v="0"/>
    <x v="0"/>
    <x v="0"/>
    <x v="0"/>
    <x v="0"/>
    <x v="0"/>
    <x v="171"/>
    <x v="0"/>
    <x v="0"/>
  </r>
  <r>
    <x v="844"/>
    <x v="838"/>
    <x v="1"/>
    <x v="3"/>
    <x v="3"/>
    <x v="0"/>
    <x v="0"/>
    <x v="0"/>
    <x v="0"/>
    <x v="0"/>
    <x v="0"/>
    <x v="0"/>
    <x v="171"/>
    <x v="0"/>
    <x v="0"/>
  </r>
  <r>
    <x v="845"/>
    <x v="839"/>
    <x v="1"/>
    <x v="3"/>
    <x v="3"/>
    <x v="0"/>
    <x v="0"/>
    <x v="0"/>
    <x v="0"/>
    <x v="0"/>
    <x v="0"/>
    <x v="0"/>
    <x v="171"/>
    <x v="0"/>
    <x v="0"/>
  </r>
  <r>
    <x v="846"/>
    <x v="840"/>
    <x v="1"/>
    <x v="3"/>
    <x v="3"/>
    <x v="0"/>
    <x v="0"/>
    <x v="0"/>
    <x v="0"/>
    <x v="0"/>
    <x v="0"/>
    <x v="0"/>
    <x v="171"/>
    <x v="0"/>
    <x v="0"/>
  </r>
  <r>
    <x v="847"/>
    <x v="841"/>
    <x v="1"/>
    <x v="3"/>
    <x v="3"/>
    <x v="0"/>
    <x v="0"/>
    <x v="0"/>
    <x v="0"/>
    <x v="0"/>
    <x v="0"/>
    <x v="0"/>
    <x v="171"/>
    <x v="0"/>
    <x v="0"/>
  </r>
  <r>
    <x v="848"/>
    <x v="842"/>
    <x v="1"/>
    <x v="3"/>
    <x v="3"/>
    <x v="0"/>
    <x v="0"/>
    <x v="0"/>
    <x v="0"/>
    <x v="0"/>
    <x v="0"/>
    <x v="0"/>
    <x v="171"/>
    <x v="0"/>
    <x v="0"/>
  </r>
  <r>
    <x v="849"/>
    <x v="843"/>
    <x v="1"/>
    <x v="3"/>
    <x v="3"/>
    <x v="0"/>
    <x v="0"/>
    <x v="0"/>
    <x v="0"/>
    <x v="0"/>
    <x v="0"/>
    <x v="0"/>
    <x v="171"/>
    <x v="0"/>
    <x v="0"/>
  </r>
  <r>
    <x v="850"/>
    <x v="844"/>
    <x v="1"/>
    <x v="3"/>
    <x v="3"/>
    <x v="0"/>
    <x v="0"/>
    <x v="0"/>
    <x v="0"/>
    <x v="0"/>
    <x v="0"/>
    <x v="0"/>
    <x v="171"/>
    <x v="0"/>
    <x v="0"/>
  </r>
  <r>
    <x v="851"/>
    <x v="845"/>
    <x v="1"/>
    <x v="3"/>
    <x v="3"/>
    <x v="0"/>
    <x v="0"/>
    <x v="0"/>
    <x v="0"/>
    <x v="0"/>
    <x v="0"/>
    <x v="0"/>
    <x v="171"/>
    <x v="0"/>
    <x v="0"/>
  </r>
  <r>
    <x v="852"/>
    <x v="846"/>
    <x v="1"/>
    <x v="3"/>
    <x v="3"/>
    <x v="0"/>
    <x v="0"/>
    <x v="0"/>
    <x v="0"/>
    <x v="0"/>
    <x v="0"/>
    <x v="0"/>
    <x v="171"/>
    <x v="0"/>
    <x v="0"/>
  </r>
  <r>
    <x v="853"/>
    <x v="847"/>
    <x v="1"/>
    <x v="3"/>
    <x v="3"/>
    <x v="0"/>
    <x v="0"/>
    <x v="0"/>
    <x v="0"/>
    <x v="0"/>
    <x v="0"/>
    <x v="0"/>
    <x v="172"/>
    <x v="0"/>
    <x v="0"/>
  </r>
  <r>
    <x v="854"/>
    <x v="848"/>
    <x v="11"/>
    <x v="1"/>
    <x v="1"/>
    <x v="0"/>
    <x v="0"/>
    <x v="0"/>
    <x v="0"/>
    <x v="0"/>
    <x v="0"/>
    <x v="0"/>
    <x v="172"/>
    <x v="0"/>
    <x v="0"/>
  </r>
  <r>
    <x v="855"/>
    <x v="849"/>
    <x v="11"/>
    <x v="2"/>
    <x v="2"/>
    <x v="0"/>
    <x v="0"/>
    <x v="0"/>
    <x v="0"/>
    <x v="0"/>
    <x v="0"/>
    <x v="0"/>
    <x v="172"/>
    <x v="0"/>
    <x v="0"/>
  </r>
  <r>
    <x v="856"/>
    <x v="850"/>
    <x v="1"/>
    <x v="1"/>
    <x v="1"/>
    <x v="0"/>
    <x v="0"/>
    <x v="0"/>
    <x v="0"/>
    <x v="0"/>
    <x v="0"/>
    <x v="0"/>
    <x v="172"/>
    <x v="0"/>
    <x v="0"/>
  </r>
  <r>
    <x v="857"/>
    <x v="851"/>
    <x v="1"/>
    <x v="2"/>
    <x v="2"/>
    <x v="0"/>
    <x v="0"/>
    <x v="0"/>
    <x v="0"/>
    <x v="0"/>
    <x v="0"/>
    <x v="0"/>
    <x v="172"/>
    <x v="0"/>
    <x v="0"/>
  </r>
  <r>
    <x v="858"/>
    <x v="852"/>
    <x v="1"/>
    <x v="3"/>
    <x v="3"/>
    <x v="0"/>
    <x v="0"/>
    <x v="2"/>
    <x v="0"/>
    <x v="0"/>
    <x v="0"/>
    <x v="6"/>
    <x v="172"/>
    <x v="0"/>
    <x v="0"/>
  </r>
  <r>
    <x v="859"/>
    <x v="853"/>
    <x v="1"/>
    <x v="2"/>
    <x v="2"/>
    <x v="0"/>
    <x v="0"/>
    <x v="3"/>
    <x v="0"/>
    <x v="0"/>
    <x v="0"/>
    <x v="1"/>
    <x v="172"/>
    <x v="0"/>
    <x v="0"/>
  </r>
  <r>
    <x v="860"/>
    <x v="854"/>
    <x v="1"/>
    <x v="2"/>
    <x v="2"/>
    <x v="0"/>
    <x v="2"/>
    <x v="0"/>
    <x v="0"/>
    <x v="0"/>
    <x v="0"/>
    <x v="0"/>
    <x v="172"/>
    <x v="0"/>
    <x v="0"/>
  </r>
  <r>
    <x v="861"/>
    <x v="855"/>
    <x v="1"/>
    <x v="3"/>
    <x v="3"/>
    <x v="0"/>
    <x v="0"/>
    <x v="0"/>
    <x v="0"/>
    <x v="0"/>
    <x v="0"/>
    <x v="0"/>
    <x v="172"/>
    <x v="0"/>
    <x v="0"/>
  </r>
  <r>
    <x v="862"/>
    <x v="856"/>
    <x v="1"/>
    <x v="3"/>
    <x v="3"/>
    <x v="0"/>
    <x v="0"/>
    <x v="0"/>
    <x v="0"/>
    <x v="0"/>
    <x v="0"/>
    <x v="0"/>
    <x v="172"/>
    <x v="0"/>
    <x v="0"/>
  </r>
  <r>
    <x v="863"/>
    <x v="857"/>
    <x v="10"/>
    <x v="0"/>
    <x v="0"/>
    <x v="0"/>
    <x v="0"/>
    <x v="0"/>
    <x v="0"/>
    <x v="0"/>
    <x v="12"/>
    <x v="3"/>
    <x v="173"/>
    <x v="0"/>
    <x v="0"/>
  </r>
  <r>
    <x v="864"/>
    <x v="858"/>
    <x v="3"/>
    <x v="0"/>
    <x v="0"/>
    <x v="0"/>
    <x v="0"/>
    <x v="0"/>
    <x v="0"/>
    <x v="0"/>
    <x v="0"/>
    <x v="0"/>
    <x v="174"/>
    <x v="0"/>
    <x v="0"/>
  </r>
  <r>
    <x v="865"/>
    <x v="859"/>
    <x v="1"/>
    <x v="3"/>
    <x v="3"/>
    <x v="0"/>
    <x v="0"/>
    <x v="0"/>
    <x v="0"/>
    <x v="0"/>
    <x v="0"/>
    <x v="0"/>
    <x v="174"/>
    <x v="0"/>
    <x v="0"/>
  </r>
  <r>
    <x v="866"/>
    <x v="860"/>
    <x v="1"/>
    <x v="3"/>
    <x v="3"/>
    <x v="0"/>
    <x v="0"/>
    <x v="0"/>
    <x v="0"/>
    <x v="0"/>
    <x v="0"/>
    <x v="0"/>
    <x v="174"/>
    <x v="0"/>
    <x v="0"/>
  </r>
  <r>
    <x v="867"/>
    <x v="861"/>
    <x v="1"/>
    <x v="3"/>
    <x v="3"/>
    <x v="0"/>
    <x v="0"/>
    <x v="0"/>
    <x v="0"/>
    <x v="0"/>
    <x v="0"/>
    <x v="0"/>
    <x v="174"/>
    <x v="0"/>
    <x v="0"/>
  </r>
  <r>
    <x v="868"/>
    <x v="862"/>
    <x v="11"/>
    <x v="2"/>
    <x v="2"/>
    <x v="0"/>
    <x v="0"/>
    <x v="0"/>
    <x v="0"/>
    <x v="0"/>
    <x v="0"/>
    <x v="0"/>
    <x v="174"/>
    <x v="0"/>
    <x v="0"/>
  </r>
  <r>
    <x v="869"/>
    <x v="863"/>
    <x v="1"/>
    <x v="2"/>
    <x v="2"/>
    <x v="0"/>
    <x v="0"/>
    <x v="0"/>
    <x v="0"/>
    <x v="0"/>
    <x v="0"/>
    <x v="0"/>
    <x v="174"/>
    <x v="0"/>
    <x v="0"/>
  </r>
  <r>
    <x v="870"/>
    <x v="864"/>
    <x v="4"/>
    <x v="2"/>
    <x v="2"/>
    <x v="0"/>
    <x v="0"/>
    <x v="0"/>
    <x v="0"/>
    <x v="0"/>
    <x v="8"/>
    <x v="18"/>
    <x v="175"/>
    <x v="0"/>
    <x v="0"/>
  </r>
  <r>
    <x v="871"/>
    <x v="865"/>
    <x v="11"/>
    <x v="2"/>
    <x v="2"/>
    <x v="0"/>
    <x v="0"/>
    <x v="0"/>
    <x v="0"/>
    <x v="0"/>
    <x v="0"/>
    <x v="0"/>
    <x v="175"/>
    <x v="0"/>
    <x v="0"/>
  </r>
  <r>
    <x v="872"/>
    <x v="866"/>
    <x v="11"/>
    <x v="2"/>
    <x v="2"/>
    <x v="0"/>
    <x v="0"/>
    <x v="0"/>
    <x v="0"/>
    <x v="0"/>
    <x v="0"/>
    <x v="0"/>
    <x v="175"/>
    <x v="0"/>
    <x v="0"/>
  </r>
  <r>
    <x v="873"/>
    <x v="867"/>
    <x v="11"/>
    <x v="2"/>
    <x v="2"/>
    <x v="0"/>
    <x v="0"/>
    <x v="0"/>
    <x v="0"/>
    <x v="0"/>
    <x v="0"/>
    <x v="0"/>
    <x v="176"/>
    <x v="0"/>
    <x v="0"/>
  </r>
  <r>
    <x v="874"/>
    <x v="868"/>
    <x v="4"/>
    <x v="2"/>
    <x v="2"/>
    <x v="0"/>
    <x v="0"/>
    <x v="3"/>
    <x v="0"/>
    <x v="0"/>
    <x v="0"/>
    <x v="18"/>
    <x v="176"/>
    <x v="0"/>
    <x v="0"/>
  </r>
  <r>
    <x v="875"/>
    <x v="869"/>
    <x v="4"/>
    <x v="1"/>
    <x v="1"/>
    <x v="0"/>
    <x v="0"/>
    <x v="2"/>
    <x v="0"/>
    <x v="0"/>
    <x v="0"/>
    <x v="17"/>
    <x v="177"/>
    <x v="0"/>
    <x v="0"/>
  </r>
  <r>
    <x v="876"/>
    <x v="870"/>
    <x v="12"/>
    <x v="0"/>
    <x v="0"/>
    <x v="0"/>
    <x v="0"/>
    <x v="0"/>
    <x v="0"/>
    <x v="0"/>
    <x v="0"/>
    <x v="19"/>
    <x v="177"/>
    <x v="0"/>
    <x v="0"/>
  </r>
  <r>
    <x v="877"/>
    <x v="871"/>
    <x v="4"/>
    <x v="1"/>
    <x v="1"/>
    <x v="0"/>
    <x v="0"/>
    <x v="3"/>
    <x v="0"/>
    <x v="0"/>
    <x v="0"/>
    <x v="17"/>
    <x v="177"/>
    <x v="0"/>
    <x v="0"/>
  </r>
  <r>
    <x v="878"/>
    <x v="827"/>
    <x v="11"/>
    <x v="3"/>
    <x v="3"/>
    <x v="0"/>
    <x v="0"/>
    <x v="0"/>
    <x v="0"/>
    <x v="0"/>
    <x v="0"/>
    <x v="0"/>
    <x v="177"/>
    <x v="0"/>
    <x v="0"/>
  </r>
  <r>
    <x v="879"/>
    <x v="872"/>
    <x v="11"/>
    <x v="2"/>
    <x v="2"/>
    <x v="0"/>
    <x v="0"/>
    <x v="0"/>
    <x v="0"/>
    <x v="0"/>
    <x v="0"/>
    <x v="0"/>
    <x v="177"/>
    <x v="0"/>
    <x v="0"/>
  </r>
  <r>
    <x v="880"/>
    <x v="873"/>
    <x v="4"/>
    <x v="2"/>
    <x v="2"/>
    <x v="0"/>
    <x v="0"/>
    <x v="0"/>
    <x v="0"/>
    <x v="0"/>
    <x v="0"/>
    <x v="0"/>
    <x v="178"/>
    <x v="0"/>
    <x v="0"/>
  </r>
  <r>
    <x v="881"/>
    <x v="874"/>
    <x v="4"/>
    <x v="2"/>
    <x v="2"/>
    <x v="0"/>
    <x v="0"/>
    <x v="0"/>
    <x v="0"/>
    <x v="0"/>
    <x v="0"/>
    <x v="0"/>
    <x v="178"/>
    <x v="0"/>
    <x v="0"/>
  </r>
  <r>
    <x v="882"/>
    <x v="875"/>
    <x v="12"/>
    <x v="0"/>
    <x v="0"/>
    <x v="0"/>
    <x v="0"/>
    <x v="0"/>
    <x v="0"/>
    <x v="0"/>
    <x v="0"/>
    <x v="3"/>
    <x v="178"/>
    <x v="0"/>
    <x v="0"/>
  </r>
  <r>
    <x v="883"/>
    <x v="876"/>
    <x v="4"/>
    <x v="3"/>
    <x v="3"/>
    <x v="0"/>
    <x v="0"/>
    <x v="0"/>
    <x v="0"/>
    <x v="0"/>
    <x v="0"/>
    <x v="20"/>
    <x v="179"/>
    <x v="0"/>
    <x v="0"/>
  </r>
  <r>
    <x v="884"/>
    <x v="877"/>
    <x v="12"/>
    <x v="0"/>
    <x v="0"/>
    <x v="0"/>
    <x v="0"/>
    <x v="0"/>
    <x v="0"/>
    <x v="0"/>
    <x v="12"/>
    <x v="3"/>
    <x v="179"/>
    <x v="0"/>
    <x v="0"/>
  </r>
  <r>
    <x v="885"/>
    <x v="878"/>
    <x v="11"/>
    <x v="5"/>
    <x v="5"/>
    <x v="0"/>
    <x v="0"/>
    <x v="2"/>
    <x v="0"/>
    <x v="0"/>
    <x v="0"/>
    <x v="0"/>
    <x v="179"/>
    <x v="0"/>
    <x v="0"/>
  </r>
  <r>
    <x v="886"/>
    <x v="879"/>
    <x v="11"/>
    <x v="5"/>
    <x v="5"/>
    <x v="0"/>
    <x v="0"/>
    <x v="2"/>
    <x v="0"/>
    <x v="0"/>
    <x v="0"/>
    <x v="0"/>
    <x v="179"/>
    <x v="0"/>
    <x v="0"/>
  </r>
  <r>
    <x v="887"/>
    <x v="880"/>
    <x v="11"/>
    <x v="2"/>
    <x v="2"/>
    <x v="0"/>
    <x v="0"/>
    <x v="0"/>
    <x v="0"/>
    <x v="0"/>
    <x v="0"/>
    <x v="0"/>
    <x v="180"/>
    <x v="0"/>
    <x v="0"/>
  </r>
  <r>
    <x v="888"/>
    <x v="881"/>
    <x v="1"/>
    <x v="1"/>
    <x v="1"/>
    <x v="0"/>
    <x v="0"/>
    <x v="0"/>
    <x v="0"/>
    <x v="0"/>
    <x v="0"/>
    <x v="0"/>
    <x v="181"/>
    <x v="0"/>
    <x v="0"/>
  </r>
  <r>
    <x v="889"/>
    <x v="882"/>
    <x v="3"/>
    <x v="0"/>
    <x v="0"/>
    <x v="0"/>
    <x v="0"/>
    <x v="0"/>
    <x v="0"/>
    <x v="0"/>
    <x v="0"/>
    <x v="19"/>
    <x v="182"/>
    <x v="20"/>
    <x v="0"/>
  </r>
  <r>
    <x v="890"/>
    <x v="883"/>
    <x v="3"/>
    <x v="0"/>
    <x v="0"/>
    <x v="0"/>
    <x v="0"/>
    <x v="0"/>
    <x v="0"/>
    <x v="0"/>
    <x v="12"/>
    <x v="0"/>
    <x v="183"/>
    <x v="0"/>
    <x v="0"/>
  </r>
  <r>
    <x v="891"/>
    <x v="884"/>
    <x v="11"/>
    <x v="2"/>
    <x v="2"/>
    <x v="0"/>
    <x v="0"/>
    <x v="0"/>
    <x v="0"/>
    <x v="0"/>
    <x v="0"/>
    <x v="0"/>
    <x v="184"/>
    <x v="0"/>
    <x v="0"/>
  </r>
  <r>
    <x v="892"/>
    <x v="885"/>
    <x v="11"/>
    <x v="5"/>
    <x v="5"/>
    <x v="0"/>
    <x v="0"/>
    <x v="3"/>
    <x v="0"/>
    <x v="0"/>
    <x v="7"/>
    <x v="0"/>
    <x v="184"/>
    <x v="0"/>
    <x v="0"/>
  </r>
  <r>
    <x v="893"/>
    <x v="886"/>
    <x v="4"/>
    <x v="1"/>
    <x v="1"/>
    <x v="0"/>
    <x v="0"/>
    <x v="0"/>
    <x v="0"/>
    <x v="0"/>
    <x v="0"/>
    <x v="0"/>
    <x v="185"/>
    <x v="0"/>
    <x v="0"/>
  </r>
  <r>
    <x v="894"/>
    <x v="887"/>
    <x v="12"/>
    <x v="0"/>
    <x v="0"/>
    <x v="0"/>
    <x v="0"/>
    <x v="0"/>
    <x v="0"/>
    <x v="0"/>
    <x v="12"/>
    <x v="3"/>
    <x v="185"/>
    <x v="21"/>
    <x v="0"/>
  </r>
  <r>
    <x v="895"/>
    <x v="888"/>
    <x v="3"/>
    <x v="0"/>
    <x v="0"/>
    <x v="0"/>
    <x v="0"/>
    <x v="0"/>
    <x v="0"/>
    <x v="0"/>
    <x v="0"/>
    <x v="0"/>
    <x v="185"/>
    <x v="0"/>
    <x v="0"/>
  </r>
  <r>
    <x v="896"/>
    <x v="889"/>
    <x v="11"/>
    <x v="1"/>
    <x v="1"/>
    <x v="0"/>
    <x v="0"/>
    <x v="3"/>
    <x v="0"/>
    <x v="0"/>
    <x v="0"/>
    <x v="0"/>
    <x v="185"/>
    <x v="0"/>
    <x v="0"/>
  </r>
  <r>
    <x v="897"/>
    <x v="890"/>
    <x v="11"/>
    <x v="1"/>
    <x v="1"/>
    <x v="0"/>
    <x v="0"/>
    <x v="3"/>
    <x v="0"/>
    <x v="0"/>
    <x v="0"/>
    <x v="0"/>
    <x v="185"/>
    <x v="0"/>
    <x v="0"/>
  </r>
  <r>
    <x v="898"/>
    <x v="891"/>
    <x v="11"/>
    <x v="1"/>
    <x v="1"/>
    <x v="0"/>
    <x v="0"/>
    <x v="5"/>
    <x v="0"/>
    <x v="0"/>
    <x v="0"/>
    <x v="0"/>
    <x v="185"/>
    <x v="0"/>
    <x v="0"/>
  </r>
  <r>
    <x v="899"/>
    <x v="892"/>
    <x v="9"/>
    <x v="0"/>
    <x v="0"/>
    <x v="0"/>
    <x v="0"/>
    <x v="0"/>
    <x v="0"/>
    <x v="0"/>
    <x v="0"/>
    <x v="0"/>
    <x v="185"/>
    <x v="0"/>
    <x v="0"/>
  </r>
  <r>
    <x v="900"/>
    <x v="893"/>
    <x v="4"/>
    <x v="3"/>
    <x v="3"/>
    <x v="0"/>
    <x v="0"/>
    <x v="0"/>
    <x v="0"/>
    <x v="0"/>
    <x v="0"/>
    <x v="0"/>
    <x v="186"/>
    <x v="0"/>
    <x v="0"/>
  </r>
  <r>
    <x v="901"/>
    <x v="894"/>
    <x v="1"/>
    <x v="1"/>
    <x v="1"/>
    <x v="0"/>
    <x v="0"/>
    <x v="0"/>
    <x v="0"/>
    <x v="0"/>
    <x v="0"/>
    <x v="0"/>
    <x v="186"/>
    <x v="0"/>
    <x v="0"/>
  </r>
  <r>
    <x v="902"/>
    <x v="895"/>
    <x v="4"/>
    <x v="1"/>
    <x v="1"/>
    <x v="0"/>
    <x v="0"/>
    <x v="1"/>
    <x v="0"/>
    <x v="0"/>
    <x v="0"/>
    <x v="0"/>
    <x v="186"/>
    <x v="0"/>
    <x v="0"/>
  </r>
  <r>
    <x v="903"/>
    <x v="896"/>
    <x v="4"/>
    <x v="2"/>
    <x v="2"/>
    <x v="0"/>
    <x v="0"/>
    <x v="2"/>
    <x v="0"/>
    <x v="0"/>
    <x v="0"/>
    <x v="0"/>
    <x v="186"/>
    <x v="0"/>
    <x v="0"/>
  </r>
  <r>
    <x v="904"/>
    <x v="897"/>
    <x v="3"/>
    <x v="0"/>
    <x v="0"/>
    <x v="0"/>
    <x v="0"/>
    <x v="0"/>
    <x v="0"/>
    <x v="0"/>
    <x v="12"/>
    <x v="19"/>
    <x v="186"/>
    <x v="0"/>
    <x v="0"/>
  </r>
  <r>
    <x v="905"/>
    <x v="898"/>
    <x v="1"/>
    <x v="2"/>
    <x v="2"/>
    <x v="0"/>
    <x v="0"/>
    <x v="3"/>
    <x v="0"/>
    <x v="0"/>
    <x v="0"/>
    <x v="1"/>
    <x v="186"/>
    <x v="0"/>
    <x v="0"/>
  </r>
  <r>
    <x v="906"/>
    <x v="899"/>
    <x v="12"/>
    <x v="0"/>
    <x v="0"/>
    <x v="0"/>
    <x v="0"/>
    <x v="0"/>
    <x v="0"/>
    <x v="0"/>
    <x v="12"/>
    <x v="21"/>
    <x v="187"/>
    <x v="0"/>
    <x v="0"/>
  </r>
  <r>
    <x v="907"/>
    <x v="900"/>
    <x v="1"/>
    <x v="1"/>
    <x v="1"/>
    <x v="0"/>
    <x v="0"/>
    <x v="0"/>
    <x v="0"/>
    <x v="0"/>
    <x v="0"/>
    <x v="0"/>
    <x v="187"/>
    <x v="0"/>
    <x v="0"/>
  </r>
  <r>
    <x v="908"/>
    <x v="900"/>
    <x v="3"/>
    <x v="0"/>
    <x v="0"/>
    <x v="0"/>
    <x v="0"/>
    <x v="0"/>
    <x v="0"/>
    <x v="0"/>
    <x v="0"/>
    <x v="0"/>
    <x v="187"/>
    <x v="0"/>
    <x v="0"/>
  </r>
  <r>
    <x v="909"/>
    <x v="901"/>
    <x v="9"/>
    <x v="0"/>
    <x v="0"/>
    <x v="0"/>
    <x v="0"/>
    <x v="0"/>
    <x v="0"/>
    <x v="0"/>
    <x v="12"/>
    <x v="3"/>
    <x v="188"/>
    <x v="0"/>
    <x v="0"/>
  </r>
  <r>
    <x v="910"/>
    <x v="902"/>
    <x v="12"/>
    <x v="0"/>
    <x v="0"/>
    <x v="0"/>
    <x v="0"/>
    <x v="0"/>
    <x v="0"/>
    <x v="0"/>
    <x v="12"/>
    <x v="3"/>
    <x v="188"/>
    <x v="22"/>
    <x v="0"/>
  </r>
  <r>
    <x v="911"/>
    <x v="903"/>
    <x v="12"/>
    <x v="0"/>
    <x v="0"/>
    <x v="0"/>
    <x v="0"/>
    <x v="0"/>
    <x v="0"/>
    <x v="0"/>
    <x v="12"/>
    <x v="3"/>
    <x v="188"/>
    <x v="23"/>
    <x v="0"/>
  </r>
  <r>
    <x v="912"/>
    <x v="904"/>
    <x v="12"/>
    <x v="0"/>
    <x v="0"/>
    <x v="0"/>
    <x v="0"/>
    <x v="0"/>
    <x v="0"/>
    <x v="0"/>
    <x v="12"/>
    <x v="0"/>
    <x v="189"/>
    <x v="0"/>
    <x v="0"/>
  </r>
  <r>
    <x v="913"/>
    <x v="905"/>
    <x v="12"/>
    <x v="0"/>
    <x v="0"/>
    <x v="0"/>
    <x v="0"/>
    <x v="0"/>
    <x v="0"/>
    <x v="0"/>
    <x v="12"/>
    <x v="19"/>
    <x v="190"/>
    <x v="0"/>
    <x v="0"/>
  </r>
  <r>
    <x v="914"/>
    <x v="906"/>
    <x v="4"/>
    <x v="3"/>
    <x v="3"/>
    <x v="0"/>
    <x v="0"/>
    <x v="3"/>
    <x v="0"/>
    <x v="0"/>
    <x v="0"/>
    <x v="0"/>
    <x v="190"/>
    <x v="0"/>
    <x v="0"/>
  </r>
  <r>
    <x v="915"/>
    <x v="907"/>
    <x v="1"/>
    <x v="3"/>
    <x v="3"/>
    <x v="0"/>
    <x v="0"/>
    <x v="3"/>
    <x v="0"/>
    <x v="0"/>
    <x v="0"/>
    <x v="0"/>
    <x v="190"/>
    <x v="0"/>
    <x v="0"/>
  </r>
  <r>
    <x v="916"/>
    <x v="908"/>
    <x v="4"/>
    <x v="3"/>
    <x v="3"/>
    <x v="0"/>
    <x v="0"/>
    <x v="3"/>
    <x v="0"/>
    <x v="0"/>
    <x v="0"/>
    <x v="0"/>
    <x v="190"/>
    <x v="0"/>
    <x v="0"/>
  </r>
  <r>
    <x v="917"/>
    <x v="909"/>
    <x v="1"/>
    <x v="3"/>
    <x v="3"/>
    <x v="0"/>
    <x v="0"/>
    <x v="3"/>
    <x v="0"/>
    <x v="0"/>
    <x v="0"/>
    <x v="0"/>
    <x v="190"/>
    <x v="0"/>
    <x v="0"/>
  </r>
  <r>
    <x v="918"/>
    <x v="910"/>
    <x v="1"/>
    <x v="5"/>
    <x v="5"/>
    <x v="0"/>
    <x v="0"/>
    <x v="8"/>
    <x v="0"/>
    <x v="0"/>
    <x v="0"/>
    <x v="0"/>
    <x v="191"/>
    <x v="0"/>
    <x v="0"/>
  </r>
  <r>
    <x v="919"/>
    <x v="911"/>
    <x v="1"/>
    <x v="3"/>
    <x v="3"/>
    <x v="0"/>
    <x v="0"/>
    <x v="0"/>
    <x v="0"/>
    <x v="0"/>
    <x v="0"/>
    <x v="0"/>
    <x v="191"/>
    <x v="0"/>
    <x v="0"/>
  </r>
  <r>
    <x v="920"/>
    <x v="912"/>
    <x v="1"/>
    <x v="3"/>
    <x v="3"/>
    <x v="0"/>
    <x v="0"/>
    <x v="9"/>
    <x v="0"/>
    <x v="0"/>
    <x v="0"/>
    <x v="0"/>
    <x v="191"/>
    <x v="0"/>
    <x v="0"/>
  </r>
  <r>
    <x v="921"/>
    <x v="913"/>
    <x v="1"/>
    <x v="2"/>
    <x v="2"/>
    <x v="0"/>
    <x v="0"/>
    <x v="0"/>
    <x v="0"/>
    <x v="0"/>
    <x v="0"/>
    <x v="0"/>
    <x v="191"/>
    <x v="0"/>
    <x v="0"/>
  </r>
  <r>
    <x v="922"/>
    <x v="914"/>
    <x v="11"/>
    <x v="2"/>
    <x v="2"/>
    <x v="0"/>
    <x v="0"/>
    <x v="1"/>
    <x v="0"/>
    <x v="0"/>
    <x v="0"/>
    <x v="0"/>
    <x v="191"/>
    <x v="24"/>
    <x v="0"/>
  </r>
  <r>
    <x v="923"/>
    <x v="915"/>
    <x v="4"/>
    <x v="1"/>
    <x v="1"/>
    <x v="0"/>
    <x v="0"/>
    <x v="10"/>
    <x v="0"/>
    <x v="0"/>
    <x v="0"/>
    <x v="0"/>
    <x v="191"/>
    <x v="0"/>
    <x v="0"/>
  </r>
  <r>
    <x v="924"/>
    <x v="916"/>
    <x v="4"/>
    <x v="1"/>
    <x v="1"/>
    <x v="0"/>
    <x v="0"/>
    <x v="0"/>
    <x v="0"/>
    <x v="0"/>
    <x v="0"/>
    <x v="0"/>
    <x v="191"/>
    <x v="0"/>
    <x v="0"/>
  </r>
  <r>
    <x v="925"/>
    <x v="917"/>
    <x v="1"/>
    <x v="2"/>
    <x v="2"/>
    <x v="0"/>
    <x v="0"/>
    <x v="11"/>
    <x v="0"/>
    <x v="0"/>
    <x v="0"/>
    <x v="0"/>
    <x v="191"/>
    <x v="0"/>
    <x v="0"/>
  </r>
  <r>
    <x v="926"/>
    <x v="918"/>
    <x v="4"/>
    <x v="2"/>
    <x v="2"/>
    <x v="0"/>
    <x v="0"/>
    <x v="0"/>
    <x v="0"/>
    <x v="0"/>
    <x v="0"/>
    <x v="0"/>
    <x v="191"/>
    <x v="0"/>
    <x v="0"/>
  </r>
  <r>
    <x v="927"/>
    <x v="919"/>
    <x v="1"/>
    <x v="2"/>
    <x v="2"/>
    <x v="0"/>
    <x v="0"/>
    <x v="0"/>
    <x v="0"/>
    <x v="0"/>
    <x v="0"/>
    <x v="0"/>
    <x v="191"/>
    <x v="0"/>
    <x v="0"/>
  </r>
  <r>
    <x v="928"/>
    <x v="920"/>
    <x v="4"/>
    <x v="5"/>
    <x v="5"/>
    <x v="0"/>
    <x v="0"/>
    <x v="0"/>
    <x v="0"/>
    <x v="0"/>
    <x v="0"/>
    <x v="0"/>
    <x v="191"/>
    <x v="0"/>
    <x v="0"/>
  </r>
  <r>
    <x v="929"/>
    <x v="921"/>
    <x v="4"/>
    <x v="3"/>
    <x v="3"/>
    <x v="0"/>
    <x v="0"/>
    <x v="0"/>
    <x v="0"/>
    <x v="0"/>
    <x v="16"/>
    <x v="0"/>
    <x v="191"/>
    <x v="0"/>
    <x v="2"/>
  </r>
  <r>
    <x v="930"/>
    <x v="922"/>
    <x v="2"/>
    <x v="2"/>
    <x v="2"/>
    <x v="0"/>
    <x v="0"/>
    <x v="12"/>
    <x v="0"/>
    <x v="0"/>
    <x v="17"/>
    <x v="0"/>
    <x v="192"/>
    <x v="0"/>
    <x v="0"/>
  </r>
  <r>
    <x v="931"/>
    <x v="918"/>
    <x v="4"/>
    <x v="2"/>
    <x v="2"/>
    <x v="0"/>
    <x v="0"/>
    <x v="0"/>
    <x v="0"/>
    <x v="0"/>
    <x v="0"/>
    <x v="0"/>
    <x v="192"/>
    <x v="0"/>
    <x v="0"/>
  </r>
  <r>
    <x v="932"/>
    <x v="923"/>
    <x v="1"/>
    <x v="2"/>
    <x v="2"/>
    <x v="0"/>
    <x v="0"/>
    <x v="13"/>
    <x v="0"/>
    <x v="0"/>
    <x v="17"/>
    <x v="0"/>
    <x v="192"/>
    <x v="0"/>
    <x v="0"/>
  </r>
  <r>
    <x v="933"/>
    <x v="917"/>
    <x v="2"/>
    <x v="2"/>
    <x v="2"/>
    <x v="0"/>
    <x v="0"/>
    <x v="11"/>
    <x v="0"/>
    <x v="0"/>
    <x v="0"/>
    <x v="0"/>
    <x v="192"/>
    <x v="0"/>
    <x v="0"/>
  </r>
  <r>
    <x v="934"/>
    <x v="924"/>
    <x v="4"/>
    <x v="2"/>
    <x v="2"/>
    <x v="0"/>
    <x v="0"/>
    <x v="0"/>
    <x v="0"/>
    <x v="0"/>
    <x v="0"/>
    <x v="0"/>
    <x v="192"/>
    <x v="0"/>
    <x v="0"/>
  </r>
  <r>
    <x v="935"/>
    <x v="925"/>
    <x v="1"/>
    <x v="2"/>
    <x v="2"/>
    <x v="0"/>
    <x v="0"/>
    <x v="14"/>
    <x v="0"/>
    <x v="0"/>
    <x v="0"/>
    <x v="0"/>
    <x v="192"/>
    <x v="0"/>
    <x v="0"/>
  </r>
  <r>
    <x v="936"/>
    <x v="926"/>
    <x v="1"/>
    <x v="2"/>
    <x v="2"/>
    <x v="0"/>
    <x v="0"/>
    <x v="0"/>
    <x v="0"/>
    <x v="0"/>
    <x v="0"/>
    <x v="0"/>
    <x v="192"/>
    <x v="25"/>
    <x v="0"/>
  </r>
  <r>
    <x v="937"/>
    <x v="927"/>
    <x v="1"/>
    <x v="2"/>
    <x v="2"/>
    <x v="0"/>
    <x v="0"/>
    <x v="0"/>
    <x v="0"/>
    <x v="0"/>
    <x v="18"/>
    <x v="0"/>
    <x v="192"/>
    <x v="0"/>
    <x v="0"/>
  </r>
  <r>
    <x v="938"/>
    <x v="913"/>
    <x v="1"/>
    <x v="2"/>
    <x v="2"/>
    <x v="0"/>
    <x v="0"/>
    <x v="0"/>
    <x v="0"/>
    <x v="0"/>
    <x v="0"/>
    <x v="0"/>
    <x v="192"/>
    <x v="0"/>
    <x v="0"/>
  </r>
  <r>
    <x v="939"/>
    <x v="928"/>
    <x v="1"/>
    <x v="2"/>
    <x v="2"/>
    <x v="0"/>
    <x v="0"/>
    <x v="0"/>
    <x v="0"/>
    <x v="0"/>
    <x v="0"/>
    <x v="0"/>
    <x v="192"/>
    <x v="0"/>
    <x v="0"/>
  </r>
  <r>
    <x v="940"/>
    <x v="929"/>
    <x v="4"/>
    <x v="2"/>
    <x v="2"/>
    <x v="0"/>
    <x v="0"/>
    <x v="0"/>
    <x v="0"/>
    <x v="0"/>
    <x v="0"/>
    <x v="0"/>
    <x v="192"/>
    <x v="0"/>
    <x v="0"/>
  </r>
  <r>
    <x v="941"/>
    <x v="930"/>
    <x v="1"/>
    <x v="2"/>
    <x v="2"/>
    <x v="0"/>
    <x v="1"/>
    <x v="0"/>
    <x v="0"/>
    <x v="0"/>
    <x v="0"/>
    <x v="0"/>
    <x v="192"/>
    <x v="26"/>
    <x v="0"/>
  </r>
  <r>
    <x v="942"/>
    <x v="931"/>
    <x v="2"/>
    <x v="2"/>
    <x v="2"/>
    <x v="0"/>
    <x v="0"/>
    <x v="0"/>
    <x v="0"/>
    <x v="0"/>
    <x v="0"/>
    <x v="0"/>
    <x v="192"/>
    <x v="0"/>
    <x v="0"/>
  </r>
  <r>
    <x v="943"/>
    <x v="932"/>
    <x v="1"/>
    <x v="2"/>
    <x v="2"/>
    <x v="0"/>
    <x v="0"/>
    <x v="0"/>
    <x v="0"/>
    <x v="0"/>
    <x v="7"/>
    <x v="0"/>
    <x v="192"/>
    <x v="0"/>
    <x v="0"/>
  </r>
  <r>
    <x v="944"/>
    <x v="933"/>
    <x v="2"/>
    <x v="2"/>
    <x v="2"/>
    <x v="0"/>
    <x v="0"/>
    <x v="0"/>
    <x v="0"/>
    <x v="0"/>
    <x v="0"/>
    <x v="0"/>
    <x v="192"/>
    <x v="0"/>
    <x v="0"/>
  </r>
  <r>
    <x v="945"/>
    <x v="934"/>
    <x v="2"/>
    <x v="1"/>
    <x v="1"/>
    <x v="0"/>
    <x v="0"/>
    <x v="15"/>
    <x v="0"/>
    <x v="0"/>
    <x v="17"/>
    <x v="0"/>
    <x v="192"/>
    <x v="0"/>
    <x v="0"/>
  </r>
  <r>
    <x v="946"/>
    <x v="935"/>
    <x v="2"/>
    <x v="1"/>
    <x v="1"/>
    <x v="0"/>
    <x v="0"/>
    <x v="16"/>
    <x v="0"/>
    <x v="0"/>
    <x v="17"/>
    <x v="0"/>
    <x v="192"/>
    <x v="0"/>
    <x v="0"/>
  </r>
  <r>
    <x v="947"/>
    <x v="936"/>
    <x v="2"/>
    <x v="1"/>
    <x v="1"/>
    <x v="0"/>
    <x v="0"/>
    <x v="14"/>
    <x v="0"/>
    <x v="0"/>
    <x v="0"/>
    <x v="0"/>
    <x v="192"/>
    <x v="27"/>
    <x v="0"/>
  </r>
  <r>
    <x v="948"/>
    <x v="937"/>
    <x v="2"/>
    <x v="1"/>
    <x v="1"/>
    <x v="0"/>
    <x v="0"/>
    <x v="0"/>
    <x v="0"/>
    <x v="0"/>
    <x v="0"/>
    <x v="0"/>
    <x v="192"/>
    <x v="0"/>
    <x v="0"/>
  </r>
  <r>
    <x v="949"/>
    <x v="938"/>
    <x v="2"/>
    <x v="1"/>
    <x v="1"/>
    <x v="0"/>
    <x v="0"/>
    <x v="12"/>
    <x v="0"/>
    <x v="0"/>
    <x v="17"/>
    <x v="0"/>
    <x v="192"/>
    <x v="0"/>
    <x v="0"/>
  </r>
  <r>
    <x v="950"/>
    <x v="939"/>
    <x v="1"/>
    <x v="1"/>
    <x v="1"/>
    <x v="0"/>
    <x v="3"/>
    <x v="0"/>
    <x v="0"/>
    <x v="0"/>
    <x v="0"/>
    <x v="0"/>
    <x v="192"/>
    <x v="0"/>
    <x v="0"/>
  </r>
  <r>
    <x v="951"/>
    <x v="940"/>
    <x v="2"/>
    <x v="1"/>
    <x v="1"/>
    <x v="0"/>
    <x v="0"/>
    <x v="11"/>
    <x v="0"/>
    <x v="0"/>
    <x v="0"/>
    <x v="0"/>
    <x v="192"/>
    <x v="0"/>
    <x v="0"/>
  </r>
  <r>
    <x v="952"/>
    <x v="941"/>
    <x v="4"/>
    <x v="1"/>
    <x v="1"/>
    <x v="0"/>
    <x v="0"/>
    <x v="0"/>
    <x v="0"/>
    <x v="0"/>
    <x v="0"/>
    <x v="0"/>
    <x v="192"/>
    <x v="0"/>
    <x v="0"/>
  </r>
  <r>
    <x v="953"/>
    <x v="942"/>
    <x v="1"/>
    <x v="1"/>
    <x v="1"/>
    <x v="0"/>
    <x v="0"/>
    <x v="0"/>
    <x v="0"/>
    <x v="0"/>
    <x v="18"/>
    <x v="0"/>
    <x v="192"/>
    <x v="0"/>
    <x v="0"/>
  </r>
  <r>
    <x v="954"/>
    <x v="943"/>
    <x v="4"/>
    <x v="1"/>
    <x v="1"/>
    <x v="0"/>
    <x v="0"/>
    <x v="0"/>
    <x v="0"/>
    <x v="0"/>
    <x v="0"/>
    <x v="0"/>
    <x v="192"/>
    <x v="0"/>
    <x v="0"/>
  </r>
  <r>
    <x v="955"/>
    <x v="944"/>
    <x v="2"/>
    <x v="1"/>
    <x v="1"/>
    <x v="0"/>
    <x v="0"/>
    <x v="15"/>
    <x v="0"/>
    <x v="0"/>
    <x v="0"/>
    <x v="0"/>
    <x v="192"/>
    <x v="0"/>
    <x v="0"/>
  </r>
  <r>
    <x v="956"/>
    <x v="945"/>
    <x v="2"/>
    <x v="1"/>
    <x v="1"/>
    <x v="0"/>
    <x v="0"/>
    <x v="0"/>
    <x v="0"/>
    <x v="0"/>
    <x v="0"/>
    <x v="0"/>
    <x v="192"/>
    <x v="0"/>
    <x v="0"/>
  </r>
  <r>
    <x v="957"/>
    <x v="946"/>
    <x v="2"/>
    <x v="1"/>
    <x v="1"/>
    <x v="0"/>
    <x v="0"/>
    <x v="0"/>
    <x v="0"/>
    <x v="0"/>
    <x v="0"/>
    <x v="0"/>
    <x v="192"/>
    <x v="0"/>
    <x v="0"/>
  </r>
  <r>
    <x v="958"/>
    <x v="947"/>
    <x v="12"/>
    <x v="0"/>
    <x v="0"/>
    <x v="0"/>
    <x v="0"/>
    <x v="0"/>
    <x v="0"/>
    <x v="0"/>
    <x v="0"/>
    <x v="21"/>
    <x v="193"/>
    <x v="28"/>
    <x v="0"/>
  </r>
  <r>
    <x v="959"/>
    <x v="948"/>
    <x v="12"/>
    <x v="0"/>
    <x v="0"/>
    <x v="0"/>
    <x v="0"/>
    <x v="0"/>
    <x v="0"/>
    <x v="0"/>
    <x v="0"/>
    <x v="3"/>
    <x v="193"/>
    <x v="29"/>
    <x v="0"/>
  </r>
  <r>
    <x v="960"/>
    <x v="949"/>
    <x v="12"/>
    <x v="0"/>
    <x v="0"/>
    <x v="0"/>
    <x v="0"/>
    <x v="0"/>
    <x v="0"/>
    <x v="0"/>
    <x v="12"/>
    <x v="0"/>
    <x v="193"/>
    <x v="30"/>
    <x v="0"/>
  </r>
  <r>
    <x v="961"/>
    <x v="950"/>
    <x v="12"/>
    <x v="0"/>
    <x v="0"/>
    <x v="0"/>
    <x v="0"/>
    <x v="0"/>
    <x v="0"/>
    <x v="0"/>
    <x v="12"/>
    <x v="22"/>
    <x v="193"/>
    <x v="30"/>
    <x v="0"/>
  </r>
  <r>
    <x v="962"/>
    <x v="951"/>
    <x v="12"/>
    <x v="0"/>
    <x v="0"/>
    <x v="0"/>
    <x v="0"/>
    <x v="0"/>
    <x v="0"/>
    <x v="0"/>
    <x v="12"/>
    <x v="22"/>
    <x v="193"/>
    <x v="31"/>
    <x v="0"/>
  </r>
  <r>
    <x v="963"/>
    <x v="952"/>
    <x v="11"/>
    <x v="2"/>
    <x v="2"/>
    <x v="0"/>
    <x v="0"/>
    <x v="3"/>
    <x v="0"/>
    <x v="0"/>
    <x v="0"/>
    <x v="0"/>
    <x v="193"/>
    <x v="0"/>
    <x v="0"/>
  </r>
  <r>
    <x v="964"/>
    <x v="953"/>
    <x v="11"/>
    <x v="2"/>
    <x v="2"/>
    <x v="0"/>
    <x v="0"/>
    <x v="0"/>
    <x v="0"/>
    <x v="0"/>
    <x v="0"/>
    <x v="0"/>
    <x v="193"/>
    <x v="0"/>
    <x v="0"/>
  </r>
  <r>
    <x v="965"/>
    <x v="954"/>
    <x v="4"/>
    <x v="2"/>
    <x v="2"/>
    <x v="0"/>
    <x v="0"/>
    <x v="3"/>
    <x v="0"/>
    <x v="0"/>
    <x v="6"/>
    <x v="23"/>
    <x v="194"/>
    <x v="0"/>
    <x v="0"/>
  </r>
  <r>
    <x v="966"/>
    <x v="955"/>
    <x v="1"/>
    <x v="5"/>
    <x v="5"/>
    <x v="0"/>
    <x v="0"/>
    <x v="7"/>
    <x v="0"/>
    <x v="0"/>
    <x v="0"/>
    <x v="6"/>
    <x v="195"/>
    <x v="0"/>
    <x v="0"/>
  </r>
  <r>
    <x v="967"/>
    <x v="956"/>
    <x v="4"/>
    <x v="5"/>
    <x v="5"/>
    <x v="0"/>
    <x v="0"/>
    <x v="7"/>
    <x v="0"/>
    <x v="0"/>
    <x v="0"/>
    <x v="0"/>
    <x v="195"/>
    <x v="0"/>
    <x v="0"/>
  </r>
  <r>
    <x v="968"/>
    <x v="957"/>
    <x v="11"/>
    <x v="2"/>
    <x v="2"/>
    <x v="0"/>
    <x v="0"/>
    <x v="3"/>
    <x v="0"/>
    <x v="0"/>
    <x v="0"/>
    <x v="0"/>
    <x v="196"/>
    <x v="0"/>
    <x v="0"/>
  </r>
  <r>
    <x v="969"/>
    <x v="958"/>
    <x v="4"/>
    <x v="3"/>
    <x v="3"/>
    <x v="0"/>
    <x v="0"/>
    <x v="5"/>
    <x v="0"/>
    <x v="0"/>
    <x v="0"/>
    <x v="0"/>
    <x v="197"/>
    <x v="0"/>
    <x v="0"/>
  </r>
  <r>
    <x v="970"/>
    <x v="959"/>
    <x v="1"/>
    <x v="1"/>
    <x v="1"/>
    <x v="0"/>
    <x v="0"/>
    <x v="0"/>
    <x v="0"/>
    <x v="0"/>
    <x v="0"/>
    <x v="0"/>
    <x v="198"/>
    <x v="0"/>
    <x v="0"/>
  </r>
  <r>
    <x v="971"/>
    <x v="960"/>
    <x v="11"/>
    <x v="1"/>
    <x v="1"/>
    <x v="0"/>
    <x v="0"/>
    <x v="0"/>
    <x v="0"/>
    <x v="0"/>
    <x v="0"/>
    <x v="0"/>
    <x v="198"/>
    <x v="0"/>
    <x v="0"/>
  </r>
  <r>
    <x v="972"/>
    <x v="961"/>
    <x v="11"/>
    <x v="1"/>
    <x v="1"/>
    <x v="0"/>
    <x v="0"/>
    <x v="0"/>
    <x v="0"/>
    <x v="0"/>
    <x v="0"/>
    <x v="0"/>
    <x v="198"/>
    <x v="0"/>
    <x v="0"/>
  </r>
  <r>
    <x v="973"/>
    <x v="962"/>
    <x v="11"/>
    <x v="1"/>
    <x v="1"/>
    <x v="0"/>
    <x v="0"/>
    <x v="0"/>
    <x v="0"/>
    <x v="0"/>
    <x v="0"/>
    <x v="0"/>
    <x v="198"/>
    <x v="0"/>
    <x v="0"/>
  </r>
  <r>
    <x v="974"/>
    <x v="963"/>
    <x v="11"/>
    <x v="1"/>
    <x v="1"/>
    <x v="0"/>
    <x v="0"/>
    <x v="0"/>
    <x v="0"/>
    <x v="0"/>
    <x v="0"/>
    <x v="0"/>
    <x v="198"/>
    <x v="0"/>
    <x v="0"/>
  </r>
  <r>
    <x v="975"/>
    <x v="964"/>
    <x v="4"/>
    <x v="3"/>
    <x v="3"/>
    <x v="0"/>
    <x v="0"/>
    <x v="0"/>
    <x v="0"/>
    <x v="0"/>
    <x v="0"/>
    <x v="18"/>
    <x v="199"/>
    <x v="0"/>
    <x v="0"/>
  </r>
  <r>
    <x v="976"/>
    <x v="965"/>
    <x v="11"/>
    <x v="2"/>
    <x v="2"/>
    <x v="0"/>
    <x v="0"/>
    <x v="0"/>
    <x v="0"/>
    <x v="0"/>
    <x v="6"/>
    <x v="0"/>
    <x v="200"/>
    <x v="0"/>
    <x v="0"/>
  </r>
  <r>
    <x v="977"/>
    <x v="966"/>
    <x v="1"/>
    <x v="5"/>
    <x v="5"/>
    <x v="0"/>
    <x v="0"/>
    <x v="2"/>
    <x v="0"/>
    <x v="0"/>
    <x v="0"/>
    <x v="6"/>
    <x v="200"/>
    <x v="0"/>
    <x v="0"/>
  </r>
  <r>
    <x v="978"/>
    <x v="967"/>
    <x v="1"/>
    <x v="2"/>
    <x v="2"/>
    <x v="0"/>
    <x v="0"/>
    <x v="3"/>
    <x v="0"/>
    <x v="0"/>
    <x v="0"/>
    <x v="24"/>
    <x v="201"/>
    <x v="0"/>
    <x v="0"/>
  </r>
  <r>
    <x v="979"/>
    <x v="968"/>
    <x v="11"/>
    <x v="2"/>
    <x v="2"/>
    <x v="0"/>
    <x v="0"/>
    <x v="0"/>
    <x v="0"/>
    <x v="0"/>
    <x v="0"/>
    <x v="0"/>
    <x v="202"/>
    <x v="0"/>
    <x v="0"/>
  </r>
  <r>
    <x v="980"/>
    <x v="969"/>
    <x v="11"/>
    <x v="2"/>
    <x v="2"/>
    <x v="0"/>
    <x v="0"/>
    <x v="2"/>
    <x v="0"/>
    <x v="0"/>
    <x v="0"/>
    <x v="0"/>
    <x v="202"/>
    <x v="0"/>
    <x v="0"/>
  </r>
  <r>
    <x v="981"/>
    <x v="970"/>
    <x v="11"/>
    <x v="2"/>
    <x v="2"/>
    <x v="0"/>
    <x v="0"/>
    <x v="2"/>
    <x v="0"/>
    <x v="0"/>
    <x v="0"/>
    <x v="0"/>
    <x v="203"/>
    <x v="0"/>
    <x v="0"/>
  </r>
  <r>
    <x v="982"/>
    <x v="971"/>
    <x v="1"/>
    <x v="5"/>
    <x v="5"/>
    <x v="0"/>
    <x v="0"/>
    <x v="3"/>
    <x v="0"/>
    <x v="0"/>
    <x v="0"/>
    <x v="24"/>
    <x v="203"/>
    <x v="32"/>
    <x v="0"/>
  </r>
  <r>
    <x v="983"/>
    <x v="972"/>
    <x v="11"/>
    <x v="2"/>
    <x v="2"/>
    <x v="0"/>
    <x v="0"/>
    <x v="3"/>
    <x v="0"/>
    <x v="0"/>
    <x v="0"/>
    <x v="24"/>
    <x v="203"/>
    <x v="0"/>
    <x v="0"/>
  </r>
  <r>
    <x v="984"/>
    <x v="973"/>
    <x v="4"/>
    <x v="3"/>
    <x v="3"/>
    <x v="0"/>
    <x v="0"/>
    <x v="2"/>
    <x v="0"/>
    <x v="0"/>
    <x v="13"/>
    <x v="25"/>
    <x v="203"/>
    <x v="0"/>
    <x v="0"/>
  </r>
  <r>
    <x v="985"/>
    <x v="974"/>
    <x v="4"/>
    <x v="1"/>
    <x v="1"/>
    <x v="0"/>
    <x v="0"/>
    <x v="3"/>
    <x v="0"/>
    <x v="0"/>
    <x v="11"/>
    <x v="0"/>
    <x v="204"/>
    <x v="24"/>
    <x v="0"/>
  </r>
  <r>
    <x v="986"/>
    <x v="975"/>
    <x v="11"/>
    <x v="2"/>
    <x v="2"/>
    <x v="0"/>
    <x v="0"/>
    <x v="1"/>
    <x v="0"/>
    <x v="0"/>
    <x v="0"/>
    <x v="24"/>
    <x v="204"/>
    <x v="0"/>
    <x v="0"/>
  </r>
  <r>
    <x v="987"/>
    <x v="976"/>
    <x v="4"/>
    <x v="2"/>
    <x v="2"/>
    <x v="0"/>
    <x v="0"/>
    <x v="3"/>
    <x v="0"/>
    <x v="0"/>
    <x v="9"/>
    <x v="23"/>
    <x v="205"/>
    <x v="33"/>
    <x v="0"/>
  </r>
  <r>
    <x v="988"/>
    <x v="977"/>
    <x v="1"/>
    <x v="3"/>
    <x v="3"/>
    <x v="0"/>
    <x v="0"/>
    <x v="0"/>
    <x v="0"/>
    <x v="0"/>
    <x v="0"/>
    <x v="0"/>
    <x v="206"/>
    <x v="0"/>
    <x v="0"/>
  </r>
  <r>
    <x v="989"/>
    <x v="978"/>
    <x v="4"/>
    <x v="3"/>
    <x v="3"/>
    <x v="0"/>
    <x v="0"/>
    <x v="3"/>
    <x v="0"/>
    <x v="0"/>
    <x v="0"/>
    <x v="26"/>
    <x v="206"/>
    <x v="0"/>
    <x v="0"/>
  </r>
  <r>
    <x v="990"/>
    <x v="979"/>
    <x v="4"/>
    <x v="3"/>
    <x v="3"/>
    <x v="0"/>
    <x v="0"/>
    <x v="0"/>
    <x v="0"/>
    <x v="0"/>
    <x v="0"/>
    <x v="0"/>
    <x v="206"/>
    <x v="0"/>
    <x v="0"/>
  </r>
  <r>
    <x v="991"/>
    <x v="980"/>
    <x v="1"/>
    <x v="3"/>
    <x v="3"/>
    <x v="0"/>
    <x v="0"/>
    <x v="0"/>
    <x v="0"/>
    <x v="0"/>
    <x v="0"/>
    <x v="0"/>
    <x v="207"/>
    <x v="0"/>
    <x v="0"/>
  </r>
  <r>
    <x v="992"/>
    <x v="981"/>
    <x v="11"/>
    <x v="2"/>
    <x v="2"/>
    <x v="0"/>
    <x v="0"/>
    <x v="3"/>
    <x v="0"/>
    <x v="0"/>
    <x v="8"/>
    <x v="0"/>
    <x v="207"/>
    <x v="0"/>
    <x v="0"/>
  </r>
  <r>
    <x v="993"/>
    <x v="982"/>
    <x v="1"/>
    <x v="3"/>
    <x v="3"/>
    <x v="0"/>
    <x v="0"/>
    <x v="0"/>
    <x v="0"/>
    <x v="0"/>
    <x v="0"/>
    <x v="0"/>
    <x v="208"/>
    <x v="0"/>
    <x v="0"/>
  </r>
  <r>
    <x v="994"/>
    <x v="983"/>
    <x v="1"/>
    <x v="3"/>
    <x v="3"/>
    <x v="0"/>
    <x v="0"/>
    <x v="0"/>
    <x v="0"/>
    <x v="0"/>
    <x v="0"/>
    <x v="0"/>
    <x v="208"/>
    <x v="0"/>
    <x v="0"/>
  </r>
  <r>
    <x v="995"/>
    <x v="984"/>
    <x v="1"/>
    <x v="3"/>
    <x v="3"/>
    <x v="0"/>
    <x v="0"/>
    <x v="0"/>
    <x v="0"/>
    <x v="0"/>
    <x v="0"/>
    <x v="0"/>
    <x v="208"/>
    <x v="0"/>
    <x v="0"/>
  </r>
  <r>
    <x v="996"/>
    <x v="985"/>
    <x v="1"/>
    <x v="3"/>
    <x v="3"/>
    <x v="0"/>
    <x v="0"/>
    <x v="0"/>
    <x v="0"/>
    <x v="0"/>
    <x v="0"/>
    <x v="0"/>
    <x v="208"/>
    <x v="0"/>
    <x v="0"/>
  </r>
  <r>
    <x v="997"/>
    <x v="986"/>
    <x v="1"/>
    <x v="3"/>
    <x v="3"/>
    <x v="0"/>
    <x v="0"/>
    <x v="0"/>
    <x v="0"/>
    <x v="0"/>
    <x v="0"/>
    <x v="0"/>
    <x v="208"/>
    <x v="0"/>
    <x v="0"/>
  </r>
  <r>
    <x v="998"/>
    <x v="987"/>
    <x v="1"/>
    <x v="3"/>
    <x v="3"/>
    <x v="0"/>
    <x v="0"/>
    <x v="0"/>
    <x v="0"/>
    <x v="0"/>
    <x v="0"/>
    <x v="0"/>
    <x v="208"/>
    <x v="0"/>
    <x v="0"/>
  </r>
  <r>
    <x v="999"/>
    <x v="988"/>
    <x v="4"/>
    <x v="3"/>
    <x v="3"/>
    <x v="0"/>
    <x v="0"/>
    <x v="0"/>
    <x v="0"/>
    <x v="0"/>
    <x v="0"/>
    <x v="0"/>
    <x v="208"/>
    <x v="0"/>
    <x v="0"/>
  </r>
  <r>
    <x v="1000"/>
    <x v="989"/>
    <x v="4"/>
    <x v="3"/>
    <x v="3"/>
    <x v="0"/>
    <x v="0"/>
    <x v="0"/>
    <x v="0"/>
    <x v="0"/>
    <x v="0"/>
    <x v="0"/>
    <x v="208"/>
    <x v="0"/>
    <x v="0"/>
  </r>
  <r>
    <x v="1001"/>
    <x v="990"/>
    <x v="4"/>
    <x v="3"/>
    <x v="3"/>
    <x v="0"/>
    <x v="0"/>
    <x v="0"/>
    <x v="0"/>
    <x v="0"/>
    <x v="0"/>
    <x v="0"/>
    <x v="208"/>
    <x v="0"/>
    <x v="0"/>
  </r>
  <r>
    <x v="1002"/>
    <x v="991"/>
    <x v="4"/>
    <x v="3"/>
    <x v="3"/>
    <x v="0"/>
    <x v="0"/>
    <x v="0"/>
    <x v="0"/>
    <x v="0"/>
    <x v="0"/>
    <x v="0"/>
    <x v="208"/>
    <x v="0"/>
    <x v="0"/>
  </r>
  <r>
    <x v="1003"/>
    <x v="992"/>
    <x v="1"/>
    <x v="3"/>
    <x v="3"/>
    <x v="0"/>
    <x v="0"/>
    <x v="0"/>
    <x v="0"/>
    <x v="0"/>
    <x v="0"/>
    <x v="0"/>
    <x v="208"/>
    <x v="0"/>
    <x v="0"/>
  </r>
  <r>
    <x v="1004"/>
    <x v="993"/>
    <x v="1"/>
    <x v="3"/>
    <x v="3"/>
    <x v="0"/>
    <x v="0"/>
    <x v="0"/>
    <x v="0"/>
    <x v="0"/>
    <x v="0"/>
    <x v="0"/>
    <x v="208"/>
    <x v="0"/>
    <x v="0"/>
  </r>
  <r>
    <x v="1005"/>
    <x v="994"/>
    <x v="1"/>
    <x v="3"/>
    <x v="3"/>
    <x v="0"/>
    <x v="0"/>
    <x v="0"/>
    <x v="0"/>
    <x v="0"/>
    <x v="0"/>
    <x v="0"/>
    <x v="208"/>
    <x v="0"/>
    <x v="0"/>
  </r>
  <r>
    <x v="1006"/>
    <x v="995"/>
    <x v="11"/>
    <x v="2"/>
    <x v="2"/>
    <x v="0"/>
    <x v="0"/>
    <x v="3"/>
    <x v="0"/>
    <x v="0"/>
    <x v="0"/>
    <x v="0"/>
    <x v="208"/>
    <x v="32"/>
    <x v="0"/>
  </r>
  <r>
    <x v="1007"/>
    <x v="996"/>
    <x v="4"/>
    <x v="2"/>
    <x v="2"/>
    <x v="0"/>
    <x v="0"/>
    <x v="3"/>
    <x v="0"/>
    <x v="0"/>
    <x v="5"/>
    <x v="23"/>
    <x v="209"/>
    <x v="33"/>
    <x v="0"/>
  </r>
  <r>
    <x v="1008"/>
    <x v="997"/>
    <x v="11"/>
    <x v="2"/>
    <x v="2"/>
    <x v="0"/>
    <x v="0"/>
    <x v="0"/>
    <x v="0"/>
    <x v="0"/>
    <x v="0"/>
    <x v="1"/>
    <x v="209"/>
    <x v="24"/>
    <x v="0"/>
  </r>
  <r>
    <x v="1009"/>
    <x v="998"/>
    <x v="11"/>
    <x v="2"/>
    <x v="2"/>
    <x v="0"/>
    <x v="0"/>
    <x v="0"/>
    <x v="0"/>
    <x v="0"/>
    <x v="0"/>
    <x v="0"/>
    <x v="210"/>
    <x v="0"/>
    <x v="0"/>
  </r>
  <r>
    <x v="1010"/>
    <x v="999"/>
    <x v="11"/>
    <x v="5"/>
    <x v="5"/>
    <x v="0"/>
    <x v="0"/>
    <x v="0"/>
    <x v="0"/>
    <x v="0"/>
    <x v="0"/>
    <x v="0"/>
    <x v="211"/>
    <x v="0"/>
    <x v="0"/>
  </r>
  <r>
    <x v="1011"/>
    <x v="1000"/>
    <x v="4"/>
    <x v="3"/>
    <x v="3"/>
    <x v="0"/>
    <x v="0"/>
    <x v="3"/>
    <x v="0"/>
    <x v="0"/>
    <x v="0"/>
    <x v="26"/>
    <x v="212"/>
    <x v="0"/>
    <x v="0"/>
  </r>
  <r>
    <x v="1012"/>
    <x v="1001"/>
    <x v="4"/>
    <x v="2"/>
    <x v="2"/>
    <x v="0"/>
    <x v="0"/>
    <x v="3"/>
    <x v="0"/>
    <x v="0"/>
    <x v="0"/>
    <x v="8"/>
    <x v="212"/>
    <x v="0"/>
    <x v="0"/>
  </r>
  <r>
    <x v="1013"/>
    <x v="1002"/>
    <x v="4"/>
    <x v="2"/>
    <x v="2"/>
    <x v="0"/>
    <x v="0"/>
    <x v="3"/>
    <x v="0"/>
    <x v="0"/>
    <x v="0"/>
    <x v="17"/>
    <x v="212"/>
    <x v="0"/>
    <x v="0"/>
  </r>
  <r>
    <x v="1014"/>
    <x v="1003"/>
    <x v="4"/>
    <x v="2"/>
    <x v="2"/>
    <x v="0"/>
    <x v="0"/>
    <x v="2"/>
    <x v="0"/>
    <x v="0"/>
    <x v="0"/>
    <x v="17"/>
    <x v="212"/>
    <x v="0"/>
    <x v="0"/>
  </r>
  <r>
    <x v="1015"/>
    <x v="1004"/>
    <x v="1"/>
    <x v="3"/>
    <x v="3"/>
    <x v="0"/>
    <x v="0"/>
    <x v="0"/>
    <x v="0"/>
    <x v="0"/>
    <x v="0"/>
    <x v="0"/>
    <x v="213"/>
    <x v="0"/>
    <x v="0"/>
  </r>
  <r>
    <x v="1016"/>
    <x v="1005"/>
    <x v="4"/>
    <x v="2"/>
    <x v="2"/>
    <x v="0"/>
    <x v="0"/>
    <x v="3"/>
    <x v="0"/>
    <x v="0"/>
    <x v="0"/>
    <x v="17"/>
    <x v="213"/>
    <x v="0"/>
    <x v="0"/>
  </r>
  <r>
    <x v="1017"/>
    <x v="1006"/>
    <x v="1"/>
    <x v="3"/>
    <x v="3"/>
    <x v="0"/>
    <x v="0"/>
    <x v="0"/>
    <x v="0"/>
    <x v="0"/>
    <x v="0"/>
    <x v="0"/>
    <x v="213"/>
    <x v="0"/>
    <x v="0"/>
  </r>
  <r>
    <x v="1018"/>
    <x v="1007"/>
    <x v="1"/>
    <x v="2"/>
    <x v="2"/>
    <x v="0"/>
    <x v="0"/>
    <x v="3"/>
    <x v="0"/>
    <x v="0"/>
    <x v="0"/>
    <x v="1"/>
    <x v="213"/>
    <x v="0"/>
    <x v="0"/>
  </r>
  <r>
    <x v="1019"/>
    <x v="1008"/>
    <x v="4"/>
    <x v="2"/>
    <x v="2"/>
    <x v="0"/>
    <x v="0"/>
    <x v="3"/>
    <x v="0"/>
    <x v="0"/>
    <x v="0"/>
    <x v="17"/>
    <x v="213"/>
    <x v="0"/>
    <x v="0"/>
  </r>
  <r>
    <x v="1020"/>
    <x v="1009"/>
    <x v="11"/>
    <x v="2"/>
    <x v="2"/>
    <x v="0"/>
    <x v="0"/>
    <x v="0"/>
    <x v="0"/>
    <x v="0"/>
    <x v="0"/>
    <x v="0"/>
    <x v="214"/>
    <x v="0"/>
    <x v="0"/>
  </r>
  <r>
    <x v="1021"/>
    <x v="1010"/>
    <x v="1"/>
    <x v="3"/>
    <x v="3"/>
    <x v="0"/>
    <x v="0"/>
    <x v="0"/>
    <x v="0"/>
    <x v="0"/>
    <x v="0"/>
    <x v="0"/>
    <x v="215"/>
    <x v="0"/>
    <x v="0"/>
  </r>
  <r>
    <x v="1022"/>
    <x v="1011"/>
    <x v="1"/>
    <x v="3"/>
    <x v="3"/>
    <x v="0"/>
    <x v="0"/>
    <x v="0"/>
    <x v="0"/>
    <x v="0"/>
    <x v="0"/>
    <x v="0"/>
    <x v="216"/>
    <x v="0"/>
    <x v="0"/>
  </r>
  <r>
    <x v="1023"/>
    <x v="1012"/>
    <x v="11"/>
    <x v="2"/>
    <x v="2"/>
    <x v="0"/>
    <x v="0"/>
    <x v="0"/>
    <x v="0"/>
    <x v="0"/>
    <x v="11"/>
    <x v="0"/>
    <x v="216"/>
    <x v="0"/>
    <x v="0"/>
  </r>
  <r>
    <x v="1024"/>
    <x v="1013"/>
    <x v="11"/>
    <x v="1"/>
    <x v="1"/>
    <x v="0"/>
    <x v="0"/>
    <x v="5"/>
    <x v="0"/>
    <x v="0"/>
    <x v="2"/>
    <x v="0"/>
    <x v="217"/>
    <x v="0"/>
    <x v="0"/>
  </r>
  <r>
    <x v="1025"/>
    <x v="1014"/>
    <x v="4"/>
    <x v="5"/>
    <x v="5"/>
    <x v="0"/>
    <x v="0"/>
    <x v="3"/>
    <x v="0"/>
    <x v="0"/>
    <x v="0"/>
    <x v="24"/>
    <x v="217"/>
    <x v="32"/>
    <x v="0"/>
  </r>
  <r>
    <x v="1026"/>
    <x v="1015"/>
    <x v="1"/>
    <x v="1"/>
    <x v="1"/>
    <x v="0"/>
    <x v="0"/>
    <x v="0"/>
    <x v="0"/>
    <x v="0"/>
    <x v="0"/>
    <x v="0"/>
    <x v="218"/>
    <x v="0"/>
    <x v="0"/>
  </r>
  <r>
    <x v="1027"/>
    <x v="1016"/>
    <x v="1"/>
    <x v="3"/>
    <x v="3"/>
    <x v="0"/>
    <x v="0"/>
    <x v="0"/>
    <x v="0"/>
    <x v="0"/>
    <x v="0"/>
    <x v="0"/>
    <x v="218"/>
    <x v="0"/>
    <x v="0"/>
  </r>
  <r>
    <x v="1028"/>
    <x v="1017"/>
    <x v="1"/>
    <x v="3"/>
    <x v="3"/>
    <x v="0"/>
    <x v="0"/>
    <x v="0"/>
    <x v="0"/>
    <x v="0"/>
    <x v="0"/>
    <x v="0"/>
    <x v="218"/>
    <x v="0"/>
    <x v="0"/>
  </r>
  <r>
    <x v="1029"/>
    <x v="1018"/>
    <x v="11"/>
    <x v="2"/>
    <x v="2"/>
    <x v="0"/>
    <x v="0"/>
    <x v="0"/>
    <x v="0"/>
    <x v="0"/>
    <x v="0"/>
    <x v="0"/>
    <x v="218"/>
    <x v="0"/>
    <x v="0"/>
  </r>
  <r>
    <x v="1030"/>
    <x v="1019"/>
    <x v="1"/>
    <x v="3"/>
    <x v="3"/>
    <x v="0"/>
    <x v="0"/>
    <x v="0"/>
    <x v="0"/>
    <x v="0"/>
    <x v="0"/>
    <x v="0"/>
    <x v="218"/>
    <x v="0"/>
    <x v="0"/>
  </r>
  <r>
    <x v="1031"/>
    <x v="1020"/>
    <x v="1"/>
    <x v="3"/>
    <x v="3"/>
    <x v="0"/>
    <x v="0"/>
    <x v="0"/>
    <x v="0"/>
    <x v="0"/>
    <x v="0"/>
    <x v="0"/>
    <x v="218"/>
    <x v="0"/>
    <x v="0"/>
  </r>
  <r>
    <x v="1032"/>
    <x v="1021"/>
    <x v="11"/>
    <x v="2"/>
    <x v="2"/>
    <x v="0"/>
    <x v="0"/>
    <x v="0"/>
    <x v="0"/>
    <x v="0"/>
    <x v="0"/>
    <x v="0"/>
    <x v="218"/>
    <x v="0"/>
    <x v="0"/>
  </r>
  <r>
    <x v="1033"/>
    <x v="1022"/>
    <x v="2"/>
    <x v="2"/>
    <x v="2"/>
    <x v="0"/>
    <x v="0"/>
    <x v="0"/>
    <x v="0"/>
    <x v="0"/>
    <x v="0"/>
    <x v="0"/>
    <x v="218"/>
    <x v="0"/>
    <x v="0"/>
  </r>
  <r>
    <x v="1034"/>
    <x v="1023"/>
    <x v="3"/>
    <x v="0"/>
    <x v="0"/>
    <x v="0"/>
    <x v="0"/>
    <x v="0"/>
    <x v="0"/>
    <x v="0"/>
    <x v="0"/>
    <x v="0"/>
    <x v="218"/>
    <x v="0"/>
    <x v="0"/>
  </r>
  <r>
    <x v="1035"/>
    <x v="1024"/>
    <x v="11"/>
    <x v="2"/>
    <x v="2"/>
    <x v="0"/>
    <x v="0"/>
    <x v="2"/>
    <x v="0"/>
    <x v="0"/>
    <x v="0"/>
    <x v="0"/>
    <x v="218"/>
    <x v="0"/>
    <x v="0"/>
  </r>
  <r>
    <x v="1036"/>
    <x v="1025"/>
    <x v="4"/>
    <x v="3"/>
    <x v="3"/>
    <x v="0"/>
    <x v="0"/>
    <x v="0"/>
    <x v="0"/>
    <x v="0"/>
    <x v="0"/>
    <x v="0"/>
    <x v="219"/>
    <x v="0"/>
    <x v="0"/>
  </r>
  <r>
    <x v="1037"/>
    <x v="1026"/>
    <x v="1"/>
    <x v="3"/>
    <x v="3"/>
    <x v="0"/>
    <x v="0"/>
    <x v="0"/>
    <x v="0"/>
    <x v="0"/>
    <x v="0"/>
    <x v="0"/>
    <x v="220"/>
    <x v="0"/>
    <x v="0"/>
  </r>
  <r>
    <x v="1038"/>
    <x v="1027"/>
    <x v="11"/>
    <x v="2"/>
    <x v="2"/>
    <x v="0"/>
    <x v="0"/>
    <x v="3"/>
    <x v="0"/>
    <x v="0"/>
    <x v="9"/>
    <x v="0"/>
    <x v="221"/>
    <x v="0"/>
    <x v="0"/>
  </r>
  <r>
    <x v="1039"/>
    <x v="1028"/>
    <x v="11"/>
    <x v="1"/>
    <x v="1"/>
    <x v="0"/>
    <x v="0"/>
    <x v="0"/>
    <x v="0"/>
    <x v="0"/>
    <x v="0"/>
    <x v="0"/>
    <x v="222"/>
    <x v="0"/>
    <x v="0"/>
  </r>
  <r>
    <x v="1040"/>
    <x v="1029"/>
    <x v="4"/>
    <x v="2"/>
    <x v="2"/>
    <x v="0"/>
    <x v="0"/>
    <x v="0"/>
    <x v="0"/>
    <x v="0"/>
    <x v="9"/>
    <x v="0"/>
    <x v="222"/>
    <x v="0"/>
    <x v="0"/>
  </r>
  <r>
    <x v="1041"/>
    <x v="1030"/>
    <x v="11"/>
    <x v="5"/>
    <x v="5"/>
    <x v="0"/>
    <x v="0"/>
    <x v="0"/>
    <x v="0"/>
    <x v="0"/>
    <x v="0"/>
    <x v="0"/>
    <x v="223"/>
    <x v="0"/>
    <x v="0"/>
  </r>
  <r>
    <x v="1042"/>
    <x v="1031"/>
    <x v="11"/>
    <x v="2"/>
    <x v="2"/>
    <x v="0"/>
    <x v="0"/>
    <x v="0"/>
    <x v="0"/>
    <x v="0"/>
    <x v="0"/>
    <x v="0"/>
    <x v="224"/>
    <x v="0"/>
    <x v="0"/>
  </r>
  <r>
    <x v="1043"/>
    <x v="1032"/>
    <x v="11"/>
    <x v="2"/>
    <x v="2"/>
    <x v="0"/>
    <x v="0"/>
    <x v="0"/>
    <x v="0"/>
    <x v="0"/>
    <x v="0"/>
    <x v="0"/>
    <x v="224"/>
    <x v="0"/>
    <x v="0"/>
  </r>
  <r>
    <x v="1044"/>
    <x v="1033"/>
    <x v="4"/>
    <x v="2"/>
    <x v="2"/>
    <x v="0"/>
    <x v="0"/>
    <x v="0"/>
    <x v="0"/>
    <x v="0"/>
    <x v="0"/>
    <x v="0"/>
    <x v="224"/>
    <x v="0"/>
    <x v="0"/>
  </r>
  <r>
    <x v="1045"/>
    <x v="1034"/>
    <x v="11"/>
    <x v="2"/>
    <x v="2"/>
    <x v="0"/>
    <x v="0"/>
    <x v="0"/>
    <x v="0"/>
    <x v="0"/>
    <x v="0"/>
    <x v="0"/>
    <x v="224"/>
    <x v="0"/>
    <x v="0"/>
  </r>
  <r>
    <x v="1046"/>
    <x v="1035"/>
    <x v="11"/>
    <x v="2"/>
    <x v="2"/>
    <x v="0"/>
    <x v="0"/>
    <x v="2"/>
    <x v="0"/>
    <x v="0"/>
    <x v="0"/>
    <x v="1"/>
    <x v="224"/>
    <x v="0"/>
    <x v="0"/>
  </r>
  <r>
    <x v="1047"/>
    <x v="1036"/>
    <x v="11"/>
    <x v="2"/>
    <x v="2"/>
    <x v="0"/>
    <x v="0"/>
    <x v="3"/>
    <x v="0"/>
    <x v="0"/>
    <x v="0"/>
    <x v="1"/>
    <x v="224"/>
    <x v="0"/>
    <x v="0"/>
  </r>
  <r>
    <x v="1048"/>
    <x v="1037"/>
    <x v="1"/>
    <x v="3"/>
    <x v="3"/>
    <x v="0"/>
    <x v="0"/>
    <x v="2"/>
    <x v="0"/>
    <x v="0"/>
    <x v="0"/>
    <x v="0"/>
    <x v="225"/>
    <x v="0"/>
    <x v="0"/>
  </r>
  <r>
    <x v="1049"/>
    <x v="1038"/>
    <x v="3"/>
    <x v="0"/>
    <x v="0"/>
    <x v="0"/>
    <x v="0"/>
    <x v="0"/>
    <x v="0"/>
    <x v="0"/>
    <x v="0"/>
    <x v="0"/>
    <x v="226"/>
    <x v="0"/>
    <x v="0"/>
  </r>
  <r>
    <x v="1050"/>
    <x v="1039"/>
    <x v="1"/>
    <x v="3"/>
    <x v="3"/>
    <x v="0"/>
    <x v="0"/>
    <x v="0"/>
    <x v="0"/>
    <x v="0"/>
    <x v="0"/>
    <x v="0"/>
    <x v="227"/>
    <x v="0"/>
    <x v="0"/>
  </r>
  <r>
    <x v="1051"/>
    <x v="1040"/>
    <x v="1"/>
    <x v="5"/>
    <x v="5"/>
    <x v="0"/>
    <x v="0"/>
    <x v="3"/>
    <x v="0"/>
    <x v="0"/>
    <x v="0"/>
    <x v="6"/>
    <x v="227"/>
    <x v="0"/>
    <x v="0"/>
  </r>
  <r>
    <x v="1052"/>
    <x v="1041"/>
    <x v="4"/>
    <x v="5"/>
    <x v="5"/>
    <x v="0"/>
    <x v="0"/>
    <x v="3"/>
    <x v="0"/>
    <x v="0"/>
    <x v="0"/>
    <x v="0"/>
    <x v="227"/>
    <x v="0"/>
    <x v="0"/>
  </r>
  <r>
    <x v="1053"/>
    <x v="1042"/>
    <x v="1"/>
    <x v="2"/>
    <x v="2"/>
    <x v="0"/>
    <x v="0"/>
    <x v="0"/>
    <x v="0"/>
    <x v="0"/>
    <x v="0"/>
    <x v="0"/>
    <x v="228"/>
    <x v="0"/>
    <x v="0"/>
  </r>
  <r>
    <x v="1054"/>
    <x v="1043"/>
    <x v="3"/>
    <x v="0"/>
    <x v="0"/>
    <x v="0"/>
    <x v="0"/>
    <x v="0"/>
    <x v="0"/>
    <x v="0"/>
    <x v="0"/>
    <x v="0"/>
    <x v="228"/>
    <x v="0"/>
    <x v="0"/>
  </r>
  <r>
    <x v="1055"/>
    <x v="1044"/>
    <x v="4"/>
    <x v="2"/>
    <x v="2"/>
    <x v="0"/>
    <x v="0"/>
    <x v="1"/>
    <x v="0"/>
    <x v="0"/>
    <x v="0"/>
    <x v="27"/>
    <x v="228"/>
    <x v="0"/>
    <x v="0"/>
  </r>
  <r>
    <x v="1056"/>
    <x v="1045"/>
    <x v="3"/>
    <x v="0"/>
    <x v="0"/>
    <x v="0"/>
    <x v="0"/>
    <x v="0"/>
    <x v="0"/>
    <x v="0"/>
    <x v="0"/>
    <x v="0"/>
    <x v="228"/>
    <x v="0"/>
    <x v="0"/>
  </r>
  <r>
    <x v="1057"/>
    <x v="1046"/>
    <x v="1"/>
    <x v="3"/>
    <x v="3"/>
    <x v="0"/>
    <x v="0"/>
    <x v="0"/>
    <x v="0"/>
    <x v="0"/>
    <x v="0"/>
    <x v="0"/>
    <x v="228"/>
    <x v="0"/>
    <x v="0"/>
  </r>
  <r>
    <x v="1058"/>
    <x v="1047"/>
    <x v="11"/>
    <x v="2"/>
    <x v="2"/>
    <x v="0"/>
    <x v="0"/>
    <x v="1"/>
    <x v="0"/>
    <x v="0"/>
    <x v="0"/>
    <x v="27"/>
    <x v="229"/>
    <x v="0"/>
    <x v="0"/>
  </r>
  <r>
    <x v="1059"/>
    <x v="1048"/>
    <x v="2"/>
    <x v="2"/>
    <x v="2"/>
    <x v="0"/>
    <x v="0"/>
    <x v="0"/>
    <x v="0"/>
    <x v="0"/>
    <x v="0"/>
    <x v="0"/>
    <x v="229"/>
    <x v="0"/>
    <x v="0"/>
  </r>
  <r>
    <x v="1060"/>
    <x v="1049"/>
    <x v="2"/>
    <x v="5"/>
    <x v="5"/>
    <x v="0"/>
    <x v="0"/>
    <x v="0"/>
    <x v="0"/>
    <x v="0"/>
    <x v="0"/>
    <x v="0"/>
    <x v="229"/>
    <x v="0"/>
    <x v="0"/>
  </r>
  <r>
    <x v="1061"/>
    <x v="1050"/>
    <x v="9"/>
    <x v="0"/>
    <x v="0"/>
    <x v="0"/>
    <x v="0"/>
    <x v="0"/>
    <x v="0"/>
    <x v="0"/>
    <x v="0"/>
    <x v="0"/>
    <x v="229"/>
    <x v="0"/>
    <x v="0"/>
  </r>
  <r>
    <x v="1062"/>
    <x v="1051"/>
    <x v="11"/>
    <x v="2"/>
    <x v="2"/>
    <x v="0"/>
    <x v="0"/>
    <x v="3"/>
    <x v="0"/>
    <x v="0"/>
    <x v="0"/>
    <x v="1"/>
    <x v="230"/>
    <x v="0"/>
    <x v="0"/>
  </r>
  <r>
    <x v="1063"/>
    <x v="1052"/>
    <x v="11"/>
    <x v="2"/>
    <x v="2"/>
    <x v="0"/>
    <x v="0"/>
    <x v="5"/>
    <x v="0"/>
    <x v="0"/>
    <x v="0"/>
    <x v="0"/>
    <x v="230"/>
    <x v="0"/>
    <x v="0"/>
  </r>
  <r>
    <x v="1064"/>
    <x v="1053"/>
    <x v="11"/>
    <x v="2"/>
    <x v="2"/>
    <x v="0"/>
    <x v="0"/>
    <x v="2"/>
    <x v="0"/>
    <x v="0"/>
    <x v="0"/>
    <x v="0"/>
    <x v="230"/>
    <x v="0"/>
    <x v="0"/>
  </r>
  <r>
    <x v="1065"/>
    <x v="1054"/>
    <x v="1"/>
    <x v="3"/>
    <x v="3"/>
    <x v="0"/>
    <x v="0"/>
    <x v="3"/>
    <x v="0"/>
    <x v="0"/>
    <x v="13"/>
    <x v="27"/>
    <x v="230"/>
    <x v="0"/>
    <x v="0"/>
  </r>
  <r>
    <x v="1066"/>
    <x v="1055"/>
    <x v="1"/>
    <x v="3"/>
    <x v="3"/>
    <x v="0"/>
    <x v="0"/>
    <x v="3"/>
    <x v="0"/>
    <x v="0"/>
    <x v="0"/>
    <x v="0"/>
    <x v="231"/>
    <x v="0"/>
    <x v="0"/>
  </r>
  <r>
    <x v="1067"/>
    <x v="1056"/>
    <x v="11"/>
    <x v="2"/>
    <x v="2"/>
    <x v="0"/>
    <x v="0"/>
    <x v="3"/>
    <x v="0"/>
    <x v="0"/>
    <x v="0"/>
    <x v="0"/>
    <x v="232"/>
    <x v="0"/>
    <x v="0"/>
  </r>
  <r>
    <x v="1068"/>
    <x v="1057"/>
    <x v="11"/>
    <x v="2"/>
    <x v="2"/>
    <x v="0"/>
    <x v="0"/>
    <x v="3"/>
    <x v="0"/>
    <x v="0"/>
    <x v="0"/>
    <x v="0"/>
    <x v="233"/>
    <x v="0"/>
    <x v="0"/>
  </r>
  <r>
    <x v="1069"/>
    <x v="1058"/>
    <x v="1"/>
    <x v="3"/>
    <x v="3"/>
    <x v="0"/>
    <x v="0"/>
    <x v="0"/>
    <x v="0"/>
    <x v="0"/>
    <x v="0"/>
    <x v="0"/>
    <x v="234"/>
    <x v="0"/>
    <x v="0"/>
  </r>
  <r>
    <x v="1070"/>
    <x v="1059"/>
    <x v="1"/>
    <x v="3"/>
    <x v="3"/>
    <x v="0"/>
    <x v="0"/>
    <x v="3"/>
    <x v="0"/>
    <x v="0"/>
    <x v="0"/>
    <x v="0"/>
    <x v="234"/>
    <x v="0"/>
    <x v="0"/>
  </r>
  <r>
    <x v="1071"/>
    <x v="1060"/>
    <x v="11"/>
    <x v="2"/>
    <x v="2"/>
    <x v="0"/>
    <x v="0"/>
    <x v="2"/>
    <x v="0"/>
    <x v="0"/>
    <x v="0"/>
    <x v="0"/>
    <x v="234"/>
    <x v="0"/>
    <x v="0"/>
  </r>
  <r>
    <x v="1072"/>
    <x v="1061"/>
    <x v="11"/>
    <x v="2"/>
    <x v="2"/>
    <x v="0"/>
    <x v="0"/>
    <x v="3"/>
    <x v="0"/>
    <x v="0"/>
    <x v="0"/>
    <x v="1"/>
    <x v="235"/>
    <x v="0"/>
    <x v="0"/>
  </r>
  <r>
    <x v="1073"/>
    <x v="1062"/>
    <x v="4"/>
    <x v="2"/>
    <x v="2"/>
    <x v="0"/>
    <x v="0"/>
    <x v="2"/>
    <x v="0"/>
    <x v="0"/>
    <x v="9"/>
    <x v="12"/>
    <x v="235"/>
    <x v="0"/>
    <x v="0"/>
  </r>
  <r>
    <x v="1074"/>
    <x v="1063"/>
    <x v="11"/>
    <x v="2"/>
    <x v="2"/>
    <x v="0"/>
    <x v="0"/>
    <x v="3"/>
    <x v="0"/>
    <x v="0"/>
    <x v="0"/>
    <x v="0"/>
    <x v="236"/>
    <x v="0"/>
    <x v="0"/>
  </r>
  <r>
    <x v="1075"/>
    <x v="1064"/>
    <x v="1"/>
    <x v="3"/>
    <x v="3"/>
    <x v="0"/>
    <x v="0"/>
    <x v="3"/>
    <x v="0"/>
    <x v="0"/>
    <x v="0"/>
    <x v="26"/>
    <x v="236"/>
    <x v="0"/>
    <x v="0"/>
  </r>
  <r>
    <x v="1076"/>
    <x v="1065"/>
    <x v="1"/>
    <x v="3"/>
    <x v="3"/>
    <x v="0"/>
    <x v="0"/>
    <x v="3"/>
    <x v="0"/>
    <x v="0"/>
    <x v="0"/>
    <x v="0"/>
    <x v="236"/>
    <x v="0"/>
    <x v="0"/>
  </r>
  <r>
    <x v="1077"/>
    <x v="1066"/>
    <x v="1"/>
    <x v="3"/>
    <x v="3"/>
    <x v="0"/>
    <x v="0"/>
    <x v="5"/>
    <x v="0"/>
    <x v="0"/>
    <x v="0"/>
    <x v="6"/>
    <x v="236"/>
    <x v="0"/>
    <x v="0"/>
  </r>
  <r>
    <x v="1078"/>
    <x v="1067"/>
    <x v="1"/>
    <x v="3"/>
    <x v="3"/>
    <x v="0"/>
    <x v="0"/>
    <x v="3"/>
    <x v="0"/>
    <x v="0"/>
    <x v="0"/>
    <x v="0"/>
    <x v="237"/>
    <x v="0"/>
    <x v="0"/>
  </r>
  <r>
    <x v="1079"/>
    <x v="1068"/>
    <x v="1"/>
    <x v="3"/>
    <x v="3"/>
    <x v="0"/>
    <x v="0"/>
    <x v="0"/>
    <x v="0"/>
    <x v="0"/>
    <x v="0"/>
    <x v="0"/>
    <x v="237"/>
    <x v="0"/>
    <x v="0"/>
  </r>
  <r>
    <x v="1080"/>
    <x v="1069"/>
    <x v="1"/>
    <x v="3"/>
    <x v="3"/>
    <x v="0"/>
    <x v="0"/>
    <x v="0"/>
    <x v="0"/>
    <x v="0"/>
    <x v="0"/>
    <x v="0"/>
    <x v="237"/>
    <x v="0"/>
    <x v="0"/>
  </r>
  <r>
    <x v="1081"/>
    <x v="1070"/>
    <x v="1"/>
    <x v="3"/>
    <x v="3"/>
    <x v="0"/>
    <x v="0"/>
    <x v="0"/>
    <x v="0"/>
    <x v="0"/>
    <x v="0"/>
    <x v="0"/>
    <x v="237"/>
    <x v="0"/>
    <x v="0"/>
  </r>
  <r>
    <x v="1082"/>
    <x v="1071"/>
    <x v="1"/>
    <x v="3"/>
    <x v="3"/>
    <x v="0"/>
    <x v="0"/>
    <x v="0"/>
    <x v="0"/>
    <x v="0"/>
    <x v="0"/>
    <x v="0"/>
    <x v="237"/>
    <x v="0"/>
    <x v="0"/>
  </r>
  <r>
    <x v="1083"/>
    <x v="1072"/>
    <x v="1"/>
    <x v="3"/>
    <x v="3"/>
    <x v="0"/>
    <x v="0"/>
    <x v="0"/>
    <x v="0"/>
    <x v="0"/>
    <x v="0"/>
    <x v="0"/>
    <x v="237"/>
    <x v="0"/>
    <x v="0"/>
  </r>
  <r>
    <x v="1084"/>
    <x v="1073"/>
    <x v="1"/>
    <x v="3"/>
    <x v="3"/>
    <x v="0"/>
    <x v="0"/>
    <x v="0"/>
    <x v="0"/>
    <x v="0"/>
    <x v="0"/>
    <x v="0"/>
    <x v="237"/>
    <x v="0"/>
    <x v="0"/>
  </r>
  <r>
    <x v="1085"/>
    <x v="1074"/>
    <x v="1"/>
    <x v="3"/>
    <x v="3"/>
    <x v="0"/>
    <x v="0"/>
    <x v="0"/>
    <x v="0"/>
    <x v="0"/>
    <x v="0"/>
    <x v="0"/>
    <x v="237"/>
    <x v="0"/>
    <x v="0"/>
  </r>
  <r>
    <x v="1086"/>
    <x v="1075"/>
    <x v="1"/>
    <x v="3"/>
    <x v="3"/>
    <x v="0"/>
    <x v="0"/>
    <x v="0"/>
    <x v="0"/>
    <x v="0"/>
    <x v="0"/>
    <x v="0"/>
    <x v="237"/>
    <x v="0"/>
    <x v="0"/>
  </r>
  <r>
    <x v="1087"/>
    <x v="1076"/>
    <x v="1"/>
    <x v="2"/>
    <x v="2"/>
    <x v="0"/>
    <x v="0"/>
    <x v="0"/>
    <x v="0"/>
    <x v="0"/>
    <x v="0"/>
    <x v="0"/>
    <x v="237"/>
    <x v="0"/>
    <x v="0"/>
  </r>
  <r>
    <x v="1088"/>
    <x v="1077"/>
    <x v="4"/>
    <x v="2"/>
    <x v="2"/>
    <x v="0"/>
    <x v="0"/>
    <x v="0"/>
    <x v="0"/>
    <x v="0"/>
    <x v="0"/>
    <x v="0"/>
    <x v="238"/>
    <x v="34"/>
    <x v="0"/>
  </r>
  <r>
    <x v="1089"/>
    <x v="1078"/>
    <x v="4"/>
    <x v="2"/>
    <x v="2"/>
    <x v="0"/>
    <x v="0"/>
    <x v="3"/>
    <x v="0"/>
    <x v="0"/>
    <x v="9"/>
    <x v="12"/>
    <x v="239"/>
    <x v="0"/>
    <x v="0"/>
  </r>
  <r>
    <x v="1090"/>
    <x v="1079"/>
    <x v="3"/>
    <x v="0"/>
    <x v="0"/>
    <x v="0"/>
    <x v="0"/>
    <x v="0"/>
    <x v="0"/>
    <x v="0"/>
    <x v="0"/>
    <x v="0"/>
    <x v="240"/>
    <x v="0"/>
    <x v="0"/>
  </r>
  <r>
    <x v="1091"/>
    <x v="1080"/>
    <x v="1"/>
    <x v="2"/>
    <x v="2"/>
    <x v="0"/>
    <x v="0"/>
    <x v="0"/>
    <x v="0"/>
    <x v="0"/>
    <x v="0"/>
    <x v="0"/>
    <x v="240"/>
    <x v="0"/>
    <x v="0"/>
  </r>
  <r>
    <x v="1092"/>
    <x v="1081"/>
    <x v="11"/>
    <x v="2"/>
    <x v="2"/>
    <x v="0"/>
    <x v="0"/>
    <x v="2"/>
    <x v="0"/>
    <x v="0"/>
    <x v="0"/>
    <x v="1"/>
    <x v="240"/>
    <x v="24"/>
    <x v="0"/>
  </r>
  <r>
    <x v="1093"/>
    <x v="1082"/>
    <x v="11"/>
    <x v="2"/>
    <x v="2"/>
    <x v="0"/>
    <x v="0"/>
    <x v="0"/>
    <x v="0"/>
    <x v="0"/>
    <x v="0"/>
    <x v="0"/>
    <x v="241"/>
    <x v="0"/>
    <x v="0"/>
  </r>
  <r>
    <x v="1094"/>
    <x v="1083"/>
    <x v="1"/>
    <x v="2"/>
    <x v="2"/>
    <x v="0"/>
    <x v="0"/>
    <x v="0"/>
    <x v="0"/>
    <x v="0"/>
    <x v="0"/>
    <x v="0"/>
    <x v="241"/>
    <x v="0"/>
    <x v="0"/>
  </r>
  <r>
    <x v="1095"/>
    <x v="1084"/>
    <x v="4"/>
    <x v="0"/>
    <x v="0"/>
    <x v="0"/>
    <x v="0"/>
    <x v="0"/>
    <x v="0"/>
    <x v="0"/>
    <x v="0"/>
    <x v="0"/>
    <x v="241"/>
    <x v="0"/>
    <x v="0"/>
  </r>
  <r>
    <x v="1096"/>
    <x v="1085"/>
    <x v="11"/>
    <x v="2"/>
    <x v="2"/>
    <x v="0"/>
    <x v="0"/>
    <x v="3"/>
    <x v="0"/>
    <x v="0"/>
    <x v="8"/>
    <x v="0"/>
    <x v="241"/>
    <x v="0"/>
    <x v="0"/>
  </r>
  <r>
    <x v="1097"/>
    <x v="1086"/>
    <x v="4"/>
    <x v="3"/>
    <x v="3"/>
    <x v="0"/>
    <x v="0"/>
    <x v="0"/>
    <x v="0"/>
    <x v="0"/>
    <x v="19"/>
    <x v="0"/>
    <x v="242"/>
    <x v="0"/>
    <x v="0"/>
  </r>
  <r>
    <x v="1098"/>
    <x v="1087"/>
    <x v="11"/>
    <x v="2"/>
    <x v="2"/>
    <x v="0"/>
    <x v="0"/>
    <x v="2"/>
    <x v="0"/>
    <x v="0"/>
    <x v="0"/>
    <x v="1"/>
    <x v="242"/>
    <x v="0"/>
    <x v="0"/>
  </r>
  <r>
    <x v="1099"/>
    <x v="1088"/>
    <x v="11"/>
    <x v="2"/>
    <x v="2"/>
    <x v="0"/>
    <x v="0"/>
    <x v="3"/>
    <x v="0"/>
    <x v="0"/>
    <x v="0"/>
    <x v="0"/>
    <x v="243"/>
    <x v="0"/>
    <x v="0"/>
  </r>
  <r>
    <x v="1100"/>
    <x v="1089"/>
    <x v="11"/>
    <x v="5"/>
    <x v="5"/>
    <x v="0"/>
    <x v="0"/>
    <x v="0"/>
    <x v="0"/>
    <x v="0"/>
    <x v="0"/>
    <x v="0"/>
    <x v="243"/>
    <x v="0"/>
    <x v="0"/>
  </r>
  <r>
    <x v="1101"/>
    <x v="1090"/>
    <x v="4"/>
    <x v="5"/>
    <x v="5"/>
    <x v="0"/>
    <x v="0"/>
    <x v="3"/>
    <x v="0"/>
    <x v="0"/>
    <x v="8"/>
    <x v="28"/>
    <x v="244"/>
    <x v="35"/>
    <x v="0"/>
  </r>
  <r>
    <x v="1102"/>
    <x v="1091"/>
    <x v="1"/>
    <x v="3"/>
    <x v="3"/>
    <x v="0"/>
    <x v="0"/>
    <x v="0"/>
    <x v="0"/>
    <x v="0"/>
    <x v="0"/>
    <x v="0"/>
    <x v="245"/>
    <x v="0"/>
    <x v="0"/>
  </r>
  <r>
    <x v="1103"/>
    <x v="1092"/>
    <x v="11"/>
    <x v="2"/>
    <x v="2"/>
    <x v="0"/>
    <x v="0"/>
    <x v="3"/>
    <x v="0"/>
    <x v="0"/>
    <x v="0"/>
    <x v="0"/>
    <x v="245"/>
    <x v="0"/>
    <x v="0"/>
  </r>
  <r>
    <x v="1104"/>
    <x v="1093"/>
    <x v="1"/>
    <x v="3"/>
    <x v="3"/>
    <x v="0"/>
    <x v="0"/>
    <x v="0"/>
    <x v="0"/>
    <x v="0"/>
    <x v="0"/>
    <x v="0"/>
    <x v="246"/>
    <x v="0"/>
    <x v="0"/>
  </r>
  <r>
    <x v="1105"/>
    <x v="1094"/>
    <x v="3"/>
    <x v="0"/>
    <x v="0"/>
    <x v="0"/>
    <x v="0"/>
    <x v="0"/>
    <x v="0"/>
    <x v="0"/>
    <x v="0"/>
    <x v="0"/>
    <x v="246"/>
    <x v="0"/>
    <x v="0"/>
  </r>
  <r>
    <x v="1106"/>
    <x v="1095"/>
    <x v="11"/>
    <x v="2"/>
    <x v="2"/>
    <x v="0"/>
    <x v="0"/>
    <x v="3"/>
    <x v="0"/>
    <x v="0"/>
    <x v="0"/>
    <x v="1"/>
    <x v="246"/>
    <x v="0"/>
    <x v="0"/>
  </r>
  <r>
    <x v="1107"/>
    <x v="1096"/>
    <x v="4"/>
    <x v="3"/>
    <x v="3"/>
    <x v="0"/>
    <x v="0"/>
    <x v="0"/>
    <x v="0"/>
    <x v="0"/>
    <x v="0"/>
    <x v="28"/>
    <x v="246"/>
    <x v="0"/>
    <x v="0"/>
  </r>
  <r>
    <x v="1108"/>
    <x v="1097"/>
    <x v="11"/>
    <x v="1"/>
    <x v="1"/>
    <x v="0"/>
    <x v="0"/>
    <x v="0"/>
    <x v="0"/>
    <x v="0"/>
    <x v="11"/>
    <x v="0"/>
    <x v="247"/>
    <x v="0"/>
    <x v="0"/>
  </r>
  <r>
    <x v="1109"/>
    <x v="1098"/>
    <x v="11"/>
    <x v="1"/>
    <x v="1"/>
    <x v="0"/>
    <x v="0"/>
    <x v="0"/>
    <x v="0"/>
    <x v="0"/>
    <x v="11"/>
    <x v="0"/>
    <x v="247"/>
    <x v="0"/>
    <x v="0"/>
  </r>
  <r>
    <x v="1110"/>
    <x v="1099"/>
    <x v="11"/>
    <x v="1"/>
    <x v="1"/>
    <x v="0"/>
    <x v="0"/>
    <x v="0"/>
    <x v="0"/>
    <x v="0"/>
    <x v="11"/>
    <x v="0"/>
    <x v="247"/>
    <x v="0"/>
    <x v="0"/>
  </r>
  <r>
    <x v="1111"/>
    <x v="1100"/>
    <x v="11"/>
    <x v="1"/>
    <x v="1"/>
    <x v="0"/>
    <x v="0"/>
    <x v="0"/>
    <x v="0"/>
    <x v="0"/>
    <x v="11"/>
    <x v="0"/>
    <x v="247"/>
    <x v="0"/>
    <x v="0"/>
  </r>
  <r>
    <x v="1112"/>
    <x v="1101"/>
    <x v="11"/>
    <x v="1"/>
    <x v="1"/>
    <x v="0"/>
    <x v="0"/>
    <x v="0"/>
    <x v="0"/>
    <x v="0"/>
    <x v="11"/>
    <x v="0"/>
    <x v="247"/>
    <x v="0"/>
    <x v="0"/>
  </r>
  <r>
    <x v="1113"/>
    <x v="1102"/>
    <x v="1"/>
    <x v="3"/>
    <x v="3"/>
    <x v="0"/>
    <x v="0"/>
    <x v="0"/>
    <x v="0"/>
    <x v="0"/>
    <x v="0"/>
    <x v="0"/>
    <x v="248"/>
    <x v="0"/>
    <x v="0"/>
  </r>
  <r>
    <x v="1114"/>
    <x v="1103"/>
    <x v="1"/>
    <x v="3"/>
    <x v="3"/>
    <x v="0"/>
    <x v="0"/>
    <x v="3"/>
    <x v="0"/>
    <x v="0"/>
    <x v="0"/>
    <x v="0"/>
    <x v="248"/>
    <x v="0"/>
    <x v="0"/>
  </r>
  <r>
    <x v="1115"/>
    <x v="1104"/>
    <x v="1"/>
    <x v="3"/>
    <x v="3"/>
    <x v="0"/>
    <x v="0"/>
    <x v="0"/>
    <x v="0"/>
    <x v="0"/>
    <x v="0"/>
    <x v="0"/>
    <x v="248"/>
    <x v="0"/>
    <x v="0"/>
  </r>
  <r>
    <x v="1116"/>
    <x v="1105"/>
    <x v="1"/>
    <x v="3"/>
    <x v="3"/>
    <x v="0"/>
    <x v="0"/>
    <x v="0"/>
    <x v="0"/>
    <x v="0"/>
    <x v="0"/>
    <x v="0"/>
    <x v="248"/>
    <x v="0"/>
    <x v="0"/>
  </r>
  <r>
    <x v="1117"/>
    <x v="1106"/>
    <x v="1"/>
    <x v="3"/>
    <x v="3"/>
    <x v="0"/>
    <x v="0"/>
    <x v="3"/>
    <x v="0"/>
    <x v="0"/>
    <x v="0"/>
    <x v="0"/>
    <x v="248"/>
    <x v="0"/>
    <x v="0"/>
  </r>
  <r>
    <x v="1118"/>
    <x v="1107"/>
    <x v="1"/>
    <x v="3"/>
    <x v="3"/>
    <x v="0"/>
    <x v="0"/>
    <x v="0"/>
    <x v="0"/>
    <x v="0"/>
    <x v="0"/>
    <x v="0"/>
    <x v="248"/>
    <x v="0"/>
    <x v="0"/>
  </r>
  <r>
    <x v="1119"/>
    <x v="1108"/>
    <x v="1"/>
    <x v="3"/>
    <x v="3"/>
    <x v="0"/>
    <x v="0"/>
    <x v="0"/>
    <x v="0"/>
    <x v="0"/>
    <x v="0"/>
    <x v="0"/>
    <x v="249"/>
    <x v="0"/>
    <x v="0"/>
  </r>
  <r>
    <x v="1120"/>
    <x v="1109"/>
    <x v="12"/>
    <x v="0"/>
    <x v="0"/>
    <x v="0"/>
    <x v="0"/>
    <x v="0"/>
    <x v="0"/>
    <x v="0"/>
    <x v="0"/>
    <x v="0"/>
    <x v="250"/>
    <x v="0"/>
    <x v="0"/>
  </r>
  <r>
    <x v="1121"/>
    <x v="1110"/>
    <x v="11"/>
    <x v="2"/>
    <x v="2"/>
    <x v="0"/>
    <x v="0"/>
    <x v="0"/>
    <x v="0"/>
    <x v="0"/>
    <x v="0"/>
    <x v="0"/>
    <x v="250"/>
    <x v="0"/>
    <x v="0"/>
  </r>
  <r>
    <x v="1122"/>
    <x v="1111"/>
    <x v="1"/>
    <x v="3"/>
    <x v="3"/>
    <x v="0"/>
    <x v="0"/>
    <x v="3"/>
    <x v="0"/>
    <x v="0"/>
    <x v="0"/>
    <x v="0"/>
    <x v="250"/>
    <x v="0"/>
    <x v="0"/>
  </r>
  <r>
    <x v="1123"/>
    <x v="1112"/>
    <x v="1"/>
    <x v="3"/>
    <x v="3"/>
    <x v="0"/>
    <x v="0"/>
    <x v="0"/>
    <x v="0"/>
    <x v="0"/>
    <x v="0"/>
    <x v="0"/>
    <x v="250"/>
    <x v="0"/>
    <x v="0"/>
  </r>
  <r>
    <x v="1124"/>
    <x v="1113"/>
    <x v="11"/>
    <x v="2"/>
    <x v="2"/>
    <x v="0"/>
    <x v="0"/>
    <x v="0"/>
    <x v="0"/>
    <x v="0"/>
    <x v="0"/>
    <x v="0"/>
    <x v="250"/>
    <x v="0"/>
    <x v="0"/>
  </r>
  <r>
    <x v="1125"/>
    <x v="1114"/>
    <x v="11"/>
    <x v="2"/>
    <x v="2"/>
    <x v="0"/>
    <x v="0"/>
    <x v="2"/>
    <x v="0"/>
    <x v="0"/>
    <x v="0"/>
    <x v="0"/>
    <x v="250"/>
    <x v="0"/>
    <x v="0"/>
  </r>
  <r>
    <x v="1126"/>
    <x v="1115"/>
    <x v="1"/>
    <x v="3"/>
    <x v="3"/>
    <x v="0"/>
    <x v="0"/>
    <x v="0"/>
    <x v="0"/>
    <x v="0"/>
    <x v="0"/>
    <x v="0"/>
    <x v="251"/>
    <x v="0"/>
    <x v="0"/>
  </r>
  <r>
    <x v="1127"/>
    <x v="1116"/>
    <x v="11"/>
    <x v="1"/>
    <x v="1"/>
    <x v="0"/>
    <x v="0"/>
    <x v="3"/>
    <x v="0"/>
    <x v="0"/>
    <x v="11"/>
    <x v="0"/>
    <x v="251"/>
    <x v="0"/>
    <x v="0"/>
  </r>
  <r>
    <x v="1128"/>
    <x v="1117"/>
    <x v="1"/>
    <x v="3"/>
    <x v="3"/>
    <x v="0"/>
    <x v="0"/>
    <x v="0"/>
    <x v="0"/>
    <x v="0"/>
    <x v="0"/>
    <x v="0"/>
    <x v="251"/>
    <x v="0"/>
    <x v="0"/>
  </r>
  <r>
    <x v="1129"/>
    <x v="1118"/>
    <x v="2"/>
    <x v="3"/>
    <x v="3"/>
    <x v="0"/>
    <x v="0"/>
    <x v="0"/>
    <x v="0"/>
    <x v="0"/>
    <x v="0"/>
    <x v="0"/>
    <x v="251"/>
    <x v="0"/>
    <x v="0"/>
  </r>
  <r>
    <x v="1130"/>
    <x v="1119"/>
    <x v="3"/>
    <x v="0"/>
    <x v="0"/>
    <x v="0"/>
    <x v="0"/>
    <x v="0"/>
    <x v="0"/>
    <x v="0"/>
    <x v="0"/>
    <x v="0"/>
    <x v="251"/>
    <x v="0"/>
    <x v="0"/>
  </r>
  <r>
    <x v="1131"/>
    <x v="1120"/>
    <x v="3"/>
    <x v="0"/>
    <x v="0"/>
    <x v="0"/>
    <x v="0"/>
    <x v="0"/>
    <x v="0"/>
    <x v="0"/>
    <x v="0"/>
    <x v="0"/>
    <x v="251"/>
    <x v="0"/>
    <x v="0"/>
  </r>
  <r>
    <x v="1132"/>
    <x v="1121"/>
    <x v="11"/>
    <x v="2"/>
    <x v="2"/>
    <x v="0"/>
    <x v="0"/>
    <x v="3"/>
    <x v="0"/>
    <x v="0"/>
    <x v="0"/>
    <x v="0"/>
    <x v="252"/>
    <x v="0"/>
    <x v="0"/>
  </r>
  <r>
    <x v="1133"/>
    <x v="1122"/>
    <x v="11"/>
    <x v="2"/>
    <x v="2"/>
    <x v="0"/>
    <x v="0"/>
    <x v="0"/>
    <x v="0"/>
    <x v="0"/>
    <x v="0"/>
    <x v="0"/>
    <x v="252"/>
    <x v="0"/>
    <x v="0"/>
  </r>
  <r>
    <x v="1134"/>
    <x v="1123"/>
    <x v="11"/>
    <x v="2"/>
    <x v="2"/>
    <x v="0"/>
    <x v="0"/>
    <x v="0"/>
    <x v="0"/>
    <x v="0"/>
    <x v="0"/>
    <x v="0"/>
    <x v="252"/>
    <x v="0"/>
    <x v="0"/>
  </r>
  <r>
    <x v="1135"/>
    <x v="1124"/>
    <x v="11"/>
    <x v="2"/>
    <x v="2"/>
    <x v="0"/>
    <x v="0"/>
    <x v="0"/>
    <x v="0"/>
    <x v="0"/>
    <x v="0"/>
    <x v="0"/>
    <x v="252"/>
    <x v="0"/>
    <x v="0"/>
  </r>
  <r>
    <x v="1136"/>
    <x v="1125"/>
    <x v="11"/>
    <x v="2"/>
    <x v="2"/>
    <x v="0"/>
    <x v="0"/>
    <x v="0"/>
    <x v="0"/>
    <x v="0"/>
    <x v="0"/>
    <x v="0"/>
    <x v="252"/>
    <x v="0"/>
    <x v="0"/>
  </r>
  <r>
    <x v="1137"/>
    <x v="1126"/>
    <x v="11"/>
    <x v="2"/>
    <x v="2"/>
    <x v="0"/>
    <x v="0"/>
    <x v="0"/>
    <x v="0"/>
    <x v="0"/>
    <x v="0"/>
    <x v="0"/>
    <x v="252"/>
    <x v="0"/>
    <x v="0"/>
  </r>
  <r>
    <x v="1138"/>
    <x v="1127"/>
    <x v="1"/>
    <x v="2"/>
    <x v="2"/>
    <x v="0"/>
    <x v="0"/>
    <x v="0"/>
    <x v="0"/>
    <x v="0"/>
    <x v="0"/>
    <x v="0"/>
    <x v="252"/>
    <x v="0"/>
    <x v="0"/>
  </r>
  <r>
    <x v="1139"/>
    <x v="1128"/>
    <x v="11"/>
    <x v="2"/>
    <x v="2"/>
    <x v="0"/>
    <x v="0"/>
    <x v="2"/>
    <x v="0"/>
    <x v="0"/>
    <x v="0"/>
    <x v="0"/>
    <x v="252"/>
    <x v="0"/>
    <x v="0"/>
  </r>
  <r>
    <x v="1140"/>
    <x v="1129"/>
    <x v="11"/>
    <x v="2"/>
    <x v="2"/>
    <x v="0"/>
    <x v="0"/>
    <x v="3"/>
    <x v="0"/>
    <x v="0"/>
    <x v="0"/>
    <x v="0"/>
    <x v="252"/>
    <x v="0"/>
    <x v="0"/>
  </r>
  <r>
    <x v="1141"/>
    <x v="1130"/>
    <x v="11"/>
    <x v="2"/>
    <x v="2"/>
    <x v="0"/>
    <x v="0"/>
    <x v="2"/>
    <x v="0"/>
    <x v="0"/>
    <x v="0"/>
    <x v="0"/>
    <x v="252"/>
    <x v="0"/>
    <x v="0"/>
  </r>
  <r>
    <x v="1142"/>
    <x v="1131"/>
    <x v="1"/>
    <x v="2"/>
    <x v="2"/>
    <x v="0"/>
    <x v="0"/>
    <x v="0"/>
    <x v="0"/>
    <x v="0"/>
    <x v="0"/>
    <x v="0"/>
    <x v="252"/>
    <x v="0"/>
    <x v="0"/>
  </r>
  <r>
    <x v="1143"/>
    <x v="1132"/>
    <x v="11"/>
    <x v="2"/>
    <x v="2"/>
    <x v="0"/>
    <x v="0"/>
    <x v="0"/>
    <x v="0"/>
    <x v="0"/>
    <x v="0"/>
    <x v="0"/>
    <x v="252"/>
    <x v="0"/>
    <x v="0"/>
  </r>
  <r>
    <x v="1144"/>
    <x v="1133"/>
    <x v="11"/>
    <x v="2"/>
    <x v="2"/>
    <x v="0"/>
    <x v="0"/>
    <x v="0"/>
    <x v="0"/>
    <x v="0"/>
    <x v="0"/>
    <x v="0"/>
    <x v="252"/>
    <x v="0"/>
    <x v="0"/>
  </r>
  <r>
    <x v="1145"/>
    <x v="1134"/>
    <x v="11"/>
    <x v="2"/>
    <x v="2"/>
    <x v="0"/>
    <x v="0"/>
    <x v="0"/>
    <x v="0"/>
    <x v="0"/>
    <x v="0"/>
    <x v="0"/>
    <x v="252"/>
    <x v="0"/>
    <x v="0"/>
  </r>
  <r>
    <x v="1146"/>
    <x v="1135"/>
    <x v="1"/>
    <x v="2"/>
    <x v="2"/>
    <x v="0"/>
    <x v="0"/>
    <x v="0"/>
    <x v="0"/>
    <x v="0"/>
    <x v="0"/>
    <x v="0"/>
    <x v="252"/>
    <x v="0"/>
    <x v="0"/>
  </r>
  <r>
    <x v="1147"/>
    <x v="1136"/>
    <x v="3"/>
    <x v="0"/>
    <x v="0"/>
    <x v="0"/>
    <x v="0"/>
    <x v="0"/>
    <x v="0"/>
    <x v="0"/>
    <x v="0"/>
    <x v="0"/>
    <x v="252"/>
    <x v="0"/>
    <x v="0"/>
  </r>
  <r>
    <x v="1148"/>
    <x v="1137"/>
    <x v="4"/>
    <x v="2"/>
    <x v="2"/>
    <x v="0"/>
    <x v="0"/>
    <x v="0"/>
    <x v="0"/>
    <x v="0"/>
    <x v="0"/>
    <x v="0"/>
    <x v="252"/>
    <x v="0"/>
    <x v="0"/>
  </r>
  <r>
    <x v="1149"/>
    <x v="1138"/>
    <x v="4"/>
    <x v="2"/>
    <x v="2"/>
    <x v="0"/>
    <x v="0"/>
    <x v="0"/>
    <x v="0"/>
    <x v="0"/>
    <x v="0"/>
    <x v="0"/>
    <x v="252"/>
    <x v="0"/>
    <x v="0"/>
  </r>
  <r>
    <x v="1150"/>
    <x v="1139"/>
    <x v="4"/>
    <x v="2"/>
    <x v="2"/>
    <x v="0"/>
    <x v="0"/>
    <x v="0"/>
    <x v="0"/>
    <x v="0"/>
    <x v="0"/>
    <x v="0"/>
    <x v="253"/>
    <x v="0"/>
    <x v="0"/>
  </r>
  <r>
    <x v="1151"/>
    <x v="1140"/>
    <x v="1"/>
    <x v="3"/>
    <x v="3"/>
    <x v="0"/>
    <x v="0"/>
    <x v="0"/>
    <x v="0"/>
    <x v="0"/>
    <x v="0"/>
    <x v="0"/>
    <x v="254"/>
    <x v="0"/>
    <x v="0"/>
  </r>
  <r>
    <x v="1152"/>
    <x v="1141"/>
    <x v="2"/>
    <x v="3"/>
    <x v="3"/>
    <x v="0"/>
    <x v="0"/>
    <x v="0"/>
    <x v="0"/>
    <x v="0"/>
    <x v="0"/>
    <x v="0"/>
    <x v="254"/>
    <x v="0"/>
    <x v="0"/>
  </r>
  <r>
    <x v="1153"/>
    <x v="1142"/>
    <x v="4"/>
    <x v="3"/>
    <x v="3"/>
    <x v="0"/>
    <x v="0"/>
    <x v="0"/>
    <x v="0"/>
    <x v="0"/>
    <x v="0"/>
    <x v="14"/>
    <x v="255"/>
    <x v="0"/>
    <x v="0"/>
  </r>
  <r>
    <x v="1154"/>
    <x v="1143"/>
    <x v="11"/>
    <x v="2"/>
    <x v="2"/>
    <x v="0"/>
    <x v="0"/>
    <x v="0"/>
    <x v="0"/>
    <x v="0"/>
    <x v="0"/>
    <x v="0"/>
    <x v="255"/>
    <x v="0"/>
    <x v="0"/>
  </r>
  <r>
    <x v="1155"/>
    <x v="1144"/>
    <x v="1"/>
    <x v="3"/>
    <x v="3"/>
    <x v="0"/>
    <x v="0"/>
    <x v="0"/>
    <x v="0"/>
    <x v="0"/>
    <x v="0"/>
    <x v="0"/>
    <x v="256"/>
    <x v="0"/>
    <x v="0"/>
  </r>
  <r>
    <x v="1156"/>
    <x v="1145"/>
    <x v="11"/>
    <x v="1"/>
    <x v="1"/>
    <x v="0"/>
    <x v="0"/>
    <x v="7"/>
    <x v="0"/>
    <x v="0"/>
    <x v="0"/>
    <x v="0"/>
    <x v="257"/>
    <x v="36"/>
    <x v="0"/>
  </r>
  <r>
    <x v="1157"/>
    <x v="1146"/>
    <x v="4"/>
    <x v="2"/>
    <x v="2"/>
    <x v="0"/>
    <x v="0"/>
    <x v="2"/>
    <x v="0"/>
    <x v="0"/>
    <x v="0"/>
    <x v="0"/>
    <x v="257"/>
    <x v="0"/>
    <x v="0"/>
  </r>
  <r>
    <x v="1158"/>
    <x v="1147"/>
    <x v="4"/>
    <x v="2"/>
    <x v="2"/>
    <x v="0"/>
    <x v="0"/>
    <x v="2"/>
    <x v="0"/>
    <x v="0"/>
    <x v="0"/>
    <x v="0"/>
    <x v="257"/>
    <x v="0"/>
    <x v="0"/>
  </r>
  <r>
    <x v="1159"/>
    <x v="1148"/>
    <x v="1"/>
    <x v="3"/>
    <x v="3"/>
    <x v="0"/>
    <x v="0"/>
    <x v="0"/>
    <x v="0"/>
    <x v="0"/>
    <x v="0"/>
    <x v="0"/>
    <x v="257"/>
    <x v="0"/>
    <x v="0"/>
  </r>
  <r>
    <x v="1160"/>
    <x v="1149"/>
    <x v="1"/>
    <x v="2"/>
    <x v="2"/>
    <x v="0"/>
    <x v="0"/>
    <x v="0"/>
    <x v="0"/>
    <x v="0"/>
    <x v="0"/>
    <x v="0"/>
    <x v="258"/>
    <x v="0"/>
    <x v="0"/>
  </r>
  <r>
    <x v="1161"/>
    <x v="1150"/>
    <x v="1"/>
    <x v="2"/>
    <x v="2"/>
    <x v="0"/>
    <x v="0"/>
    <x v="0"/>
    <x v="0"/>
    <x v="0"/>
    <x v="0"/>
    <x v="0"/>
    <x v="258"/>
    <x v="0"/>
    <x v="0"/>
  </r>
  <r>
    <x v="1162"/>
    <x v="1151"/>
    <x v="9"/>
    <x v="0"/>
    <x v="0"/>
    <x v="0"/>
    <x v="0"/>
    <x v="0"/>
    <x v="0"/>
    <x v="0"/>
    <x v="0"/>
    <x v="0"/>
    <x v="258"/>
    <x v="0"/>
    <x v="0"/>
  </r>
  <r>
    <x v="1163"/>
    <x v="1152"/>
    <x v="4"/>
    <x v="2"/>
    <x v="2"/>
    <x v="0"/>
    <x v="0"/>
    <x v="0"/>
    <x v="0"/>
    <x v="0"/>
    <x v="0"/>
    <x v="0"/>
    <x v="259"/>
    <x v="0"/>
    <x v="0"/>
  </r>
  <r>
    <x v="1164"/>
    <x v="1153"/>
    <x v="11"/>
    <x v="2"/>
    <x v="2"/>
    <x v="0"/>
    <x v="0"/>
    <x v="2"/>
    <x v="0"/>
    <x v="0"/>
    <x v="0"/>
    <x v="0"/>
    <x v="260"/>
    <x v="0"/>
    <x v="0"/>
  </r>
  <r>
    <x v="1165"/>
    <x v="1154"/>
    <x v="11"/>
    <x v="5"/>
    <x v="5"/>
    <x v="0"/>
    <x v="0"/>
    <x v="7"/>
    <x v="0"/>
    <x v="0"/>
    <x v="0"/>
    <x v="0"/>
    <x v="260"/>
    <x v="0"/>
    <x v="0"/>
  </r>
  <r>
    <x v="1166"/>
    <x v="1155"/>
    <x v="11"/>
    <x v="5"/>
    <x v="5"/>
    <x v="0"/>
    <x v="0"/>
    <x v="3"/>
    <x v="0"/>
    <x v="0"/>
    <x v="0"/>
    <x v="0"/>
    <x v="260"/>
    <x v="0"/>
    <x v="0"/>
  </r>
  <r>
    <x v="1167"/>
    <x v="1156"/>
    <x v="11"/>
    <x v="5"/>
    <x v="5"/>
    <x v="0"/>
    <x v="0"/>
    <x v="2"/>
    <x v="0"/>
    <x v="0"/>
    <x v="0"/>
    <x v="0"/>
    <x v="260"/>
    <x v="0"/>
    <x v="0"/>
  </r>
  <r>
    <x v="1168"/>
    <x v="1157"/>
    <x v="1"/>
    <x v="5"/>
    <x v="5"/>
    <x v="0"/>
    <x v="0"/>
    <x v="0"/>
    <x v="0"/>
    <x v="0"/>
    <x v="0"/>
    <x v="0"/>
    <x v="260"/>
    <x v="0"/>
    <x v="0"/>
  </r>
  <r>
    <x v="1169"/>
    <x v="1158"/>
    <x v="11"/>
    <x v="2"/>
    <x v="2"/>
    <x v="0"/>
    <x v="0"/>
    <x v="3"/>
    <x v="0"/>
    <x v="0"/>
    <x v="0"/>
    <x v="0"/>
    <x v="261"/>
    <x v="0"/>
    <x v="0"/>
  </r>
  <r>
    <x v="1170"/>
    <x v="1159"/>
    <x v="11"/>
    <x v="2"/>
    <x v="2"/>
    <x v="0"/>
    <x v="0"/>
    <x v="0"/>
    <x v="0"/>
    <x v="0"/>
    <x v="0"/>
    <x v="0"/>
    <x v="262"/>
    <x v="0"/>
    <x v="0"/>
  </r>
  <r>
    <x v="1171"/>
    <x v="1160"/>
    <x v="11"/>
    <x v="2"/>
    <x v="2"/>
    <x v="0"/>
    <x v="0"/>
    <x v="0"/>
    <x v="0"/>
    <x v="0"/>
    <x v="0"/>
    <x v="0"/>
    <x v="262"/>
    <x v="0"/>
    <x v="0"/>
  </r>
  <r>
    <x v="1172"/>
    <x v="1161"/>
    <x v="3"/>
    <x v="0"/>
    <x v="0"/>
    <x v="0"/>
    <x v="0"/>
    <x v="0"/>
    <x v="0"/>
    <x v="0"/>
    <x v="0"/>
    <x v="0"/>
    <x v="262"/>
    <x v="0"/>
    <x v="0"/>
  </r>
  <r>
    <x v="1173"/>
    <x v="1162"/>
    <x v="4"/>
    <x v="2"/>
    <x v="2"/>
    <x v="0"/>
    <x v="0"/>
    <x v="0"/>
    <x v="0"/>
    <x v="0"/>
    <x v="0"/>
    <x v="0"/>
    <x v="263"/>
    <x v="0"/>
    <x v="0"/>
  </r>
  <r>
    <x v="1174"/>
    <x v="1163"/>
    <x v="11"/>
    <x v="2"/>
    <x v="2"/>
    <x v="0"/>
    <x v="0"/>
    <x v="0"/>
    <x v="0"/>
    <x v="0"/>
    <x v="0"/>
    <x v="0"/>
    <x v="263"/>
    <x v="0"/>
    <x v="0"/>
  </r>
  <r>
    <x v="1175"/>
    <x v="1164"/>
    <x v="4"/>
    <x v="5"/>
    <x v="5"/>
    <x v="0"/>
    <x v="0"/>
    <x v="1"/>
    <x v="0"/>
    <x v="0"/>
    <x v="0"/>
    <x v="29"/>
    <x v="263"/>
    <x v="37"/>
    <x v="0"/>
  </r>
  <r>
    <x v="1176"/>
    <x v="1165"/>
    <x v="11"/>
    <x v="2"/>
    <x v="2"/>
    <x v="0"/>
    <x v="0"/>
    <x v="0"/>
    <x v="0"/>
    <x v="0"/>
    <x v="0"/>
    <x v="0"/>
    <x v="264"/>
    <x v="0"/>
    <x v="0"/>
  </r>
  <r>
    <x v="1177"/>
    <x v="1166"/>
    <x v="4"/>
    <x v="5"/>
    <x v="5"/>
    <x v="0"/>
    <x v="0"/>
    <x v="0"/>
    <x v="0"/>
    <x v="0"/>
    <x v="7"/>
    <x v="0"/>
    <x v="265"/>
    <x v="0"/>
    <x v="0"/>
  </r>
  <r>
    <x v="1178"/>
    <x v="1161"/>
    <x v="3"/>
    <x v="0"/>
    <x v="0"/>
    <x v="0"/>
    <x v="0"/>
    <x v="0"/>
    <x v="0"/>
    <x v="0"/>
    <x v="0"/>
    <x v="0"/>
    <x v="266"/>
    <x v="0"/>
    <x v="0"/>
  </r>
  <r>
    <x v="1179"/>
    <x v="1167"/>
    <x v="1"/>
    <x v="3"/>
    <x v="3"/>
    <x v="0"/>
    <x v="0"/>
    <x v="0"/>
    <x v="0"/>
    <x v="0"/>
    <x v="0"/>
    <x v="0"/>
    <x v="267"/>
    <x v="0"/>
    <x v="0"/>
  </r>
  <r>
    <x v="1180"/>
    <x v="1168"/>
    <x v="1"/>
    <x v="3"/>
    <x v="3"/>
    <x v="0"/>
    <x v="0"/>
    <x v="0"/>
    <x v="0"/>
    <x v="0"/>
    <x v="0"/>
    <x v="0"/>
    <x v="267"/>
    <x v="0"/>
    <x v="0"/>
  </r>
  <r>
    <x v="1181"/>
    <x v="1169"/>
    <x v="4"/>
    <x v="5"/>
    <x v="5"/>
    <x v="0"/>
    <x v="0"/>
    <x v="0"/>
    <x v="0"/>
    <x v="0"/>
    <x v="0"/>
    <x v="0"/>
    <x v="268"/>
    <x v="38"/>
    <x v="0"/>
  </r>
  <r>
    <x v="1182"/>
    <x v="1170"/>
    <x v="4"/>
    <x v="2"/>
    <x v="2"/>
    <x v="0"/>
    <x v="0"/>
    <x v="2"/>
    <x v="0"/>
    <x v="0"/>
    <x v="0"/>
    <x v="0"/>
    <x v="269"/>
    <x v="0"/>
    <x v="0"/>
  </r>
  <r>
    <x v="1183"/>
    <x v="1171"/>
    <x v="2"/>
    <x v="3"/>
    <x v="3"/>
    <x v="0"/>
    <x v="0"/>
    <x v="0"/>
    <x v="0"/>
    <x v="0"/>
    <x v="0"/>
    <x v="0"/>
    <x v="269"/>
    <x v="0"/>
    <x v="0"/>
  </r>
  <r>
    <x v="1184"/>
    <x v="1172"/>
    <x v="1"/>
    <x v="5"/>
    <x v="5"/>
    <x v="0"/>
    <x v="0"/>
    <x v="1"/>
    <x v="0"/>
    <x v="0"/>
    <x v="0"/>
    <x v="0"/>
    <x v="269"/>
    <x v="0"/>
    <x v="0"/>
  </r>
  <r>
    <x v="1185"/>
    <x v="1173"/>
    <x v="4"/>
    <x v="2"/>
    <x v="2"/>
    <x v="0"/>
    <x v="0"/>
    <x v="2"/>
    <x v="0"/>
    <x v="0"/>
    <x v="0"/>
    <x v="0"/>
    <x v="270"/>
    <x v="0"/>
    <x v="0"/>
  </r>
  <r>
    <x v="1186"/>
    <x v="1174"/>
    <x v="4"/>
    <x v="2"/>
    <x v="2"/>
    <x v="0"/>
    <x v="0"/>
    <x v="3"/>
    <x v="0"/>
    <x v="0"/>
    <x v="0"/>
    <x v="0"/>
    <x v="270"/>
    <x v="0"/>
    <x v="0"/>
  </r>
  <r>
    <x v="1187"/>
    <x v="1175"/>
    <x v="11"/>
    <x v="2"/>
    <x v="2"/>
    <x v="0"/>
    <x v="0"/>
    <x v="0"/>
    <x v="0"/>
    <x v="0"/>
    <x v="0"/>
    <x v="0"/>
    <x v="270"/>
    <x v="0"/>
    <x v="0"/>
  </r>
  <r>
    <x v="1188"/>
    <x v="1176"/>
    <x v="11"/>
    <x v="2"/>
    <x v="2"/>
    <x v="0"/>
    <x v="0"/>
    <x v="0"/>
    <x v="0"/>
    <x v="0"/>
    <x v="0"/>
    <x v="0"/>
    <x v="270"/>
    <x v="0"/>
    <x v="0"/>
  </r>
  <r>
    <x v="1189"/>
    <x v="1177"/>
    <x v="11"/>
    <x v="2"/>
    <x v="2"/>
    <x v="0"/>
    <x v="0"/>
    <x v="2"/>
    <x v="0"/>
    <x v="0"/>
    <x v="0"/>
    <x v="0"/>
    <x v="270"/>
    <x v="0"/>
    <x v="0"/>
  </r>
  <r>
    <x v="1190"/>
    <x v="1178"/>
    <x v="4"/>
    <x v="1"/>
    <x v="1"/>
    <x v="0"/>
    <x v="0"/>
    <x v="0"/>
    <x v="0"/>
    <x v="0"/>
    <x v="0"/>
    <x v="0"/>
    <x v="270"/>
    <x v="0"/>
    <x v="0"/>
  </r>
  <r>
    <x v="1191"/>
    <x v="1179"/>
    <x v="11"/>
    <x v="2"/>
    <x v="2"/>
    <x v="0"/>
    <x v="0"/>
    <x v="3"/>
    <x v="0"/>
    <x v="0"/>
    <x v="0"/>
    <x v="27"/>
    <x v="270"/>
    <x v="39"/>
    <x v="0"/>
  </r>
  <r>
    <x v="1192"/>
    <x v="1180"/>
    <x v="11"/>
    <x v="2"/>
    <x v="2"/>
    <x v="0"/>
    <x v="0"/>
    <x v="2"/>
    <x v="0"/>
    <x v="0"/>
    <x v="0"/>
    <x v="27"/>
    <x v="270"/>
    <x v="39"/>
    <x v="0"/>
  </r>
  <r>
    <x v="1193"/>
    <x v="1181"/>
    <x v="1"/>
    <x v="3"/>
    <x v="3"/>
    <x v="0"/>
    <x v="0"/>
    <x v="0"/>
    <x v="0"/>
    <x v="0"/>
    <x v="0"/>
    <x v="0"/>
    <x v="271"/>
    <x v="0"/>
    <x v="0"/>
  </r>
  <r>
    <x v="1194"/>
    <x v="1182"/>
    <x v="4"/>
    <x v="5"/>
    <x v="5"/>
    <x v="0"/>
    <x v="0"/>
    <x v="1"/>
    <x v="0"/>
    <x v="0"/>
    <x v="0"/>
    <x v="30"/>
    <x v="272"/>
    <x v="40"/>
    <x v="0"/>
  </r>
  <r>
    <x v="1195"/>
    <x v="1183"/>
    <x v="3"/>
    <x v="0"/>
    <x v="0"/>
    <x v="0"/>
    <x v="0"/>
    <x v="0"/>
    <x v="0"/>
    <x v="0"/>
    <x v="0"/>
    <x v="0"/>
    <x v="272"/>
    <x v="0"/>
    <x v="0"/>
  </r>
  <r>
    <x v="1196"/>
    <x v="1184"/>
    <x v="11"/>
    <x v="2"/>
    <x v="2"/>
    <x v="0"/>
    <x v="0"/>
    <x v="0"/>
    <x v="0"/>
    <x v="0"/>
    <x v="0"/>
    <x v="0"/>
    <x v="273"/>
    <x v="0"/>
    <x v="0"/>
  </r>
  <r>
    <x v="1197"/>
    <x v="1185"/>
    <x v="1"/>
    <x v="3"/>
    <x v="3"/>
    <x v="0"/>
    <x v="0"/>
    <x v="2"/>
    <x v="0"/>
    <x v="0"/>
    <x v="0"/>
    <x v="0"/>
    <x v="273"/>
    <x v="0"/>
    <x v="0"/>
  </r>
  <r>
    <x v="1198"/>
    <x v="1186"/>
    <x v="4"/>
    <x v="2"/>
    <x v="2"/>
    <x v="0"/>
    <x v="0"/>
    <x v="0"/>
    <x v="0"/>
    <x v="0"/>
    <x v="0"/>
    <x v="0"/>
    <x v="274"/>
    <x v="0"/>
    <x v="0"/>
  </r>
  <r>
    <x v="1199"/>
    <x v="1187"/>
    <x v="4"/>
    <x v="2"/>
    <x v="2"/>
    <x v="0"/>
    <x v="0"/>
    <x v="1"/>
    <x v="0"/>
    <x v="0"/>
    <x v="0"/>
    <x v="0"/>
    <x v="274"/>
    <x v="0"/>
    <x v="0"/>
  </r>
  <r>
    <x v="1200"/>
    <x v="1188"/>
    <x v="1"/>
    <x v="3"/>
    <x v="3"/>
    <x v="0"/>
    <x v="0"/>
    <x v="0"/>
    <x v="0"/>
    <x v="0"/>
    <x v="0"/>
    <x v="0"/>
    <x v="275"/>
    <x v="0"/>
    <x v="0"/>
  </r>
  <r>
    <x v="1201"/>
    <x v="1189"/>
    <x v="11"/>
    <x v="2"/>
    <x v="2"/>
    <x v="0"/>
    <x v="0"/>
    <x v="0"/>
    <x v="0"/>
    <x v="0"/>
    <x v="0"/>
    <x v="0"/>
    <x v="276"/>
    <x v="0"/>
    <x v="0"/>
  </r>
  <r>
    <x v="1202"/>
    <x v="1190"/>
    <x v="11"/>
    <x v="1"/>
    <x v="1"/>
    <x v="0"/>
    <x v="0"/>
    <x v="0"/>
    <x v="0"/>
    <x v="0"/>
    <x v="0"/>
    <x v="0"/>
    <x v="277"/>
    <x v="40"/>
    <x v="0"/>
  </r>
  <r>
    <x v="1203"/>
    <x v="1191"/>
    <x v="1"/>
    <x v="5"/>
    <x v="5"/>
    <x v="0"/>
    <x v="0"/>
    <x v="3"/>
    <x v="0"/>
    <x v="0"/>
    <x v="0"/>
    <x v="0"/>
    <x v="278"/>
    <x v="0"/>
    <x v="0"/>
  </r>
  <r>
    <x v="1204"/>
    <x v="1192"/>
    <x v="1"/>
    <x v="3"/>
    <x v="3"/>
    <x v="0"/>
    <x v="0"/>
    <x v="0"/>
    <x v="0"/>
    <x v="0"/>
    <x v="0"/>
    <x v="0"/>
    <x v="279"/>
    <x v="0"/>
    <x v="0"/>
  </r>
  <r>
    <x v="1205"/>
    <x v="1193"/>
    <x v="1"/>
    <x v="3"/>
    <x v="3"/>
    <x v="0"/>
    <x v="0"/>
    <x v="2"/>
    <x v="0"/>
    <x v="0"/>
    <x v="0"/>
    <x v="0"/>
    <x v="279"/>
    <x v="0"/>
    <x v="0"/>
  </r>
  <r>
    <x v="1206"/>
    <x v="1194"/>
    <x v="4"/>
    <x v="2"/>
    <x v="2"/>
    <x v="0"/>
    <x v="0"/>
    <x v="3"/>
    <x v="0"/>
    <x v="0"/>
    <x v="0"/>
    <x v="0"/>
    <x v="279"/>
    <x v="0"/>
    <x v="0"/>
  </r>
  <r>
    <x v="1207"/>
    <x v="1195"/>
    <x v="11"/>
    <x v="2"/>
    <x v="2"/>
    <x v="0"/>
    <x v="0"/>
    <x v="0"/>
    <x v="0"/>
    <x v="0"/>
    <x v="0"/>
    <x v="0"/>
    <x v="280"/>
    <x v="0"/>
    <x v="0"/>
  </r>
  <r>
    <x v="1208"/>
    <x v="1196"/>
    <x v="4"/>
    <x v="5"/>
    <x v="5"/>
    <x v="0"/>
    <x v="0"/>
    <x v="0"/>
    <x v="0"/>
    <x v="0"/>
    <x v="0"/>
    <x v="0"/>
    <x v="280"/>
    <x v="41"/>
    <x v="0"/>
  </r>
  <r>
    <x v="1209"/>
    <x v="674"/>
    <x v="9"/>
    <x v="0"/>
    <x v="0"/>
    <x v="0"/>
    <x v="0"/>
    <x v="0"/>
    <x v="0"/>
    <x v="0"/>
    <x v="0"/>
    <x v="0"/>
    <x v="281"/>
    <x v="0"/>
    <x v="0"/>
  </r>
  <r>
    <x v="1210"/>
    <x v="1197"/>
    <x v="9"/>
    <x v="0"/>
    <x v="0"/>
    <x v="0"/>
    <x v="0"/>
    <x v="0"/>
    <x v="0"/>
    <x v="0"/>
    <x v="0"/>
    <x v="0"/>
    <x v="281"/>
    <x v="0"/>
    <x v="0"/>
  </r>
  <r>
    <x v="1211"/>
    <x v="1198"/>
    <x v="9"/>
    <x v="0"/>
    <x v="0"/>
    <x v="0"/>
    <x v="0"/>
    <x v="0"/>
    <x v="0"/>
    <x v="0"/>
    <x v="0"/>
    <x v="0"/>
    <x v="281"/>
    <x v="0"/>
    <x v="0"/>
  </r>
  <r>
    <x v="1212"/>
    <x v="1199"/>
    <x v="9"/>
    <x v="0"/>
    <x v="0"/>
    <x v="0"/>
    <x v="0"/>
    <x v="0"/>
    <x v="0"/>
    <x v="0"/>
    <x v="0"/>
    <x v="0"/>
    <x v="281"/>
    <x v="0"/>
    <x v="0"/>
  </r>
  <r>
    <x v="1213"/>
    <x v="1200"/>
    <x v="9"/>
    <x v="0"/>
    <x v="0"/>
    <x v="0"/>
    <x v="0"/>
    <x v="0"/>
    <x v="0"/>
    <x v="0"/>
    <x v="0"/>
    <x v="0"/>
    <x v="281"/>
    <x v="0"/>
    <x v="0"/>
  </r>
  <r>
    <x v="1214"/>
    <x v="1201"/>
    <x v="9"/>
    <x v="0"/>
    <x v="0"/>
    <x v="0"/>
    <x v="0"/>
    <x v="0"/>
    <x v="0"/>
    <x v="0"/>
    <x v="0"/>
    <x v="0"/>
    <x v="281"/>
    <x v="0"/>
    <x v="0"/>
  </r>
  <r>
    <x v="1215"/>
    <x v="1202"/>
    <x v="9"/>
    <x v="0"/>
    <x v="0"/>
    <x v="0"/>
    <x v="0"/>
    <x v="0"/>
    <x v="0"/>
    <x v="0"/>
    <x v="0"/>
    <x v="0"/>
    <x v="281"/>
    <x v="0"/>
    <x v="0"/>
  </r>
  <r>
    <x v="1216"/>
    <x v="1203"/>
    <x v="9"/>
    <x v="0"/>
    <x v="0"/>
    <x v="0"/>
    <x v="0"/>
    <x v="0"/>
    <x v="0"/>
    <x v="0"/>
    <x v="0"/>
    <x v="0"/>
    <x v="281"/>
    <x v="0"/>
    <x v="0"/>
  </r>
  <r>
    <x v="1217"/>
    <x v="1204"/>
    <x v="9"/>
    <x v="0"/>
    <x v="0"/>
    <x v="0"/>
    <x v="0"/>
    <x v="0"/>
    <x v="0"/>
    <x v="0"/>
    <x v="0"/>
    <x v="0"/>
    <x v="281"/>
    <x v="0"/>
    <x v="0"/>
  </r>
  <r>
    <x v="1218"/>
    <x v="1205"/>
    <x v="9"/>
    <x v="0"/>
    <x v="0"/>
    <x v="0"/>
    <x v="0"/>
    <x v="0"/>
    <x v="0"/>
    <x v="0"/>
    <x v="0"/>
    <x v="0"/>
    <x v="281"/>
    <x v="0"/>
    <x v="0"/>
  </r>
  <r>
    <x v="1219"/>
    <x v="1206"/>
    <x v="9"/>
    <x v="0"/>
    <x v="0"/>
    <x v="0"/>
    <x v="0"/>
    <x v="0"/>
    <x v="0"/>
    <x v="0"/>
    <x v="0"/>
    <x v="0"/>
    <x v="281"/>
    <x v="0"/>
    <x v="0"/>
  </r>
  <r>
    <x v="1220"/>
    <x v="1207"/>
    <x v="9"/>
    <x v="0"/>
    <x v="0"/>
    <x v="0"/>
    <x v="0"/>
    <x v="0"/>
    <x v="0"/>
    <x v="0"/>
    <x v="0"/>
    <x v="0"/>
    <x v="281"/>
    <x v="0"/>
    <x v="0"/>
  </r>
  <r>
    <x v="1221"/>
    <x v="1208"/>
    <x v="9"/>
    <x v="0"/>
    <x v="0"/>
    <x v="0"/>
    <x v="0"/>
    <x v="0"/>
    <x v="0"/>
    <x v="0"/>
    <x v="0"/>
    <x v="0"/>
    <x v="281"/>
    <x v="0"/>
    <x v="0"/>
  </r>
  <r>
    <x v="1222"/>
    <x v="1209"/>
    <x v="9"/>
    <x v="0"/>
    <x v="0"/>
    <x v="0"/>
    <x v="0"/>
    <x v="0"/>
    <x v="0"/>
    <x v="0"/>
    <x v="0"/>
    <x v="0"/>
    <x v="281"/>
    <x v="0"/>
    <x v="0"/>
  </r>
  <r>
    <x v="1223"/>
    <x v="1210"/>
    <x v="9"/>
    <x v="0"/>
    <x v="0"/>
    <x v="0"/>
    <x v="0"/>
    <x v="0"/>
    <x v="0"/>
    <x v="0"/>
    <x v="0"/>
    <x v="0"/>
    <x v="281"/>
    <x v="0"/>
    <x v="0"/>
  </r>
  <r>
    <x v="1224"/>
    <x v="1211"/>
    <x v="9"/>
    <x v="0"/>
    <x v="0"/>
    <x v="0"/>
    <x v="0"/>
    <x v="0"/>
    <x v="0"/>
    <x v="0"/>
    <x v="0"/>
    <x v="0"/>
    <x v="281"/>
    <x v="0"/>
    <x v="0"/>
  </r>
  <r>
    <x v="1225"/>
    <x v="1212"/>
    <x v="9"/>
    <x v="0"/>
    <x v="0"/>
    <x v="0"/>
    <x v="0"/>
    <x v="0"/>
    <x v="0"/>
    <x v="0"/>
    <x v="0"/>
    <x v="0"/>
    <x v="281"/>
    <x v="0"/>
    <x v="0"/>
  </r>
  <r>
    <x v="1226"/>
    <x v="1213"/>
    <x v="9"/>
    <x v="0"/>
    <x v="0"/>
    <x v="0"/>
    <x v="0"/>
    <x v="0"/>
    <x v="0"/>
    <x v="0"/>
    <x v="0"/>
    <x v="0"/>
    <x v="281"/>
    <x v="0"/>
    <x v="0"/>
  </r>
  <r>
    <x v="1227"/>
    <x v="1214"/>
    <x v="9"/>
    <x v="0"/>
    <x v="0"/>
    <x v="0"/>
    <x v="0"/>
    <x v="0"/>
    <x v="0"/>
    <x v="0"/>
    <x v="0"/>
    <x v="0"/>
    <x v="281"/>
    <x v="0"/>
    <x v="0"/>
  </r>
  <r>
    <x v="1228"/>
    <x v="1215"/>
    <x v="9"/>
    <x v="0"/>
    <x v="0"/>
    <x v="0"/>
    <x v="0"/>
    <x v="0"/>
    <x v="0"/>
    <x v="0"/>
    <x v="0"/>
    <x v="0"/>
    <x v="281"/>
    <x v="0"/>
    <x v="0"/>
  </r>
  <r>
    <x v="1229"/>
    <x v="1216"/>
    <x v="9"/>
    <x v="0"/>
    <x v="0"/>
    <x v="0"/>
    <x v="0"/>
    <x v="0"/>
    <x v="0"/>
    <x v="0"/>
    <x v="0"/>
    <x v="0"/>
    <x v="281"/>
    <x v="0"/>
    <x v="0"/>
  </r>
  <r>
    <x v="1230"/>
    <x v="1217"/>
    <x v="4"/>
    <x v="3"/>
    <x v="3"/>
    <x v="0"/>
    <x v="0"/>
    <x v="1"/>
    <x v="0"/>
    <x v="0"/>
    <x v="0"/>
    <x v="31"/>
    <x v="282"/>
    <x v="0"/>
    <x v="0"/>
  </r>
  <r>
    <x v="1231"/>
    <x v="1218"/>
    <x v="4"/>
    <x v="2"/>
    <x v="2"/>
    <x v="0"/>
    <x v="0"/>
    <x v="3"/>
    <x v="0"/>
    <x v="0"/>
    <x v="0"/>
    <x v="0"/>
    <x v="282"/>
    <x v="42"/>
    <x v="0"/>
  </r>
  <r>
    <x v="1232"/>
    <x v="1219"/>
    <x v="4"/>
    <x v="2"/>
    <x v="2"/>
    <x v="0"/>
    <x v="0"/>
    <x v="0"/>
    <x v="0"/>
    <x v="0"/>
    <x v="0"/>
    <x v="0"/>
    <x v="282"/>
    <x v="43"/>
    <x v="0"/>
  </r>
  <r>
    <x v="1233"/>
    <x v="1220"/>
    <x v="1"/>
    <x v="3"/>
    <x v="3"/>
    <x v="0"/>
    <x v="0"/>
    <x v="0"/>
    <x v="0"/>
    <x v="0"/>
    <x v="0"/>
    <x v="0"/>
    <x v="283"/>
    <x v="0"/>
    <x v="0"/>
  </r>
  <r>
    <x v="1234"/>
    <x v="1221"/>
    <x v="4"/>
    <x v="1"/>
    <x v="1"/>
    <x v="0"/>
    <x v="0"/>
    <x v="1"/>
    <x v="0"/>
    <x v="0"/>
    <x v="0"/>
    <x v="0"/>
    <x v="283"/>
    <x v="0"/>
    <x v="0"/>
  </r>
  <r>
    <x v="1235"/>
    <x v="1222"/>
    <x v="4"/>
    <x v="1"/>
    <x v="1"/>
    <x v="0"/>
    <x v="0"/>
    <x v="1"/>
    <x v="0"/>
    <x v="0"/>
    <x v="0"/>
    <x v="0"/>
    <x v="283"/>
    <x v="0"/>
    <x v="0"/>
  </r>
  <r>
    <x v="1236"/>
    <x v="1223"/>
    <x v="4"/>
    <x v="1"/>
    <x v="1"/>
    <x v="0"/>
    <x v="0"/>
    <x v="1"/>
    <x v="0"/>
    <x v="0"/>
    <x v="0"/>
    <x v="0"/>
    <x v="283"/>
    <x v="0"/>
    <x v="0"/>
  </r>
  <r>
    <x v="1237"/>
    <x v="1224"/>
    <x v="4"/>
    <x v="1"/>
    <x v="1"/>
    <x v="0"/>
    <x v="0"/>
    <x v="1"/>
    <x v="0"/>
    <x v="0"/>
    <x v="0"/>
    <x v="0"/>
    <x v="283"/>
    <x v="0"/>
    <x v="0"/>
  </r>
  <r>
    <x v="1238"/>
    <x v="1225"/>
    <x v="4"/>
    <x v="3"/>
    <x v="3"/>
    <x v="0"/>
    <x v="0"/>
    <x v="0"/>
    <x v="0"/>
    <x v="0"/>
    <x v="0"/>
    <x v="0"/>
    <x v="283"/>
    <x v="0"/>
    <x v="0"/>
  </r>
  <r>
    <x v="1239"/>
    <x v="1226"/>
    <x v="11"/>
    <x v="2"/>
    <x v="2"/>
    <x v="0"/>
    <x v="0"/>
    <x v="2"/>
    <x v="0"/>
    <x v="0"/>
    <x v="0"/>
    <x v="0"/>
    <x v="284"/>
    <x v="0"/>
    <x v="0"/>
  </r>
  <r>
    <x v="1240"/>
    <x v="1227"/>
    <x v="1"/>
    <x v="2"/>
    <x v="2"/>
    <x v="0"/>
    <x v="0"/>
    <x v="0"/>
    <x v="0"/>
    <x v="0"/>
    <x v="0"/>
    <x v="0"/>
    <x v="284"/>
    <x v="0"/>
    <x v="0"/>
  </r>
  <r>
    <x v="1241"/>
    <x v="1228"/>
    <x v="1"/>
    <x v="2"/>
    <x v="2"/>
    <x v="0"/>
    <x v="0"/>
    <x v="0"/>
    <x v="0"/>
    <x v="0"/>
    <x v="0"/>
    <x v="0"/>
    <x v="284"/>
    <x v="0"/>
    <x v="0"/>
  </r>
  <r>
    <x v="1242"/>
    <x v="1229"/>
    <x v="1"/>
    <x v="2"/>
    <x v="2"/>
    <x v="0"/>
    <x v="0"/>
    <x v="0"/>
    <x v="0"/>
    <x v="0"/>
    <x v="0"/>
    <x v="0"/>
    <x v="284"/>
    <x v="0"/>
    <x v="0"/>
  </r>
  <r>
    <x v="1243"/>
    <x v="1230"/>
    <x v="3"/>
    <x v="0"/>
    <x v="0"/>
    <x v="0"/>
    <x v="0"/>
    <x v="0"/>
    <x v="0"/>
    <x v="0"/>
    <x v="0"/>
    <x v="0"/>
    <x v="284"/>
    <x v="0"/>
    <x v="0"/>
  </r>
  <r>
    <x v="1244"/>
    <x v="1231"/>
    <x v="1"/>
    <x v="2"/>
    <x v="2"/>
    <x v="0"/>
    <x v="0"/>
    <x v="0"/>
    <x v="0"/>
    <x v="0"/>
    <x v="0"/>
    <x v="0"/>
    <x v="284"/>
    <x v="0"/>
    <x v="0"/>
  </r>
  <r>
    <x v="1245"/>
    <x v="1232"/>
    <x v="1"/>
    <x v="2"/>
    <x v="2"/>
    <x v="0"/>
    <x v="0"/>
    <x v="0"/>
    <x v="0"/>
    <x v="0"/>
    <x v="0"/>
    <x v="0"/>
    <x v="284"/>
    <x v="0"/>
    <x v="0"/>
  </r>
  <r>
    <x v="1246"/>
    <x v="1233"/>
    <x v="1"/>
    <x v="3"/>
    <x v="3"/>
    <x v="0"/>
    <x v="0"/>
    <x v="0"/>
    <x v="0"/>
    <x v="0"/>
    <x v="0"/>
    <x v="0"/>
    <x v="284"/>
    <x v="0"/>
    <x v="0"/>
  </r>
  <r>
    <x v="1247"/>
    <x v="1234"/>
    <x v="1"/>
    <x v="3"/>
    <x v="3"/>
    <x v="0"/>
    <x v="0"/>
    <x v="0"/>
    <x v="0"/>
    <x v="0"/>
    <x v="0"/>
    <x v="0"/>
    <x v="284"/>
    <x v="0"/>
    <x v="0"/>
  </r>
  <r>
    <x v="1248"/>
    <x v="1235"/>
    <x v="3"/>
    <x v="0"/>
    <x v="0"/>
    <x v="0"/>
    <x v="0"/>
    <x v="0"/>
    <x v="0"/>
    <x v="0"/>
    <x v="0"/>
    <x v="0"/>
    <x v="284"/>
    <x v="0"/>
    <x v="0"/>
  </r>
  <r>
    <x v="1249"/>
    <x v="1236"/>
    <x v="9"/>
    <x v="0"/>
    <x v="0"/>
    <x v="0"/>
    <x v="0"/>
    <x v="0"/>
    <x v="0"/>
    <x v="0"/>
    <x v="0"/>
    <x v="0"/>
    <x v="284"/>
    <x v="0"/>
    <x v="0"/>
  </r>
  <r>
    <x v="1250"/>
    <x v="1237"/>
    <x v="11"/>
    <x v="1"/>
    <x v="1"/>
    <x v="0"/>
    <x v="0"/>
    <x v="1"/>
    <x v="0"/>
    <x v="0"/>
    <x v="0"/>
    <x v="0"/>
    <x v="285"/>
    <x v="0"/>
    <x v="0"/>
  </r>
  <r>
    <x v="1251"/>
    <x v="1238"/>
    <x v="11"/>
    <x v="1"/>
    <x v="1"/>
    <x v="0"/>
    <x v="0"/>
    <x v="1"/>
    <x v="0"/>
    <x v="0"/>
    <x v="0"/>
    <x v="0"/>
    <x v="285"/>
    <x v="0"/>
    <x v="0"/>
  </r>
  <r>
    <x v="1252"/>
    <x v="1239"/>
    <x v="11"/>
    <x v="1"/>
    <x v="1"/>
    <x v="0"/>
    <x v="0"/>
    <x v="1"/>
    <x v="0"/>
    <x v="0"/>
    <x v="0"/>
    <x v="0"/>
    <x v="285"/>
    <x v="0"/>
    <x v="0"/>
  </r>
  <r>
    <x v="1253"/>
    <x v="1240"/>
    <x v="11"/>
    <x v="2"/>
    <x v="2"/>
    <x v="0"/>
    <x v="0"/>
    <x v="0"/>
    <x v="0"/>
    <x v="0"/>
    <x v="0"/>
    <x v="0"/>
    <x v="285"/>
    <x v="0"/>
    <x v="0"/>
  </r>
  <r>
    <x v="1254"/>
    <x v="1241"/>
    <x v="11"/>
    <x v="2"/>
    <x v="2"/>
    <x v="0"/>
    <x v="0"/>
    <x v="0"/>
    <x v="0"/>
    <x v="0"/>
    <x v="0"/>
    <x v="0"/>
    <x v="286"/>
    <x v="0"/>
    <x v="0"/>
  </r>
  <r>
    <x v="1255"/>
    <x v="1242"/>
    <x v="11"/>
    <x v="2"/>
    <x v="2"/>
    <x v="0"/>
    <x v="0"/>
    <x v="0"/>
    <x v="0"/>
    <x v="0"/>
    <x v="0"/>
    <x v="0"/>
    <x v="286"/>
    <x v="0"/>
    <x v="0"/>
  </r>
  <r>
    <x v="1256"/>
    <x v="1243"/>
    <x v="1"/>
    <x v="1"/>
    <x v="1"/>
    <x v="0"/>
    <x v="0"/>
    <x v="0"/>
    <x v="0"/>
    <x v="0"/>
    <x v="0"/>
    <x v="0"/>
    <x v="287"/>
    <x v="0"/>
    <x v="0"/>
  </r>
  <r>
    <x v="1257"/>
    <x v="1244"/>
    <x v="11"/>
    <x v="2"/>
    <x v="2"/>
    <x v="0"/>
    <x v="0"/>
    <x v="3"/>
    <x v="0"/>
    <x v="0"/>
    <x v="0"/>
    <x v="0"/>
    <x v="287"/>
    <x v="0"/>
    <x v="0"/>
  </r>
  <r>
    <x v="1258"/>
    <x v="1245"/>
    <x v="4"/>
    <x v="2"/>
    <x v="2"/>
    <x v="0"/>
    <x v="0"/>
    <x v="0"/>
    <x v="0"/>
    <x v="0"/>
    <x v="0"/>
    <x v="0"/>
    <x v="287"/>
    <x v="0"/>
    <x v="0"/>
  </r>
  <r>
    <x v="1259"/>
    <x v="1246"/>
    <x v="4"/>
    <x v="2"/>
    <x v="2"/>
    <x v="0"/>
    <x v="0"/>
    <x v="0"/>
    <x v="0"/>
    <x v="0"/>
    <x v="0"/>
    <x v="0"/>
    <x v="287"/>
    <x v="0"/>
    <x v="0"/>
  </r>
  <r>
    <x v="1260"/>
    <x v="1247"/>
    <x v="1"/>
    <x v="2"/>
    <x v="2"/>
    <x v="0"/>
    <x v="0"/>
    <x v="0"/>
    <x v="0"/>
    <x v="0"/>
    <x v="0"/>
    <x v="0"/>
    <x v="288"/>
    <x v="0"/>
    <x v="0"/>
  </r>
  <r>
    <x v="1261"/>
    <x v="1248"/>
    <x v="1"/>
    <x v="3"/>
    <x v="3"/>
    <x v="0"/>
    <x v="0"/>
    <x v="0"/>
    <x v="0"/>
    <x v="0"/>
    <x v="0"/>
    <x v="0"/>
    <x v="288"/>
    <x v="0"/>
    <x v="0"/>
  </r>
  <r>
    <x v="1262"/>
    <x v="1249"/>
    <x v="1"/>
    <x v="3"/>
    <x v="3"/>
    <x v="0"/>
    <x v="0"/>
    <x v="0"/>
    <x v="0"/>
    <x v="0"/>
    <x v="0"/>
    <x v="0"/>
    <x v="288"/>
    <x v="0"/>
    <x v="0"/>
  </r>
  <r>
    <x v="1263"/>
    <x v="1250"/>
    <x v="1"/>
    <x v="3"/>
    <x v="3"/>
    <x v="0"/>
    <x v="0"/>
    <x v="17"/>
    <x v="0"/>
    <x v="0"/>
    <x v="0"/>
    <x v="0"/>
    <x v="288"/>
    <x v="0"/>
    <x v="0"/>
  </r>
  <r>
    <x v="1264"/>
    <x v="1251"/>
    <x v="4"/>
    <x v="2"/>
    <x v="2"/>
    <x v="0"/>
    <x v="0"/>
    <x v="2"/>
    <x v="0"/>
    <x v="0"/>
    <x v="0"/>
    <x v="0"/>
    <x v="288"/>
    <x v="0"/>
    <x v="0"/>
  </r>
  <r>
    <x v="1265"/>
    <x v="1252"/>
    <x v="4"/>
    <x v="3"/>
    <x v="3"/>
    <x v="0"/>
    <x v="0"/>
    <x v="1"/>
    <x v="0"/>
    <x v="0"/>
    <x v="0"/>
    <x v="0"/>
    <x v="288"/>
    <x v="0"/>
    <x v="0"/>
  </r>
  <r>
    <x v="1266"/>
    <x v="1253"/>
    <x v="4"/>
    <x v="3"/>
    <x v="3"/>
    <x v="0"/>
    <x v="0"/>
    <x v="1"/>
    <x v="0"/>
    <x v="0"/>
    <x v="0"/>
    <x v="0"/>
    <x v="288"/>
    <x v="0"/>
    <x v="0"/>
  </r>
  <r>
    <x v="1267"/>
    <x v="1254"/>
    <x v="4"/>
    <x v="3"/>
    <x v="3"/>
    <x v="0"/>
    <x v="0"/>
    <x v="3"/>
    <x v="0"/>
    <x v="0"/>
    <x v="0"/>
    <x v="0"/>
    <x v="288"/>
    <x v="0"/>
    <x v="0"/>
  </r>
  <r>
    <x v="1268"/>
    <x v="1255"/>
    <x v="4"/>
    <x v="3"/>
    <x v="3"/>
    <x v="0"/>
    <x v="0"/>
    <x v="3"/>
    <x v="0"/>
    <x v="0"/>
    <x v="0"/>
    <x v="0"/>
    <x v="288"/>
    <x v="0"/>
    <x v="0"/>
  </r>
  <r>
    <x v="1269"/>
    <x v="1256"/>
    <x v="4"/>
    <x v="3"/>
    <x v="3"/>
    <x v="0"/>
    <x v="0"/>
    <x v="1"/>
    <x v="0"/>
    <x v="0"/>
    <x v="0"/>
    <x v="0"/>
    <x v="288"/>
    <x v="0"/>
    <x v="0"/>
  </r>
  <r>
    <x v="1270"/>
    <x v="1257"/>
    <x v="4"/>
    <x v="3"/>
    <x v="3"/>
    <x v="0"/>
    <x v="0"/>
    <x v="2"/>
    <x v="0"/>
    <x v="0"/>
    <x v="13"/>
    <x v="0"/>
    <x v="288"/>
    <x v="0"/>
    <x v="0"/>
  </r>
  <r>
    <x v="1271"/>
    <x v="1258"/>
    <x v="4"/>
    <x v="3"/>
    <x v="3"/>
    <x v="0"/>
    <x v="0"/>
    <x v="2"/>
    <x v="0"/>
    <x v="0"/>
    <x v="0"/>
    <x v="0"/>
    <x v="288"/>
    <x v="0"/>
    <x v="0"/>
  </r>
  <r>
    <x v="1272"/>
    <x v="1259"/>
    <x v="4"/>
    <x v="3"/>
    <x v="3"/>
    <x v="0"/>
    <x v="0"/>
    <x v="3"/>
    <x v="0"/>
    <x v="0"/>
    <x v="0"/>
    <x v="0"/>
    <x v="288"/>
    <x v="0"/>
    <x v="0"/>
  </r>
  <r>
    <x v="1273"/>
    <x v="1260"/>
    <x v="4"/>
    <x v="2"/>
    <x v="2"/>
    <x v="0"/>
    <x v="0"/>
    <x v="0"/>
    <x v="0"/>
    <x v="0"/>
    <x v="0"/>
    <x v="0"/>
    <x v="288"/>
    <x v="43"/>
    <x v="0"/>
  </r>
  <r>
    <x v="1274"/>
    <x v="1261"/>
    <x v="4"/>
    <x v="2"/>
    <x v="2"/>
    <x v="0"/>
    <x v="0"/>
    <x v="0"/>
    <x v="0"/>
    <x v="0"/>
    <x v="9"/>
    <x v="0"/>
    <x v="289"/>
    <x v="0"/>
    <x v="0"/>
  </r>
  <r>
    <x v="1275"/>
    <x v="1262"/>
    <x v="1"/>
    <x v="3"/>
    <x v="3"/>
    <x v="0"/>
    <x v="0"/>
    <x v="0"/>
    <x v="0"/>
    <x v="0"/>
    <x v="0"/>
    <x v="0"/>
    <x v="290"/>
    <x v="0"/>
    <x v="0"/>
  </r>
  <r>
    <x v="1276"/>
    <x v="1263"/>
    <x v="4"/>
    <x v="0"/>
    <x v="0"/>
    <x v="0"/>
    <x v="0"/>
    <x v="0"/>
    <x v="0"/>
    <x v="0"/>
    <x v="0"/>
    <x v="0"/>
    <x v="291"/>
    <x v="0"/>
    <x v="0"/>
  </r>
  <r>
    <x v="1277"/>
    <x v="1264"/>
    <x v="4"/>
    <x v="0"/>
    <x v="0"/>
    <x v="0"/>
    <x v="0"/>
    <x v="0"/>
    <x v="0"/>
    <x v="0"/>
    <x v="0"/>
    <x v="0"/>
    <x v="291"/>
    <x v="0"/>
    <x v="0"/>
  </r>
  <r>
    <x v="1278"/>
    <x v="1265"/>
    <x v="2"/>
    <x v="3"/>
    <x v="3"/>
    <x v="0"/>
    <x v="0"/>
    <x v="0"/>
    <x v="0"/>
    <x v="0"/>
    <x v="0"/>
    <x v="0"/>
    <x v="291"/>
    <x v="0"/>
    <x v="0"/>
  </r>
  <r>
    <x v="1279"/>
    <x v="1266"/>
    <x v="4"/>
    <x v="0"/>
    <x v="0"/>
    <x v="0"/>
    <x v="0"/>
    <x v="0"/>
    <x v="0"/>
    <x v="0"/>
    <x v="0"/>
    <x v="0"/>
    <x v="291"/>
    <x v="0"/>
    <x v="0"/>
  </r>
  <r>
    <x v="1280"/>
    <x v="1267"/>
    <x v="12"/>
    <x v="0"/>
    <x v="0"/>
    <x v="0"/>
    <x v="0"/>
    <x v="0"/>
    <x v="0"/>
    <x v="0"/>
    <x v="0"/>
    <x v="0"/>
    <x v="291"/>
    <x v="0"/>
    <x v="0"/>
  </r>
  <r>
    <x v="1281"/>
    <x v="1268"/>
    <x v="1"/>
    <x v="3"/>
    <x v="3"/>
    <x v="0"/>
    <x v="0"/>
    <x v="3"/>
    <x v="0"/>
    <x v="0"/>
    <x v="0"/>
    <x v="0"/>
    <x v="292"/>
    <x v="0"/>
    <x v="0"/>
  </r>
  <r>
    <x v="1282"/>
    <x v="1269"/>
    <x v="1"/>
    <x v="3"/>
    <x v="3"/>
    <x v="0"/>
    <x v="0"/>
    <x v="3"/>
    <x v="0"/>
    <x v="0"/>
    <x v="0"/>
    <x v="0"/>
    <x v="292"/>
    <x v="0"/>
    <x v="0"/>
  </r>
  <r>
    <x v="1283"/>
    <x v="1270"/>
    <x v="1"/>
    <x v="3"/>
    <x v="3"/>
    <x v="0"/>
    <x v="0"/>
    <x v="0"/>
    <x v="0"/>
    <x v="0"/>
    <x v="0"/>
    <x v="0"/>
    <x v="292"/>
    <x v="0"/>
    <x v="0"/>
  </r>
  <r>
    <x v="1284"/>
    <x v="1271"/>
    <x v="1"/>
    <x v="3"/>
    <x v="3"/>
    <x v="0"/>
    <x v="0"/>
    <x v="14"/>
    <x v="0"/>
    <x v="0"/>
    <x v="0"/>
    <x v="0"/>
    <x v="292"/>
    <x v="0"/>
    <x v="0"/>
  </r>
  <r>
    <x v="1285"/>
    <x v="1272"/>
    <x v="4"/>
    <x v="2"/>
    <x v="2"/>
    <x v="0"/>
    <x v="0"/>
    <x v="0"/>
    <x v="0"/>
    <x v="0"/>
    <x v="0"/>
    <x v="0"/>
    <x v="293"/>
    <x v="0"/>
    <x v="0"/>
  </r>
  <r>
    <x v="1286"/>
    <x v="1273"/>
    <x v="11"/>
    <x v="1"/>
    <x v="1"/>
    <x v="0"/>
    <x v="0"/>
    <x v="2"/>
    <x v="0"/>
    <x v="0"/>
    <x v="11"/>
    <x v="0"/>
    <x v="293"/>
    <x v="0"/>
    <x v="0"/>
  </r>
  <r>
    <x v="1287"/>
    <x v="1274"/>
    <x v="4"/>
    <x v="2"/>
    <x v="2"/>
    <x v="0"/>
    <x v="0"/>
    <x v="2"/>
    <x v="0"/>
    <x v="0"/>
    <x v="0"/>
    <x v="0"/>
    <x v="293"/>
    <x v="0"/>
    <x v="0"/>
  </r>
  <r>
    <x v="1288"/>
    <x v="1275"/>
    <x v="12"/>
    <x v="0"/>
    <x v="0"/>
    <x v="0"/>
    <x v="0"/>
    <x v="0"/>
    <x v="0"/>
    <x v="0"/>
    <x v="0"/>
    <x v="0"/>
    <x v="293"/>
    <x v="0"/>
    <x v="0"/>
  </r>
  <r>
    <x v="1289"/>
    <x v="1276"/>
    <x v="4"/>
    <x v="3"/>
    <x v="3"/>
    <x v="0"/>
    <x v="0"/>
    <x v="0"/>
    <x v="0"/>
    <x v="0"/>
    <x v="0"/>
    <x v="0"/>
    <x v="294"/>
    <x v="0"/>
    <x v="0"/>
  </r>
  <r>
    <x v="1290"/>
    <x v="1277"/>
    <x v="1"/>
    <x v="5"/>
    <x v="5"/>
    <x v="0"/>
    <x v="0"/>
    <x v="0"/>
    <x v="0"/>
    <x v="0"/>
    <x v="0"/>
    <x v="0"/>
    <x v="295"/>
    <x v="0"/>
    <x v="0"/>
  </r>
  <r>
    <x v="1291"/>
    <x v="1278"/>
    <x v="4"/>
    <x v="3"/>
    <x v="3"/>
    <x v="0"/>
    <x v="0"/>
    <x v="1"/>
    <x v="0"/>
    <x v="0"/>
    <x v="0"/>
    <x v="0"/>
    <x v="296"/>
    <x v="0"/>
    <x v="0"/>
  </r>
  <r>
    <x v="1292"/>
    <x v="1279"/>
    <x v="1"/>
    <x v="3"/>
    <x v="3"/>
    <x v="0"/>
    <x v="0"/>
    <x v="0"/>
    <x v="0"/>
    <x v="0"/>
    <x v="0"/>
    <x v="0"/>
    <x v="296"/>
    <x v="0"/>
    <x v="0"/>
  </r>
  <r>
    <x v="1293"/>
    <x v="1280"/>
    <x v="4"/>
    <x v="2"/>
    <x v="2"/>
    <x v="0"/>
    <x v="0"/>
    <x v="2"/>
    <x v="0"/>
    <x v="0"/>
    <x v="0"/>
    <x v="0"/>
    <x v="296"/>
    <x v="0"/>
    <x v="0"/>
  </r>
  <r>
    <x v="1294"/>
    <x v="1281"/>
    <x v="4"/>
    <x v="3"/>
    <x v="3"/>
    <x v="0"/>
    <x v="0"/>
    <x v="0"/>
    <x v="0"/>
    <x v="0"/>
    <x v="0"/>
    <x v="0"/>
    <x v="296"/>
    <x v="0"/>
    <x v="0"/>
  </r>
  <r>
    <x v="1295"/>
    <x v="1282"/>
    <x v="4"/>
    <x v="3"/>
    <x v="3"/>
    <x v="0"/>
    <x v="0"/>
    <x v="0"/>
    <x v="0"/>
    <x v="0"/>
    <x v="0"/>
    <x v="0"/>
    <x v="296"/>
    <x v="0"/>
    <x v="0"/>
  </r>
  <r>
    <x v="1296"/>
    <x v="1283"/>
    <x v="4"/>
    <x v="3"/>
    <x v="3"/>
    <x v="0"/>
    <x v="0"/>
    <x v="0"/>
    <x v="0"/>
    <x v="0"/>
    <x v="0"/>
    <x v="0"/>
    <x v="296"/>
    <x v="0"/>
    <x v="0"/>
  </r>
  <r>
    <x v="1297"/>
    <x v="1284"/>
    <x v="11"/>
    <x v="2"/>
    <x v="2"/>
    <x v="0"/>
    <x v="0"/>
    <x v="2"/>
    <x v="0"/>
    <x v="0"/>
    <x v="0"/>
    <x v="0"/>
    <x v="297"/>
    <x v="0"/>
    <x v="0"/>
  </r>
  <r>
    <x v="1298"/>
    <x v="1285"/>
    <x v="4"/>
    <x v="2"/>
    <x v="2"/>
    <x v="0"/>
    <x v="0"/>
    <x v="0"/>
    <x v="0"/>
    <x v="0"/>
    <x v="0"/>
    <x v="0"/>
    <x v="297"/>
    <x v="0"/>
    <x v="0"/>
  </r>
  <r>
    <x v="1299"/>
    <x v="1286"/>
    <x v="11"/>
    <x v="1"/>
    <x v="1"/>
    <x v="0"/>
    <x v="0"/>
    <x v="0"/>
    <x v="0"/>
    <x v="0"/>
    <x v="0"/>
    <x v="0"/>
    <x v="297"/>
    <x v="0"/>
    <x v="0"/>
  </r>
  <r>
    <x v="1300"/>
    <x v="1287"/>
    <x v="4"/>
    <x v="2"/>
    <x v="2"/>
    <x v="0"/>
    <x v="0"/>
    <x v="0"/>
    <x v="0"/>
    <x v="0"/>
    <x v="0"/>
    <x v="0"/>
    <x v="298"/>
    <x v="0"/>
    <x v="0"/>
  </r>
  <r>
    <x v="1301"/>
    <x v="1288"/>
    <x v="4"/>
    <x v="2"/>
    <x v="2"/>
    <x v="0"/>
    <x v="0"/>
    <x v="0"/>
    <x v="0"/>
    <x v="0"/>
    <x v="0"/>
    <x v="0"/>
    <x v="298"/>
    <x v="0"/>
    <x v="0"/>
  </r>
  <r>
    <x v="1302"/>
    <x v="1289"/>
    <x v="4"/>
    <x v="2"/>
    <x v="2"/>
    <x v="0"/>
    <x v="0"/>
    <x v="0"/>
    <x v="0"/>
    <x v="0"/>
    <x v="0"/>
    <x v="0"/>
    <x v="298"/>
    <x v="0"/>
    <x v="0"/>
  </r>
  <r>
    <x v="1303"/>
    <x v="1290"/>
    <x v="4"/>
    <x v="5"/>
    <x v="5"/>
    <x v="0"/>
    <x v="0"/>
    <x v="0"/>
    <x v="0"/>
    <x v="0"/>
    <x v="7"/>
    <x v="0"/>
    <x v="298"/>
    <x v="0"/>
    <x v="0"/>
  </r>
  <r>
    <x v="1304"/>
    <x v="1291"/>
    <x v="4"/>
    <x v="5"/>
    <x v="5"/>
    <x v="0"/>
    <x v="0"/>
    <x v="0"/>
    <x v="0"/>
    <x v="0"/>
    <x v="7"/>
    <x v="0"/>
    <x v="298"/>
    <x v="0"/>
    <x v="0"/>
  </r>
  <r>
    <x v="1305"/>
    <x v="1292"/>
    <x v="4"/>
    <x v="5"/>
    <x v="5"/>
    <x v="0"/>
    <x v="0"/>
    <x v="0"/>
    <x v="0"/>
    <x v="0"/>
    <x v="7"/>
    <x v="0"/>
    <x v="298"/>
    <x v="0"/>
    <x v="0"/>
  </r>
  <r>
    <x v="1306"/>
    <x v="1293"/>
    <x v="4"/>
    <x v="0"/>
    <x v="0"/>
    <x v="0"/>
    <x v="0"/>
    <x v="0"/>
    <x v="0"/>
    <x v="0"/>
    <x v="0"/>
    <x v="0"/>
    <x v="298"/>
    <x v="0"/>
    <x v="0"/>
  </r>
  <r>
    <x v="1307"/>
    <x v="1294"/>
    <x v="4"/>
    <x v="0"/>
    <x v="0"/>
    <x v="0"/>
    <x v="0"/>
    <x v="0"/>
    <x v="0"/>
    <x v="0"/>
    <x v="0"/>
    <x v="0"/>
    <x v="299"/>
    <x v="0"/>
    <x v="0"/>
  </r>
  <r>
    <x v="1308"/>
    <x v="1295"/>
    <x v="1"/>
    <x v="3"/>
    <x v="3"/>
    <x v="0"/>
    <x v="0"/>
    <x v="0"/>
    <x v="0"/>
    <x v="0"/>
    <x v="0"/>
    <x v="0"/>
    <x v="299"/>
    <x v="0"/>
    <x v="0"/>
  </r>
  <r>
    <x v="1309"/>
    <x v="1296"/>
    <x v="1"/>
    <x v="5"/>
    <x v="5"/>
    <x v="0"/>
    <x v="0"/>
    <x v="0"/>
    <x v="0"/>
    <x v="0"/>
    <x v="20"/>
    <x v="0"/>
    <x v="299"/>
    <x v="44"/>
    <x v="0"/>
  </r>
  <r>
    <x v="1310"/>
    <x v="1297"/>
    <x v="4"/>
    <x v="5"/>
    <x v="5"/>
    <x v="0"/>
    <x v="0"/>
    <x v="0"/>
    <x v="0"/>
    <x v="0"/>
    <x v="7"/>
    <x v="0"/>
    <x v="299"/>
    <x v="0"/>
    <x v="0"/>
  </r>
  <r>
    <x v="1311"/>
    <x v="1298"/>
    <x v="4"/>
    <x v="3"/>
    <x v="3"/>
    <x v="0"/>
    <x v="0"/>
    <x v="0"/>
    <x v="0"/>
    <x v="0"/>
    <x v="0"/>
    <x v="0"/>
    <x v="299"/>
    <x v="0"/>
    <x v="0"/>
  </r>
  <r>
    <x v="1312"/>
    <x v="1299"/>
    <x v="0"/>
    <x v="0"/>
    <x v="0"/>
    <x v="0"/>
    <x v="0"/>
    <x v="0"/>
    <x v="0"/>
    <x v="0"/>
    <x v="0"/>
    <x v="0"/>
    <x v="299"/>
    <x v="0"/>
    <x v="0"/>
  </r>
  <r>
    <x v="1313"/>
    <x v="1300"/>
    <x v="1"/>
    <x v="3"/>
    <x v="3"/>
    <x v="0"/>
    <x v="0"/>
    <x v="0"/>
    <x v="0"/>
    <x v="0"/>
    <x v="0"/>
    <x v="0"/>
    <x v="299"/>
    <x v="0"/>
    <x v="0"/>
  </r>
  <r>
    <x v="1314"/>
    <x v="1301"/>
    <x v="4"/>
    <x v="2"/>
    <x v="2"/>
    <x v="0"/>
    <x v="0"/>
    <x v="18"/>
    <x v="0"/>
    <x v="0"/>
    <x v="0"/>
    <x v="0"/>
    <x v="300"/>
    <x v="0"/>
    <x v="0"/>
  </r>
  <r>
    <x v="1315"/>
    <x v="1302"/>
    <x v="4"/>
    <x v="3"/>
    <x v="3"/>
    <x v="0"/>
    <x v="0"/>
    <x v="0"/>
    <x v="0"/>
    <x v="0"/>
    <x v="0"/>
    <x v="0"/>
    <x v="300"/>
    <x v="0"/>
    <x v="0"/>
  </r>
  <r>
    <x v="1316"/>
    <x v="1303"/>
    <x v="4"/>
    <x v="5"/>
    <x v="5"/>
    <x v="0"/>
    <x v="0"/>
    <x v="0"/>
    <x v="0"/>
    <x v="0"/>
    <x v="7"/>
    <x v="0"/>
    <x v="300"/>
    <x v="0"/>
    <x v="0"/>
  </r>
  <r>
    <x v="1317"/>
    <x v="1304"/>
    <x v="4"/>
    <x v="5"/>
    <x v="5"/>
    <x v="0"/>
    <x v="0"/>
    <x v="0"/>
    <x v="0"/>
    <x v="0"/>
    <x v="7"/>
    <x v="0"/>
    <x v="300"/>
    <x v="0"/>
    <x v="0"/>
  </r>
  <r>
    <x v="1318"/>
    <x v="1305"/>
    <x v="4"/>
    <x v="2"/>
    <x v="2"/>
    <x v="0"/>
    <x v="0"/>
    <x v="0"/>
    <x v="0"/>
    <x v="0"/>
    <x v="21"/>
    <x v="0"/>
    <x v="300"/>
    <x v="0"/>
    <x v="0"/>
  </r>
  <r>
    <x v="1319"/>
    <x v="1306"/>
    <x v="1"/>
    <x v="5"/>
    <x v="5"/>
    <x v="0"/>
    <x v="0"/>
    <x v="0"/>
    <x v="0"/>
    <x v="0"/>
    <x v="0"/>
    <x v="0"/>
    <x v="301"/>
    <x v="0"/>
    <x v="0"/>
  </r>
  <r>
    <x v="1320"/>
    <x v="1307"/>
    <x v="4"/>
    <x v="5"/>
    <x v="5"/>
    <x v="0"/>
    <x v="0"/>
    <x v="0"/>
    <x v="0"/>
    <x v="0"/>
    <x v="20"/>
    <x v="0"/>
    <x v="302"/>
    <x v="45"/>
    <x v="0"/>
  </r>
  <r>
    <x v="1321"/>
    <x v="1308"/>
    <x v="1"/>
    <x v="5"/>
    <x v="5"/>
    <x v="0"/>
    <x v="0"/>
    <x v="0"/>
    <x v="0"/>
    <x v="0"/>
    <x v="22"/>
    <x v="0"/>
    <x v="303"/>
    <x v="0"/>
    <x v="0"/>
  </r>
  <r>
    <x v="1322"/>
    <x v="1309"/>
    <x v="11"/>
    <x v="2"/>
    <x v="2"/>
    <x v="0"/>
    <x v="0"/>
    <x v="0"/>
    <x v="0"/>
    <x v="0"/>
    <x v="0"/>
    <x v="0"/>
    <x v="303"/>
    <x v="0"/>
    <x v="0"/>
  </r>
  <r>
    <x v="1323"/>
    <x v="1310"/>
    <x v="1"/>
    <x v="3"/>
    <x v="3"/>
    <x v="0"/>
    <x v="0"/>
    <x v="0"/>
    <x v="0"/>
    <x v="0"/>
    <x v="0"/>
    <x v="0"/>
    <x v="303"/>
    <x v="0"/>
    <x v="0"/>
  </r>
  <r>
    <x v="1324"/>
    <x v="1311"/>
    <x v="4"/>
    <x v="5"/>
    <x v="5"/>
    <x v="0"/>
    <x v="0"/>
    <x v="0"/>
    <x v="0"/>
    <x v="0"/>
    <x v="23"/>
    <x v="0"/>
    <x v="303"/>
    <x v="46"/>
    <x v="0"/>
  </r>
  <r>
    <x v="1325"/>
    <x v="1312"/>
    <x v="4"/>
    <x v="3"/>
    <x v="3"/>
    <x v="0"/>
    <x v="0"/>
    <x v="19"/>
    <x v="0"/>
    <x v="0"/>
    <x v="0"/>
    <x v="0"/>
    <x v="303"/>
    <x v="0"/>
    <x v="0"/>
  </r>
  <r>
    <x v="1326"/>
    <x v="1313"/>
    <x v="4"/>
    <x v="5"/>
    <x v="5"/>
    <x v="0"/>
    <x v="0"/>
    <x v="0"/>
    <x v="0"/>
    <x v="0"/>
    <x v="0"/>
    <x v="32"/>
    <x v="303"/>
    <x v="44"/>
    <x v="0"/>
  </r>
  <r>
    <x v="1327"/>
    <x v="1314"/>
    <x v="1"/>
    <x v="5"/>
    <x v="5"/>
    <x v="0"/>
    <x v="0"/>
    <x v="0"/>
    <x v="0"/>
    <x v="0"/>
    <x v="22"/>
    <x v="0"/>
    <x v="303"/>
    <x v="0"/>
    <x v="0"/>
  </r>
  <r>
    <x v="1328"/>
    <x v="1315"/>
    <x v="1"/>
    <x v="5"/>
    <x v="5"/>
    <x v="0"/>
    <x v="1"/>
    <x v="0"/>
    <x v="0"/>
    <x v="0"/>
    <x v="7"/>
    <x v="0"/>
    <x v="303"/>
    <x v="0"/>
    <x v="0"/>
  </r>
  <r>
    <x v="1329"/>
    <x v="1316"/>
    <x v="1"/>
    <x v="5"/>
    <x v="5"/>
    <x v="0"/>
    <x v="1"/>
    <x v="0"/>
    <x v="0"/>
    <x v="0"/>
    <x v="7"/>
    <x v="0"/>
    <x v="303"/>
    <x v="0"/>
    <x v="0"/>
  </r>
  <r>
    <x v="1330"/>
    <x v="1317"/>
    <x v="3"/>
    <x v="0"/>
    <x v="0"/>
    <x v="0"/>
    <x v="0"/>
    <x v="0"/>
    <x v="0"/>
    <x v="0"/>
    <x v="0"/>
    <x v="0"/>
    <x v="303"/>
    <x v="0"/>
    <x v="0"/>
  </r>
  <r>
    <x v="1331"/>
    <x v="1318"/>
    <x v="11"/>
    <x v="2"/>
    <x v="2"/>
    <x v="0"/>
    <x v="0"/>
    <x v="0"/>
    <x v="0"/>
    <x v="0"/>
    <x v="0"/>
    <x v="0"/>
    <x v="304"/>
    <x v="0"/>
    <x v="0"/>
  </r>
  <r>
    <x v="1332"/>
    <x v="1319"/>
    <x v="11"/>
    <x v="1"/>
    <x v="1"/>
    <x v="0"/>
    <x v="0"/>
    <x v="0"/>
    <x v="0"/>
    <x v="0"/>
    <x v="0"/>
    <x v="0"/>
    <x v="304"/>
    <x v="0"/>
    <x v="0"/>
  </r>
  <r>
    <x v="1333"/>
    <x v="1320"/>
    <x v="1"/>
    <x v="5"/>
    <x v="5"/>
    <x v="0"/>
    <x v="4"/>
    <x v="0"/>
    <x v="0"/>
    <x v="0"/>
    <x v="23"/>
    <x v="0"/>
    <x v="304"/>
    <x v="0"/>
    <x v="0"/>
  </r>
  <r>
    <x v="1334"/>
    <x v="1321"/>
    <x v="1"/>
    <x v="5"/>
    <x v="5"/>
    <x v="0"/>
    <x v="4"/>
    <x v="0"/>
    <x v="0"/>
    <x v="0"/>
    <x v="23"/>
    <x v="0"/>
    <x v="304"/>
    <x v="0"/>
    <x v="0"/>
  </r>
  <r>
    <x v="1335"/>
    <x v="1322"/>
    <x v="1"/>
    <x v="2"/>
    <x v="2"/>
    <x v="0"/>
    <x v="4"/>
    <x v="0"/>
    <x v="0"/>
    <x v="0"/>
    <x v="23"/>
    <x v="0"/>
    <x v="304"/>
    <x v="0"/>
    <x v="0"/>
  </r>
  <r>
    <x v="1336"/>
    <x v="1323"/>
    <x v="1"/>
    <x v="5"/>
    <x v="5"/>
    <x v="0"/>
    <x v="3"/>
    <x v="0"/>
    <x v="0"/>
    <x v="0"/>
    <x v="23"/>
    <x v="0"/>
    <x v="304"/>
    <x v="0"/>
    <x v="0"/>
  </r>
  <r>
    <x v="1337"/>
    <x v="1324"/>
    <x v="1"/>
    <x v="5"/>
    <x v="5"/>
    <x v="0"/>
    <x v="2"/>
    <x v="0"/>
    <x v="0"/>
    <x v="0"/>
    <x v="23"/>
    <x v="0"/>
    <x v="304"/>
    <x v="0"/>
    <x v="0"/>
  </r>
  <r>
    <x v="1338"/>
    <x v="1325"/>
    <x v="1"/>
    <x v="5"/>
    <x v="5"/>
    <x v="0"/>
    <x v="0"/>
    <x v="0"/>
    <x v="0"/>
    <x v="0"/>
    <x v="23"/>
    <x v="0"/>
    <x v="304"/>
    <x v="0"/>
    <x v="0"/>
  </r>
  <r>
    <x v="1339"/>
    <x v="1326"/>
    <x v="4"/>
    <x v="5"/>
    <x v="5"/>
    <x v="0"/>
    <x v="2"/>
    <x v="0"/>
    <x v="0"/>
    <x v="0"/>
    <x v="7"/>
    <x v="0"/>
    <x v="304"/>
    <x v="0"/>
    <x v="0"/>
  </r>
  <r>
    <x v="1340"/>
    <x v="1327"/>
    <x v="4"/>
    <x v="5"/>
    <x v="5"/>
    <x v="0"/>
    <x v="3"/>
    <x v="0"/>
    <x v="0"/>
    <x v="0"/>
    <x v="7"/>
    <x v="0"/>
    <x v="304"/>
    <x v="0"/>
    <x v="0"/>
  </r>
  <r>
    <x v="1341"/>
    <x v="1328"/>
    <x v="4"/>
    <x v="5"/>
    <x v="5"/>
    <x v="0"/>
    <x v="3"/>
    <x v="2"/>
    <x v="0"/>
    <x v="0"/>
    <x v="20"/>
    <x v="0"/>
    <x v="304"/>
    <x v="0"/>
    <x v="0"/>
  </r>
  <r>
    <x v="1342"/>
    <x v="1329"/>
    <x v="4"/>
    <x v="5"/>
    <x v="5"/>
    <x v="0"/>
    <x v="3"/>
    <x v="0"/>
    <x v="0"/>
    <x v="0"/>
    <x v="23"/>
    <x v="0"/>
    <x v="304"/>
    <x v="0"/>
    <x v="0"/>
  </r>
  <r>
    <x v="1343"/>
    <x v="1330"/>
    <x v="1"/>
    <x v="5"/>
    <x v="5"/>
    <x v="0"/>
    <x v="4"/>
    <x v="0"/>
    <x v="0"/>
    <x v="0"/>
    <x v="23"/>
    <x v="0"/>
    <x v="304"/>
    <x v="0"/>
    <x v="0"/>
  </r>
  <r>
    <x v="1344"/>
    <x v="1317"/>
    <x v="4"/>
    <x v="2"/>
    <x v="2"/>
    <x v="0"/>
    <x v="0"/>
    <x v="0"/>
    <x v="0"/>
    <x v="0"/>
    <x v="0"/>
    <x v="0"/>
    <x v="304"/>
    <x v="0"/>
    <x v="0"/>
  </r>
  <r>
    <x v="1345"/>
    <x v="1317"/>
    <x v="4"/>
    <x v="0"/>
    <x v="0"/>
    <x v="0"/>
    <x v="0"/>
    <x v="0"/>
    <x v="0"/>
    <x v="0"/>
    <x v="0"/>
    <x v="0"/>
    <x v="304"/>
    <x v="0"/>
    <x v="0"/>
  </r>
  <r>
    <x v="1346"/>
    <x v="1331"/>
    <x v="4"/>
    <x v="2"/>
    <x v="2"/>
    <x v="0"/>
    <x v="0"/>
    <x v="0"/>
    <x v="0"/>
    <x v="0"/>
    <x v="24"/>
    <x v="0"/>
    <x v="305"/>
    <x v="0"/>
    <x v="0"/>
  </r>
  <r>
    <x v="1347"/>
    <x v="1332"/>
    <x v="4"/>
    <x v="0"/>
    <x v="0"/>
    <x v="0"/>
    <x v="0"/>
    <x v="0"/>
    <x v="0"/>
    <x v="0"/>
    <x v="0"/>
    <x v="0"/>
    <x v="305"/>
    <x v="0"/>
    <x v="0"/>
  </r>
  <r>
    <x v="1348"/>
    <x v="1333"/>
    <x v="4"/>
    <x v="2"/>
    <x v="2"/>
    <x v="0"/>
    <x v="0"/>
    <x v="2"/>
    <x v="0"/>
    <x v="0"/>
    <x v="0"/>
    <x v="0"/>
    <x v="305"/>
    <x v="47"/>
    <x v="0"/>
  </r>
  <r>
    <x v="1349"/>
    <x v="1334"/>
    <x v="4"/>
    <x v="2"/>
    <x v="2"/>
    <x v="0"/>
    <x v="0"/>
    <x v="3"/>
    <x v="0"/>
    <x v="0"/>
    <x v="0"/>
    <x v="0"/>
    <x v="305"/>
    <x v="37"/>
    <x v="0"/>
  </r>
  <r>
    <x v="1350"/>
    <x v="1335"/>
    <x v="4"/>
    <x v="2"/>
    <x v="2"/>
    <x v="0"/>
    <x v="0"/>
    <x v="3"/>
    <x v="0"/>
    <x v="0"/>
    <x v="0"/>
    <x v="0"/>
    <x v="305"/>
    <x v="48"/>
    <x v="0"/>
  </r>
  <r>
    <x v="1351"/>
    <x v="1336"/>
    <x v="4"/>
    <x v="2"/>
    <x v="2"/>
    <x v="0"/>
    <x v="0"/>
    <x v="0"/>
    <x v="0"/>
    <x v="0"/>
    <x v="24"/>
    <x v="0"/>
    <x v="306"/>
    <x v="0"/>
    <x v="0"/>
  </r>
  <r>
    <x v="1352"/>
    <x v="1337"/>
    <x v="11"/>
    <x v="2"/>
    <x v="2"/>
    <x v="0"/>
    <x v="0"/>
    <x v="0"/>
    <x v="0"/>
    <x v="0"/>
    <x v="0"/>
    <x v="0"/>
    <x v="306"/>
    <x v="0"/>
    <x v="0"/>
  </r>
  <r>
    <x v="1353"/>
    <x v="1338"/>
    <x v="4"/>
    <x v="2"/>
    <x v="2"/>
    <x v="0"/>
    <x v="0"/>
    <x v="0"/>
    <x v="0"/>
    <x v="0"/>
    <x v="21"/>
    <x v="0"/>
    <x v="306"/>
    <x v="0"/>
    <x v="0"/>
  </r>
  <r>
    <x v="1354"/>
    <x v="1339"/>
    <x v="4"/>
    <x v="2"/>
    <x v="2"/>
    <x v="0"/>
    <x v="0"/>
    <x v="0"/>
    <x v="0"/>
    <x v="0"/>
    <x v="24"/>
    <x v="0"/>
    <x v="306"/>
    <x v="0"/>
    <x v="0"/>
  </r>
  <r>
    <x v="1355"/>
    <x v="1340"/>
    <x v="12"/>
    <x v="0"/>
    <x v="0"/>
    <x v="0"/>
    <x v="0"/>
    <x v="0"/>
    <x v="0"/>
    <x v="0"/>
    <x v="0"/>
    <x v="0"/>
    <x v="307"/>
    <x v="0"/>
    <x v="0"/>
  </r>
  <r>
    <x v="1356"/>
    <x v="1341"/>
    <x v="12"/>
    <x v="0"/>
    <x v="0"/>
    <x v="0"/>
    <x v="0"/>
    <x v="0"/>
    <x v="0"/>
    <x v="0"/>
    <x v="0"/>
    <x v="0"/>
    <x v="307"/>
    <x v="0"/>
    <x v="0"/>
  </r>
  <r>
    <x v="1357"/>
    <x v="1342"/>
    <x v="12"/>
    <x v="0"/>
    <x v="0"/>
    <x v="0"/>
    <x v="0"/>
    <x v="0"/>
    <x v="0"/>
    <x v="0"/>
    <x v="0"/>
    <x v="0"/>
    <x v="307"/>
    <x v="0"/>
    <x v="0"/>
  </r>
  <r>
    <x v="1358"/>
    <x v="1343"/>
    <x v="4"/>
    <x v="2"/>
    <x v="2"/>
    <x v="0"/>
    <x v="0"/>
    <x v="0"/>
    <x v="0"/>
    <x v="0"/>
    <x v="0"/>
    <x v="0"/>
    <x v="307"/>
    <x v="0"/>
    <x v="0"/>
  </r>
  <r>
    <x v="1359"/>
    <x v="1344"/>
    <x v="4"/>
    <x v="2"/>
    <x v="2"/>
    <x v="0"/>
    <x v="0"/>
    <x v="0"/>
    <x v="0"/>
    <x v="0"/>
    <x v="0"/>
    <x v="0"/>
    <x v="307"/>
    <x v="0"/>
    <x v="0"/>
  </r>
  <r>
    <x v="1360"/>
    <x v="1345"/>
    <x v="4"/>
    <x v="2"/>
    <x v="2"/>
    <x v="0"/>
    <x v="0"/>
    <x v="0"/>
    <x v="0"/>
    <x v="0"/>
    <x v="0"/>
    <x v="0"/>
    <x v="307"/>
    <x v="0"/>
    <x v="0"/>
  </r>
  <r>
    <x v="1361"/>
    <x v="1346"/>
    <x v="4"/>
    <x v="2"/>
    <x v="2"/>
    <x v="0"/>
    <x v="0"/>
    <x v="0"/>
    <x v="0"/>
    <x v="0"/>
    <x v="7"/>
    <x v="0"/>
    <x v="307"/>
    <x v="0"/>
    <x v="0"/>
  </r>
  <r>
    <x v="1362"/>
    <x v="1347"/>
    <x v="4"/>
    <x v="2"/>
    <x v="2"/>
    <x v="0"/>
    <x v="0"/>
    <x v="0"/>
    <x v="0"/>
    <x v="0"/>
    <x v="0"/>
    <x v="0"/>
    <x v="307"/>
    <x v="0"/>
    <x v="0"/>
  </r>
  <r>
    <x v="1363"/>
    <x v="1348"/>
    <x v="4"/>
    <x v="2"/>
    <x v="2"/>
    <x v="0"/>
    <x v="0"/>
    <x v="0"/>
    <x v="0"/>
    <x v="0"/>
    <x v="0"/>
    <x v="0"/>
    <x v="307"/>
    <x v="0"/>
    <x v="0"/>
  </r>
  <r>
    <x v="1364"/>
    <x v="1349"/>
    <x v="4"/>
    <x v="2"/>
    <x v="2"/>
    <x v="0"/>
    <x v="0"/>
    <x v="0"/>
    <x v="0"/>
    <x v="0"/>
    <x v="0"/>
    <x v="0"/>
    <x v="307"/>
    <x v="0"/>
    <x v="0"/>
  </r>
  <r>
    <x v="1365"/>
    <x v="1350"/>
    <x v="4"/>
    <x v="0"/>
    <x v="0"/>
    <x v="0"/>
    <x v="0"/>
    <x v="0"/>
    <x v="0"/>
    <x v="0"/>
    <x v="0"/>
    <x v="0"/>
    <x v="308"/>
    <x v="0"/>
    <x v="0"/>
  </r>
  <r>
    <x v="1366"/>
    <x v="1351"/>
    <x v="12"/>
    <x v="0"/>
    <x v="0"/>
    <x v="0"/>
    <x v="0"/>
    <x v="0"/>
    <x v="0"/>
    <x v="0"/>
    <x v="0"/>
    <x v="0"/>
    <x v="308"/>
    <x v="0"/>
    <x v="0"/>
  </r>
  <r>
    <x v="1367"/>
    <x v="1352"/>
    <x v="12"/>
    <x v="0"/>
    <x v="0"/>
    <x v="0"/>
    <x v="0"/>
    <x v="0"/>
    <x v="0"/>
    <x v="0"/>
    <x v="0"/>
    <x v="0"/>
    <x v="308"/>
    <x v="0"/>
    <x v="0"/>
  </r>
  <r>
    <x v="1368"/>
    <x v="1353"/>
    <x v="1"/>
    <x v="5"/>
    <x v="5"/>
    <x v="0"/>
    <x v="0"/>
    <x v="1"/>
    <x v="0"/>
    <x v="0"/>
    <x v="0"/>
    <x v="0"/>
    <x v="308"/>
    <x v="49"/>
    <x v="0"/>
  </r>
  <r>
    <x v="1369"/>
    <x v="1354"/>
    <x v="11"/>
    <x v="2"/>
    <x v="2"/>
    <x v="0"/>
    <x v="0"/>
    <x v="0"/>
    <x v="0"/>
    <x v="0"/>
    <x v="0"/>
    <x v="0"/>
    <x v="308"/>
    <x v="0"/>
    <x v="0"/>
  </r>
  <r>
    <x v="1370"/>
    <x v="1355"/>
    <x v="4"/>
    <x v="2"/>
    <x v="2"/>
    <x v="0"/>
    <x v="0"/>
    <x v="7"/>
    <x v="0"/>
    <x v="0"/>
    <x v="0"/>
    <x v="0"/>
    <x v="308"/>
    <x v="0"/>
    <x v="0"/>
  </r>
  <r>
    <x v="1371"/>
    <x v="1356"/>
    <x v="4"/>
    <x v="2"/>
    <x v="2"/>
    <x v="0"/>
    <x v="0"/>
    <x v="7"/>
    <x v="0"/>
    <x v="0"/>
    <x v="0"/>
    <x v="0"/>
    <x v="308"/>
    <x v="0"/>
    <x v="0"/>
  </r>
  <r>
    <x v="1372"/>
    <x v="1357"/>
    <x v="4"/>
    <x v="2"/>
    <x v="2"/>
    <x v="0"/>
    <x v="0"/>
    <x v="0"/>
    <x v="0"/>
    <x v="0"/>
    <x v="0"/>
    <x v="0"/>
    <x v="308"/>
    <x v="0"/>
    <x v="0"/>
  </r>
  <r>
    <x v="1373"/>
    <x v="1358"/>
    <x v="1"/>
    <x v="5"/>
    <x v="5"/>
    <x v="0"/>
    <x v="0"/>
    <x v="3"/>
    <x v="0"/>
    <x v="0"/>
    <x v="23"/>
    <x v="0"/>
    <x v="309"/>
    <x v="0"/>
    <x v="0"/>
  </r>
  <r>
    <x v="1374"/>
    <x v="1359"/>
    <x v="1"/>
    <x v="5"/>
    <x v="5"/>
    <x v="0"/>
    <x v="0"/>
    <x v="0"/>
    <x v="0"/>
    <x v="0"/>
    <x v="23"/>
    <x v="0"/>
    <x v="309"/>
    <x v="0"/>
    <x v="0"/>
  </r>
  <r>
    <x v="1375"/>
    <x v="1360"/>
    <x v="1"/>
    <x v="3"/>
    <x v="3"/>
    <x v="0"/>
    <x v="0"/>
    <x v="0"/>
    <x v="0"/>
    <x v="0"/>
    <x v="0"/>
    <x v="0"/>
    <x v="309"/>
    <x v="0"/>
    <x v="0"/>
  </r>
  <r>
    <x v="1376"/>
    <x v="1361"/>
    <x v="1"/>
    <x v="3"/>
    <x v="3"/>
    <x v="0"/>
    <x v="0"/>
    <x v="0"/>
    <x v="0"/>
    <x v="0"/>
    <x v="0"/>
    <x v="0"/>
    <x v="309"/>
    <x v="0"/>
    <x v="0"/>
  </r>
  <r>
    <x v="1377"/>
    <x v="1362"/>
    <x v="1"/>
    <x v="3"/>
    <x v="3"/>
    <x v="0"/>
    <x v="0"/>
    <x v="0"/>
    <x v="0"/>
    <x v="0"/>
    <x v="0"/>
    <x v="0"/>
    <x v="309"/>
    <x v="0"/>
    <x v="0"/>
  </r>
  <r>
    <x v="1378"/>
    <x v="1363"/>
    <x v="4"/>
    <x v="2"/>
    <x v="2"/>
    <x v="0"/>
    <x v="0"/>
    <x v="0"/>
    <x v="0"/>
    <x v="0"/>
    <x v="21"/>
    <x v="0"/>
    <x v="310"/>
    <x v="0"/>
    <x v="0"/>
  </r>
  <r>
    <x v="1379"/>
    <x v="1364"/>
    <x v="4"/>
    <x v="2"/>
    <x v="2"/>
    <x v="0"/>
    <x v="0"/>
    <x v="0"/>
    <x v="0"/>
    <x v="0"/>
    <x v="21"/>
    <x v="0"/>
    <x v="310"/>
    <x v="0"/>
    <x v="0"/>
  </r>
  <r>
    <x v="1380"/>
    <x v="1365"/>
    <x v="4"/>
    <x v="2"/>
    <x v="2"/>
    <x v="0"/>
    <x v="0"/>
    <x v="0"/>
    <x v="0"/>
    <x v="0"/>
    <x v="21"/>
    <x v="0"/>
    <x v="310"/>
    <x v="0"/>
    <x v="0"/>
  </r>
  <r>
    <x v="1381"/>
    <x v="1366"/>
    <x v="4"/>
    <x v="2"/>
    <x v="2"/>
    <x v="0"/>
    <x v="0"/>
    <x v="0"/>
    <x v="0"/>
    <x v="0"/>
    <x v="21"/>
    <x v="0"/>
    <x v="310"/>
    <x v="0"/>
    <x v="0"/>
  </r>
  <r>
    <x v="1382"/>
    <x v="1367"/>
    <x v="4"/>
    <x v="2"/>
    <x v="2"/>
    <x v="0"/>
    <x v="0"/>
    <x v="0"/>
    <x v="0"/>
    <x v="0"/>
    <x v="0"/>
    <x v="0"/>
    <x v="310"/>
    <x v="0"/>
    <x v="0"/>
  </r>
  <r>
    <x v="1383"/>
    <x v="1368"/>
    <x v="4"/>
    <x v="2"/>
    <x v="2"/>
    <x v="0"/>
    <x v="0"/>
    <x v="0"/>
    <x v="0"/>
    <x v="0"/>
    <x v="0"/>
    <x v="0"/>
    <x v="310"/>
    <x v="0"/>
    <x v="0"/>
  </r>
  <r>
    <x v="1384"/>
    <x v="1369"/>
    <x v="4"/>
    <x v="2"/>
    <x v="2"/>
    <x v="0"/>
    <x v="0"/>
    <x v="0"/>
    <x v="0"/>
    <x v="0"/>
    <x v="0"/>
    <x v="0"/>
    <x v="310"/>
    <x v="0"/>
    <x v="0"/>
  </r>
  <r>
    <x v="1385"/>
    <x v="1370"/>
    <x v="4"/>
    <x v="3"/>
    <x v="3"/>
    <x v="0"/>
    <x v="0"/>
    <x v="0"/>
    <x v="0"/>
    <x v="0"/>
    <x v="0"/>
    <x v="0"/>
    <x v="310"/>
    <x v="0"/>
    <x v="0"/>
  </r>
  <r>
    <x v="1386"/>
    <x v="1371"/>
    <x v="4"/>
    <x v="2"/>
    <x v="2"/>
    <x v="0"/>
    <x v="0"/>
    <x v="0"/>
    <x v="0"/>
    <x v="0"/>
    <x v="0"/>
    <x v="0"/>
    <x v="310"/>
    <x v="0"/>
    <x v="0"/>
  </r>
  <r>
    <x v="1387"/>
    <x v="1372"/>
    <x v="12"/>
    <x v="0"/>
    <x v="0"/>
    <x v="0"/>
    <x v="0"/>
    <x v="0"/>
    <x v="0"/>
    <x v="0"/>
    <x v="0"/>
    <x v="0"/>
    <x v="310"/>
    <x v="0"/>
    <x v="0"/>
  </r>
  <r>
    <x v="1388"/>
    <x v="1373"/>
    <x v="4"/>
    <x v="0"/>
    <x v="0"/>
    <x v="0"/>
    <x v="0"/>
    <x v="0"/>
    <x v="0"/>
    <x v="0"/>
    <x v="0"/>
    <x v="0"/>
    <x v="310"/>
    <x v="0"/>
    <x v="0"/>
  </r>
  <r>
    <x v="1389"/>
    <x v="1374"/>
    <x v="12"/>
    <x v="0"/>
    <x v="0"/>
    <x v="0"/>
    <x v="0"/>
    <x v="0"/>
    <x v="0"/>
    <x v="0"/>
    <x v="0"/>
    <x v="0"/>
    <x v="310"/>
    <x v="0"/>
    <x v="0"/>
  </r>
  <r>
    <x v="1390"/>
    <x v="1375"/>
    <x v="4"/>
    <x v="0"/>
    <x v="0"/>
    <x v="0"/>
    <x v="0"/>
    <x v="0"/>
    <x v="0"/>
    <x v="0"/>
    <x v="0"/>
    <x v="0"/>
    <x v="310"/>
    <x v="0"/>
    <x v="0"/>
  </r>
  <r>
    <x v="1391"/>
    <x v="1376"/>
    <x v="4"/>
    <x v="2"/>
    <x v="2"/>
    <x v="0"/>
    <x v="0"/>
    <x v="0"/>
    <x v="0"/>
    <x v="0"/>
    <x v="21"/>
    <x v="0"/>
    <x v="311"/>
    <x v="0"/>
    <x v="0"/>
  </r>
  <r>
    <x v="1392"/>
    <x v="1377"/>
    <x v="4"/>
    <x v="2"/>
    <x v="2"/>
    <x v="0"/>
    <x v="0"/>
    <x v="0"/>
    <x v="0"/>
    <x v="0"/>
    <x v="21"/>
    <x v="0"/>
    <x v="311"/>
    <x v="0"/>
    <x v="0"/>
  </r>
  <r>
    <x v="1393"/>
    <x v="1378"/>
    <x v="4"/>
    <x v="2"/>
    <x v="2"/>
    <x v="0"/>
    <x v="0"/>
    <x v="0"/>
    <x v="0"/>
    <x v="0"/>
    <x v="21"/>
    <x v="0"/>
    <x v="311"/>
    <x v="0"/>
    <x v="0"/>
  </r>
  <r>
    <x v="1394"/>
    <x v="1379"/>
    <x v="1"/>
    <x v="5"/>
    <x v="5"/>
    <x v="0"/>
    <x v="0"/>
    <x v="1"/>
    <x v="0"/>
    <x v="0"/>
    <x v="22"/>
    <x v="0"/>
    <x v="311"/>
    <x v="0"/>
    <x v="0"/>
  </r>
  <r>
    <x v="1395"/>
    <x v="1380"/>
    <x v="4"/>
    <x v="5"/>
    <x v="5"/>
    <x v="0"/>
    <x v="0"/>
    <x v="2"/>
    <x v="0"/>
    <x v="0"/>
    <x v="0"/>
    <x v="31"/>
    <x v="311"/>
    <x v="41"/>
    <x v="0"/>
  </r>
  <r>
    <x v="1396"/>
    <x v="1381"/>
    <x v="4"/>
    <x v="5"/>
    <x v="5"/>
    <x v="0"/>
    <x v="0"/>
    <x v="0"/>
    <x v="0"/>
    <x v="0"/>
    <x v="0"/>
    <x v="0"/>
    <x v="311"/>
    <x v="49"/>
    <x v="0"/>
  </r>
  <r>
    <x v="1397"/>
    <x v="1382"/>
    <x v="4"/>
    <x v="3"/>
    <x v="3"/>
    <x v="0"/>
    <x v="0"/>
    <x v="20"/>
    <x v="0"/>
    <x v="0"/>
    <x v="0"/>
    <x v="0"/>
    <x v="311"/>
    <x v="0"/>
    <x v="0"/>
  </r>
  <r>
    <x v="1398"/>
    <x v="1383"/>
    <x v="11"/>
    <x v="2"/>
    <x v="2"/>
    <x v="0"/>
    <x v="0"/>
    <x v="0"/>
    <x v="0"/>
    <x v="0"/>
    <x v="0"/>
    <x v="0"/>
    <x v="311"/>
    <x v="0"/>
    <x v="0"/>
  </r>
  <r>
    <x v="1399"/>
    <x v="1384"/>
    <x v="4"/>
    <x v="3"/>
    <x v="3"/>
    <x v="0"/>
    <x v="0"/>
    <x v="21"/>
    <x v="0"/>
    <x v="0"/>
    <x v="0"/>
    <x v="0"/>
    <x v="311"/>
    <x v="0"/>
    <x v="0"/>
  </r>
  <r>
    <x v="1400"/>
    <x v="1385"/>
    <x v="4"/>
    <x v="3"/>
    <x v="3"/>
    <x v="0"/>
    <x v="0"/>
    <x v="0"/>
    <x v="0"/>
    <x v="0"/>
    <x v="0"/>
    <x v="0"/>
    <x v="311"/>
    <x v="0"/>
    <x v="0"/>
  </r>
  <r>
    <x v="1401"/>
    <x v="1386"/>
    <x v="2"/>
    <x v="3"/>
    <x v="3"/>
    <x v="0"/>
    <x v="0"/>
    <x v="0"/>
    <x v="0"/>
    <x v="0"/>
    <x v="0"/>
    <x v="0"/>
    <x v="311"/>
    <x v="0"/>
    <x v="0"/>
  </r>
  <r>
    <x v="1402"/>
    <x v="1387"/>
    <x v="3"/>
    <x v="0"/>
    <x v="0"/>
    <x v="0"/>
    <x v="0"/>
    <x v="0"/>
    <x v="0"/>
    <x v="0"/>
    <x v="0"/>
    <x v="0"/>
    <x v="311"/>
    <x v="0"/>
    <x v="0"/>
  </r>
  <r>
    <x v="1403"/>
    <x v="1388"/>
    <x v="3"/>
    <x v="0"/>
    <x v="0"/>
    <x v="0"/>
    <x v="0"/>
    <x v="0"/>
    <x v="0"/>
    <x v="0"/>
    <x v="0"/>
    <x v="0"/>
    <x v="311"/>
    <x v="0"/>
    <x v="0"/>
  </r>
  <r>
    <x v="1404"/>
    <x v="1389"/>
    <x v="4"/>
    <x v="0"/>
    <x v="0"/>
    <x v="0"/>
    <x v="0"/>
    <x v="0"/>
    <x v="0"/>
    <x v="0"/>
    <x v="0"/>
    <x v="0"/>
    <x v="311"/>
    <x v="0"/>
    <x v="0"/>
  </r>
  <r>
    <x v="1405"/>
    <x v="1390"/>
    <x v="4"/>
    <x v="5"/>
    <x v="5"/>
    <x v="0"/>
    <x v="0"/>
    <x v="1"/>
    <x v="0"/>
    <x v="0"/>
    <x v="22"/>
    <x v="33"/>
    <x v="311"/>
    <x v="50"/>
    <x v="3"/>
  </r>
  <r>
    <x v="1406"/>
    <x v="1391"/>
    <x v="11"/>
    <x v="2"/>
    <x v="2"/>
    <x v="0"/>
    <x v="0"/>
    <x v="2"/>
    <x v="0"/>
    <x v="0"/>
    <x v="0"/>
    <x v="0"/>
    <x v="311"/>
    <x v="0"/>
    <x v="0"/>
  </r>
  <r>
    <x v="1407"/>
    <x v="1392"/>
    <x v="11"/>
    <x v="2"/>
    <x v="2"/>
    <x v="0"/>
    <x v="0"/>
    <x v="1"/>
    <x v="0"/>
    <x v="0"/>
    <x v="0"/>
    <x v="0"/>
    <x v="311"/>
    <x v="0"/>
    <x v="0"/>
  </r>
  <r>
    <x v="1408"/>
    <x v="1393"/>
    <x v="11"/>
    <x v="2"/>
    <x v="2"/>
    <x v="0"/>
    <x v="0"/>
    <x v="1"/>
    <x v="0"/>
    <x v="0"/>
    <x v="0"/>
    <x v="0"/>
    <x v="311"/>
    <x v="0"/>
    <x v="0"/>
  </r>
  <r>
    <x v="1409"/>
    <x v="1394"/>
    <x v="11"/>
    <x v="2"/>
    <x v="2"/>
    <x v="0"/>
    <x v="0"/>
    <x v="1"/>
    <x v="0"/>
    <x v="0"/>
    <x v="0"/>
    <x v="0"/>
    <x v="311"/>
    <x v="0"/>
    <x v="0"/>
  </r>
  <r>
    <x v="1410"/>
    <x v="1395"/>
    <x v="13"/>
    <x v="0"/>
    <x v="0"/>
    <x v="0"/>
    <x v="0"/>
    <x v="0"/>
    <x v="0"/>
    <x v="0"/>
    <x v="25"/>
    <x v="0"/>
    <x v="311"/>
    <x v="0"/>
    <x v="0"/>
  </r>
  <r>
    <x v="1411"/>
    <x v="1396"/>
    <x v="4"/>
    <x v="2"/>
    <x v="2"/>
    <x v="0"/>
    <x v="0"/>
    <x v="0"/>
    <x v="0"/>
    <x v="0"/>
    <x v="0"/>
    <x v="0"/>
    <x v="311"/>
    <x v="0"/>
    <x v="0"/>
  </r>
  <r>
    <x v="1412"/>
    <x v="1397"/>
    <x v="11"/>
    <x v="2"/>
    <x v="2"/>
    <x v="0"/>
    <x v="0"/>
    <x v="1"/>
    <x v="0"/>
    <x v="0"/>
    <x v="0"/>
    <x v="0"/>
    <x v="312"/>
    <x v="0"/>
    <x v="0"/>
  </r>
  <r>
    <x v="1413"/>
    <x v="1398"/>
    <x v="3"/>
    <x v="0"/>
    <x v="0"/>
    <x v="0"/>
    <x v="0"/>
    <x v="0"/>
    <x v="0"/>
    <x v="0"/>
    <x v="0"/>
    <x v="0"/>
    <x v="313"/>
    <x v="0"/>
    <x v="0"/>
  </r>
  <r>
    <x v="1414"/>
    <x v="1399"/>
    <x v="1"/>
    <x v="3"/>
    <x v="3"/>
    <x v="0"/>
    <x v="0"/>
    <x v="0"/>
    <x v="0"/>
    <x v="0"/>
    <x v="0"/>
    <x v="0"/>
    <x v="313"/>
    <x v="0"/>
    <x v="0"/>
  </r>
  <r>
    <x v="1415"/>
    <x v="1400"/>
    <x v="4"/>
    <x v="3"/>
    <x v="3"/>
    <x v="0"/>
    <x v="0"/>
    <x v="14"/>
    <x v="0"/>
    <x v="0"/>
    <x v="0"/>
    <x v="0"/>
    <x v="313"/>
    <x v="0"/>
    <x v="0"/>
  </r>
  <r>
    <x v="1416"/>
    <x v="1401"/>
    <x v="9"/>
    <x v="0"/>
    <x v="0"/>
    <x v="0"/>
    <x v="0"/>
    <x v="0"/>
    <x v="0"/>
    <x v="0"/>
    <x v="0"/>
    <x v="34"/>
    <x v="313"/>
    <x v="0"/>
    <x v="0"/>
  </r>
  <r>
    <x v="1417"/>
    <x v="1402"/>
    <x v="1"/>
    <x v="3"/>
    <x v="3"/>
    <x v="0"/>
    <x v="0"/>
    <x v="0"/>
    <x v="0"/>
    <x v="0"/>
    <x v="0"/>
    <x v="0"/>
    <x v="313"/>
    <x v="0"/>
    <x v="0"/>
  </r>
  <r>
    <x v="1418"/>
    <x v="1403"/>
    <x v="12"/>
    <x v="0"/>
    <x v="0"/>
    <x v="0"/>
    <x v="0"/>
    <x v="0"/>
    <x v="0"/>
    <x v="0"/>
    <x v="0"/>
    <x v="0"/>
    <x v="313"/>
    <x v="51"/>
    <x v="0"/>
  </r>
  <r>
    <x v="1419"/>
    <x v="1404"/>
    <x v="9"/>
    <x v="0"/>
    <x v="0"/>
    <x v="0"/>
    <x v="0"/>
    <x v="0"/>
    <x v="0"/>
    <x v="0"/>
    <x v="0"/>
    <x v="0"/>
    <x v="313"/>
    <x v="0"/>
    <x v="0"/>
  </r>
  <r>
    <x v="1420"/>
    <x v="1405"/>
    <x v="9"/>
    <x v="0"/>
    <x v="0"/>
    <x v="0"/>
    <x v="0"/>
    <x v="0"/>
    <x v="0"/>
    <x v="0"/>
    <x v="0"/>
    <x v="34"/>
    <x v="313"/>
    <x v="0"/>
    <x v="0"/>
  </r>
  <r>
    <x v="1421"/>
    <x v="1406"/>
    <x v="9"/>
    <x v="0"/>
    <x v="0"/>
    <x v="0"/>
    <x v="0"/>
    <x v="0"/>
    <x v="0"/>
    <x v="0"/>
    <x v="0"/>
    <x v="34"/>
    <x v="313"/>
    <x v="0"/>
    <x v="0"/>
  </r>
  <r>
    <x v="1422"/>
    <x v="1407"/>
    <x v="9"/>
    <x v="0"/>
    <x v="0"/>
    <x v="0"/>
    <x v="0"/>
    <x v="0"/>
    <x v="0"/>
    <x v="0"/>
    <x v="0"/>
    <x v="34"/>
    <x v="313"/>
    <x v="0"/>
    <x v="0"/>
  </r>
  <r>
    <x v="1423"/>
    <x v="1408"/>
    <x v="9"/>
    <x v="0"/>
    <x v="0"/>
    <x v="0"/>
    <x v="0"/>
    <x v="0"/>
    <x v="0"/>
    <x v="0"/>
    <x v="0"/>
    <x v="34"/>
    <x v="313"/>
    <x v="0"/>
    <x v="0"/>
  </r>
  <r>
    <x v="1424"/>
    <x v="1409"/>
    <x v="9"/>
    <x v="0"/>
    <x v="0"/>
    <x v="0"/>
    <x v="0"/>
    <x v="0"/>
    <x v="0"/>
    <x v="0"/>
    <x v="0"/>
    <x v="34"/>
    <x v="313"/>
    <x v="0"/>
    <x v="0"/>
  </r>
  <r>
    <x v="1425"/>
    <x v="1410"/>
    <x v="4"/>
    <x v="3"/>
    <x v="3"/>
    <x v="0"/>
    <x v="0"/>
    <x v="0"/>
    <x v="0"/>
    <x v="0"/>
    <x v="0"/>
    <x v="0"/>
    <x v="313"/>
    <x v="0"/>
    <x v="0"/>
  </r>
  <r>
    <x v="1426"/>
    <x v="1411"/>
    <x v="11"/>
    <x v="2"/>
    <x v="2"/>
    <x v="0"/>
    <x v="0"/>
    <x v="0"/>
    <x v="0"/>
    <x v="0"/>
    <x v="0"/>
    <x v="0"/>
    <x v="314"/>
    <x v="0"/>
    <x v="0"/>
  </r>
  <r>
    <x v="1427"/>
    <x v="1412"/>
    <x v="4"/>
    <x v="2"/>
    <x v="2"/>
    <x v="0"/>
    <x v="0"/>
    <x v="0"/>
    <x v="0"/>
    <x v="0"/>
    <x v="0"/>
    <x v="35"/>
    <x v="314"/>
    <x v="52"/>
    <x v="0"/>
  </r>
  <r>
    <x v="1428"/>
    <x v="1413"/>
    <x v="1"/>
    <x v="3"/>
    <x v="3"/>
    <x v="0"/>
    <x v="0"/>
    <x v="5"/>
    <x v="0"/>
    <x v="0"/>
    <x v="0"/>
    <x v="0"/>
    <x v="314"/>
    <x v="0"/>
    <x v="0"/>
  </r>
  <r>
    <x v="1429"/>
    <x v="1414"/>
    <x v="9"/>
    <x v="0"/>
    <x v="0"/>
    <x v="0"/>
    <x v="0"/>
    <x v="0"/>
    <x v="0"/>
    <x v="0"/>
    <x v="0"/>
    <x v="36"/>
    <x v="314"/>
    <x v="0"/>
    <x v="0"/>
  </r>
  <r>
    <x v="1430"/>
    <x v="1415"/>
    <x v="9"/>
    <x v="0"/>
    <x v="0"/>
    <x v="0"/>
    <x v="0"/>
    <x v="0"/>
    <x v="0"/>
    <x v="0"/>
    <x v="0"/>
    <x v="36"/>
    <x v="314"/>
    <x v="0"/>
    <x v="0"/>
  </r>
  <r>
    <x v="1431"/>
    <x v="1416"/>
    <x v="9"/>
    <x v="0"/>
    <x v="0"/>
    <x v="0"/>
    <x v="0"/>
    <x v="0"/>
    <x v="0"/>
    <x v="0"/>
    <x v="0"/>
    <x v="36"/>
    <x v="314"/>
    <x v="0"/>
    <x v="0"/>
  </r>
  <r>
    <x v="1432"/>
    <x v="1417"/>
    <x v="9"/>
    <x v="0"/>
    <x v="0"/>
    <x v="0"/>
    <x v="0"/>
    <x v="0"/>
    <x v="0"/>
    <x v="0"/>
    <x v="0"/>
    <x v="36"/>
    <x v="314"/>
    <x v="0"/>
    <x v="0"/>
  </r>
  <r>
    <x v="1433"/>
    <x v="1418"/>
    <x v="9"/>
    <x v="0"/>
    <x v="0"/>
    <x v="0"/>
    <x v="0"/>
    <x v="0"/>
    <x v="0"/>
    <x v="0"/>
    <x v="0"/>
    <x v="36"/>
    <x v="314"/>
    <x v="0"/>
    <x v="0"/>
  </r>
  <r>
    <x v="1434"/>
    <x v="1419"/>
    <x v="9"/>
    <x v="0"/>
    <x v="0"/>
    <x v="0"/>
    <x v="0"/>
    <x v="0"/>
    <x v="0"/>
    <x v="0"/>
    <x v="0"/>
    <x v="36"/>
    <x v="314"/>
    <x v="0"/>
    <x v="0"/>
  </r>
  <r>
    <x v="1435"/>
    <x v="1420"/>
    <x v="0"/>
    <x v="0"/>
    <x v="0"/>
    <x v="0"/>
    <x v="0"/>
    <x v="0"/>
    <x v="0"/>
    <x v="0"/>
    <x v="0"/>
    <x v="0"/>
    <x v="314"/>
    <x v="0"/>
    <x v="0"/>
  </r>
  <r>
    <x v="1436"/>
    <x v="1421"/>
    <x v="0"/>
    <x v="0"/>
    <x v="0"/>
    <x v="0"/>
    <x v="0"/>
    <x v="0"/>
    <x v="0"/>
    <x v="0"/>
    <x v="0"/>
    <x v="0"/>
    <x v="314"/>
    <x v="0"/>
    <x v="0"/>
  </r>
  <r>
    <x v="1437"/>
    <x v="1422"/>
    <x v="4"/>
    <x v="2"/>
    <x v="2"/>
    <x v="0"/>
    <x v="0"/>
    <x v="1"/>
    <x v="0"/>
    <x v="0"/>
    <x v="0"/>
    <x v="0"/>
    <x v="314"/>
    <x v="0"/>
    <x v="0"/>
  </r>
  <r>
    <x v="1438"/>
    <x v="1423"/>
    <x v="9"/>
    <x v="0"/>
    <x v="0"/>
    <x v="0"/>
    <x v="0"/>
    <x v="0"/>
    <x v="0"/>
    <x v="0"/>
    <x v="0"/>
    <x v="36"/>
    <x v="315"/>
    <x v="0"/>
    <x v="0"/>
  </r>
  <r>
    <x v="1439"/>
    <x v="1424"/>
    <x v="9"/>
    <x v="0"/>
    <x v="0"/>
    <x v="0"/>
    <x v="0"/>
    <x v="0"/>
    <x v="0"/>
    <x v="0"/>
    <x v="0"/>
    <x v="36"/>
    <x v="315"/>
    <x v="0"/>
    <x v="0"/>
  </r>
  <r>
    <x v="1440"/>
    <x v="1425"/>
    <x v="11"/>
    <x v="2"/>
    <x v="2"/>
    <x v="0"/>
    <x v="0"/>
    <x v="0"/>
    <x v="0"/>
    <x v="0"/>
    <x v="0"/>
    <x v="0"/>
    <x v="315"/>
    <x v="0"/>
    <x v="0"/>
  </r>
  <r>
    <x v="1441"/>
    <x v="1426"/>
    <x v="9"/>
    <x v="0"/>
    <x v="0"/>
    <x v="0"/>
    <x v="0"/>
    <x v="0"/>
    <x v="0"/>
    <x v="0"/>
    <x v="0"/>
    <x v="36"/>
    <x v="315"/>
    <x v="0"/>
    <x v="0"/>
  </r>
  <r>
    <x v="1442"/>
    <x v="1427"/>
    <x v="1"/>
    <x v="3"/>
    <x v="3"/>
    <x v="0"/>
    <x v="0"/>
    <x v="0"/>
    <x v="0"/>
    <x v="0"/>
    <x v="0"/>
    <x v="0"/>
    <x v="315"/>
    <x v="0"/>
    <x v="0"/>
  </r>
  <r>
    <x v="1443"/>
    <x v="1428"/>
    <x v="9"/>
    <x v="0"/>
    <x v="0"/>
    <x v="0"/>
    <x v="0"/>
    <x v="0"/>
    <x v="0"/>
    <x v="0"/>
    <x v="0"/>
    <x v="36"/>
    <x v="315"/>
    <x v="0"/>
    <x v="0"/>
  </r>
  <r>
    <x v="1444"/>
    <x v="1429"/>
    <x v="4"/>
    <x v="2"/>
    <x v="2"/>
    <x v="0"/>
    <x v="0"/>
    <x v="22"/>
    <x v="0"/>
    <x v="0"/>
    <x v="0"/>
    <x v="0"/>
    <x v="315"/>
    <x v="44"/>
    <x v="0"/>
  </r>
  <r>
    <x v="1445"/>
    <x v="1430"/>
    <x v="4"/>
    <x v="2"/>
    <x v="2"/>
    <x v="0"/>
    <x v="0"/>
    <x v="1"/>
    <x v="0"/>
    <x v="0"/>
    <x v="0"/>
    <x v="0"/>
    <x v="315"/>
    <x v="46"/>
    <x v="0"/>
  </r>
  <r>
    <x v="1446"/>
    <x v="1431"/>
    <x v="4"/>
    <x v="2"/>
    <x v="2"/>
    <x v="0"/>
    <x v="0"/>
    <x v="3"/>
    <x v="0"/>
    <x v="0"/>
    <x v="26"/>
    <x v="35"/>
    <x v="315"/>
    <x v="52"/>
    <x v="0"/>
  </r>
  <r>
    <x v="1447"/>
    <x v="1432"/>
    <x v="4"/>
    <x v="5"/>
    <x v="5"/>
    <x v="0"/>
    <x v="0"/>
    <x v="0"/>
    <x v="0"/>
    <x v="0"/>
    <x v="7"/>
    <x v="0"/>
    <x v="315"/>
    <x v="0"/>
    <x v="0"/>
  </r>
  <r>
    <x v="1448"/>
    <x v="1433"/>
    <x v="1"/>
    <x v="5"/>
    <x v="5"/>
    <x v="0"/>
    <x v="0"/>
    <x v="0"/>
    <x v="0"/>
    <x v="0"/>
    <x v="22"/>
    <x v="0"/>
    <x v="316"/>
    <x v="0"/>
    <x v="0"/>
  </r>
  <r>
    <x v="1449"/>
    <x v="1434"/>
    <x v="1"/>
    <x v="3"/>
    <x v="3"/>
    <x v="0"/>
    <x v="0"/>
    <x v="3"/>
    <x v="0"/>
    <x v="0"/>
    <x v="0"/>
    <x v="0"/>
    <x v="316"/>
    <x v="0"/>
    <x v="0"/>
  </r>
  <r>
    <x v="1450"/>
    <x v="1435"/>
    <x v="11"/>
    <x v="2"/>
    <x v="2"/>
    <x v="0"/>
    <x v="0"/>
    <x v="0"/>
    <x v="0"/>
    <x v="0"/>
    <x v="0"/>
    <x v="0"/>
    <x v="316"/>
    <x v="0"/>
    <x v="0"/>
  </r>
  <r>
    <x v="1451"/>
    <x v="1436"/>
    <x v="11"/>
    <x v="1"/>
    <x v="1"/>
    <x v="0"/>
    <x v="0"/>
    <x v="0"/>
    <x v="0"/>
    <x v="0"/>
    <x v="0"/>
    <x v="0"/>
    <x v="316"/>
    <x v="0"/>
    <x v="0"/>
  </r>
  <r>
    <x v="1452"/>
    <x v="1437"/>
    <x v="1"/>
    <x v="5"/>
    <x v="5"/>
    <x v="0"/>
    <x v="0"/>
    <x v="7"/>
    <x v="0"/>
    <x v="0"/>
    <x v="23"/>
    <x v="0"/>
    <x v="316"/>
    <x v="44"/>
    <x v="0"/>
  </r>
  <r>
    <x v="1453"/>
    <x v="1438"/>
    <x v="11"/>
    <x v="2"/>
    <x v="2"/>
    <x v="0"/>
    <x v="0"/>
    <x v="0"/>
    <x v="0"/>
    <x v="0"/>
    <x v="0"/>
    <x v="0"/>
    <x v="316"/>
    <x v="0"/>
    <x v="0"/>
  </r>
  <r>
    <x v="1454"/>
    <x v="1439"/>
    <x v="11"/>
    <x v="2"/>
    <x v="2"/>
    <x v="0"/>
    <x v="0"/>
    <x v="0"/>
    <x v="0"/>
    <x v="0"/>
    <x v="0"/>
    <x v="0"/>
    <x v="317"/>
    <x v="0"/>
    <x v="0"/>
  </r>
  <r>
    <x v="1455"/>
    <x v="1440"/>
    <x v="11"/>
    <x v="2"/>
    <x v="2"/>
    <x v="0"/>
    <x v="0"/>
    <x v="1"/>
    <x v="0"/>
    <x v="0"/>
    <x v="0"/>
    <x v="0"/>
    <x v="318"/>
    <x v="0"/>
    <x v="0"/>
  </r>
  <r>
    <x v="1456"/>
    <x v="1441"/>
    <x v="3"/>
    <x v="0"/>
    <x v="0"/>
    <x v="0"/>
    <x v="0"/>
    <x v="0"/>
    <x v="0"/>
    <x v="0"/>
    <x v="0"/>
    <x v="0"/>
    <x v="318"/>
    <x v="0"/>
    <x v="0"/>
  </r>
  <r>
    <x v="1457"/>
    <x v="1442"/>
    <x v="9"/>
    <x v="0"/>
    <x v="0"/>
    <x v="0"/>
    <x v="0"/>
    <x v="0"/>
    <x v="0"/>
    <x v="0"/>
    <x v="0"/>
    <x v="36"/>
    <x v="318"/>
    <x v="0"/>
    <x v="0"/>
  </r>
  <r>
    <x v="1458"/>
    <x v="1443"/>
    <x v="9"/>
    <x v="0"/>
    <x v="0"/>
    <x v="0"/>
    <x v="0"/>
    <x v="0"/>
    <x v="0"/>
    <x v="0"/>
    <x v="0"/>
    <x v="36"/>
    <x v="318"/>
    <x v="0"/>
    <x v="0"/>
  </r>
  <r>
    <x v="1459"/>
    <x v="1444"/>
    <x v="9"/>
    <x v="0"/>
    <x v="0"/>
    <x v="0"/>
    <x v="0"/>
    <x v="0"/>
    <x v="0"/>
    <x v="0"/>
    <x v="0"/>
    <x v="36"/>
    <x v="318"/>
    <x v="0"/>
    <x v="0"/>
  </r>
  <r>
    <x v="1460"/>
    <x v="1445"/>
    <x v="3"/>
    <x v="0"/>
    <x v="0"/>
    <x v="0"/>
    <x v="0"/>
    <x v="0"/>
    <x v="0"/>
    <x v="0"/>
    <x v="0"/>
    <x v="0"/>
    <x v="318"/>
    <x v="0"/>
    <x v="0"/>
  </r>
  <r>
    <x v="1461"/>
    <x v="1446"/>
    <x v="9"/>
    <x v="0"/>
    <x v="0"/>
    <x v="0"/>
    <x v="0"/>
    <x v="0"/>
    <x v="0"/>
    <x v="0"/>
    <x v="0"/>
    <x v="36"/>
    <x v="318"/>
    <x v="0"/>
    <x v="0"/>
  </r>
  <r>
    <x v="1462"/>
    <x v="1447"/>
    <x v="9"/>
    <x v="0"/>
    <x v="0"/>
    <x v="0"/>
    <x v="0"/>
    <x v="0"/>
    <x v="0"/>
    <x v="0"/>
    <x v="0"/>
    <x v="36"/>
    <x v="318"/>
    <x v="0"/>
    <x v="0"/>
  </r>
  <r>
    <x v="1463"/>
    <x v="1448"/>
    <x v="9"/>
    <x v="0"/>
    <x v="0"/>
    <x v="0"/>
    <x v="0"/>
    <x v="0"/>
    <x v="0"/>
    <x v="0"/>
    <x v="0"/>
    <x v="36"/>
    <x v="318"/>
    <x v="0"/>
    <x v="0"/>
  </r>
  <r>
    <x v="1464"/>
    <x v="1449"/>
    <x v="9"/>
    <x v="0"/>
    <x v="0"/>
    <x v="0"/>
    <x v="0"/>
    <x v="0"/>
    <x v="0"/>
    <x v="0"/>
    <x v="0"/>
    <x v="36"/>
    <x v="318"/>
    <x v="0"/>
    <x v="0"/>
  </r>
  <r>
    <x v="1465"/>
    <x v="1450"/>
    <x v="4"/>
    <x v="5"/>
    <x v="5"/>
    <x v="0"/>
    <x v="0"/>
    <x v="0"/>
    <x v="0"/>
    <x v="0"/>
    <x v="23"/>
    <x v="0"/>
    <x v="318"/>
    <x v="0"/>
    <x v="0"/>
  </r>
  <r>
    <x v="1466"/>
    <x v="1451"/>
    <x v="1"/>
    <x v="3"/>
    <x v="3"/>
    <x v="0"/>
    <x v="0"/>
    <x v="3"/>
    <x v="0"/>
    <x v="0"/>
    <x v="0"/>
    <x v="0"/>
    <x v="319"/>
    <x v="0"/>
    <x v="0"/>
  </r>
  <r>
    <x v="1467"/>
    <x v="1452"/>
    <x v="11"/>
    <x v="1"/>
    <x v="1"/>
    <x v="0"/>
    <x v="0"/>
    <x v="0"/>
    <x v="0"/>
    <x v="0"/>
    <x v="0"/>
    <x v="0"/>
    <x v="319"/>
    <x v="0"/>
    <x v="0"/>
  </r>
  <r>
    <x v="1468"/>
    <x v="1453"/>
    <x v="1"/>
    <x v="3"/>
    <x v="3"/>
    <x v="0"/>
    <x v="0"/>
    <x v="0"/>
    <x v="0"/>
    <x v="0"/>
    <x v="0"/>
    <x v="0"/>
    <x v="319"/>
    <x v="0"/>
    <x v="0"/>
  </r>
  <r>
    <x v="1469"/>
    <x v="1454"/>
    <x v="1"/>
    <x v="3"/>
    <x v="3"/>
    <x v="0"/>
    <x v="0"/>
    <x v="0"/>
    <x v="0"/>
    <x v="0"/>
    <x v="0"/>
    <x v="0"/>
    <x v="319"/>
    <x v="0"/>
    <x v="0"/>
  </r>
  <r>
    <x v="1470"/>
    <x v="1455"/>
    <x v="1"/>
    <x v="3"/>
    <x v="3"/>
    <x v="0"/>
    <x v="0"/>
    <x v="0"/>
    <x v="0"/>
    <x v="0"/>
    <x v="0"/>
    <x v="0"/>
    <x v="319"/>
    <x v="0"/>
    <x v="0"/>
  </r>
  <r>
    <x v="1471"/>
    <x v="1456"/>
    <x v="1"/>
    <x v="5"/>
    <x v="5"/>
    <x v="0"/>
    <x v="0"/>
    <x v="0"/>
    <x v="0"/>
    <x v="0"/>
    <x v="0"/>
    <x v="33"/>
    <x v="319"/>
    <x v="0"/>
    <x v="4"/>
  </r>
  <r>
    <x v="1472"/>
    <x v="1457"/>
    <x v="11"/>
    <x v="2"/>
    <x v="2"/>
    <x v="0"/>
    <x v="0"/>
    <x v="6"/>
    <x v="0"/>
    <x v="0"/>
    <x v="0"/>
    <x v="0"/>
    <x v="320"/>
    <x v="0"/>
    <x v="0"/>
  </r>
  <r>
    <x v="1473"/>
    <x v="1458"/>
    <x v="4"/>
    <x v="1"/>
    <x v="1"/>
    <x v="0"/>
    <x v="0"/>
    <x v="23"/>
    <x v="0"/>
    <x v="0"/>
    <x v="0"/>
    <x v="0"/>
    <x v="320"/>
    <x v="0"/>
    <x v="0"/>
  </r>
  <r>
    <x v="1474"/>
    <x v="1459"/>
    <x v="11"/>
    <x v="1"/>
    <x v="1"/>
    <x v="0"/>
    <x v="0"/>
    <x v="1"/>
    <x v="0"/>
    <x v="0"/>
    <x v="0"/>
    <x v="0"/>
    <x v="320"/>
    <x v="0"/>
    <x v="0"/>
  </r>
  <r>
    <x v="1475"/>
    <x v="1460"/>
    <x v="4"/>
    <x v="2"/>
    <x v="2"/>
    <x v="0"/>
    <x v="0"/>
    <x v="0"/>
    <x v="0"/>
    <x v="0"/>
    <x v="0"/>
    <x v="0"/>
    <x v="320"/>
    <x v="0"/>
    <x v="0"/>
  </r>
  <r>
    <x v="1476"/>
    <x v="1461"/>
    <x v="4"/>
    <x v="2"/>
    <x v="2"/>
    <x v="0"/>
    <x v="0"/>
    <x v="0"/>
    <x v="0"/>
    <x v="0"/>
    <x v="0"/>
    <x v="0"/>
    <x v="320"/>
    <x v="0"/>
    <x v="0"/>
  </r>
  <r>
    <x v="1477"/>
    <x v="1462"/>
    <x v="11"/>
    <x v="2"/>
    <x v="2"/>
    <x v="0"/>
    <x v="0"/>
    <x v="5"/>
    <x v="0"/>
    <x v="0"/>
    <x v="0"/>
    <x v="0"/>
    <x v="321"/>
    <x v="0"/>
    <x v="0"/>
  </r>
  <r>
    <x v="1478"/>
    <x v="1463"/>
    <x v="4"/>
    <x v="3"/>
    <x v="3"/>
    <x v="0"/>
    <x v="0"/>
    <x v="0"/>
    <x v="0"/>
    <x v="0"/>
    <x v="0"/>
    <x v="0"/>
    <x v="321"/>
    <x v="0"/>
    <x v="0"/>
  </r>
  <r>
    <x v="1479"/>
    <x v="1464"/>
    <x v="1"/>
    <x v="3"/>
    <x v="3"/>
    <x v="0"/>
    <x v="0"/>
    <x v="24"/>
    <x v="0"/>
    <x v="0"/>
    <x v="0"/>
    <x v="0"/>
    <x v="321"/>
    <x v="0"/>
    <x v="0"/>
  </r>
  <r>
    <x v="1480"/>
    <x v="1465"/>
    <x v="1"/>
    <x v="3"/>
    <x v="3"/>
    <x v="0"/>
    <x v="0"/>
    <x v="0"/>
    <x v="0"/>
    <x v="0"/>
    <x v="0"/>
    <x v="0"/>
    <x v="321"/>
    <x v="0"/>
    <x v="0"/>
  </r>
  <r>
    <x v="1481"/>
    <x v="1466"/>
    <x v="1"/>
    <x v="3"/>
    <x v="3"/>
    <x v="0"/>
    <x v="0"/>
    <x v="1"/>
    <x v="0"/>
    <x v="0"/>
    <x v="0"/>
    <x v="0"/>
    <x v="321"/>
    <x v="0"/>
    <x v="0"/>
  </r>
  <r>
    <x v="1482"/>
    <x v="1467"/>
    <x v="4"/>
    <x v="3"/>
    <x v="3"/>
    <x v="0"/>
    <x v="0"/>
    <x v="3"/>
    <x v="0"/>
    <x v="0"/>
    <x v="0"/>
    <x v="0"/>
    <x v="321"/>
    <x v="0"/>
    <x v="0"/>
  </r>
  <r>
    <x v="1483"/>
    <x v="1468"/>
    <x v="1"/>
    <x v="3"/>
    <x v="3"/>
    <x v="0"/>
    <x v="0"/>
    <x v="0"/>
    <x v="0"/>
    <x v="0"/>
    <x v="0"/>
    <x v="0"/>
    <x v="321"/>
    <x v="0"/>
    <x v="0"/>
  </r>
  <r>
    <x v="1484"/>
    <x v="1469"/>
    <x v="1"/>
    <x v="3"/>
    <x v="3"/>
    <x v="0"/>
    <x v="0"/>
    <x v="0"/>
    <x v="0"/>
    <x v="0"/>
    <x v="0"/>
    <x v="0"/>
    <x v="321"/>
    <x v="0"/>
    <x v="0"/>
  </r>
  <r>
    <x v="1485"/>
    <x v="1470"/>
    <x v="4"/>
    <x v="2"/>
    <x v="2"/>
    <x v="0"/>
    <x v="0"/>
    <x v="0"/>
    <x v="0"/>
    <x v="0"/>
    <x v="21"/>
    <x v="0"/>
    <x v="321"/>
    <x v="0"/>
    <x v="0"/>
  </r>
  <r>
    <x v="1486"/>
    <x v="1471"/>
    <x v="4"/>
    <x v="3"/>
    <x v="3"/>
    <x v="0"/>
    <x v="0"/>
    <x v="0"/>
    <x v="0"/>
    <x v="0"/>
    <x v="0"/>
    <x v="0"/>
    <x v="322"/>
    <x v="0"/>
    <x v="0"/>
  </r>
  <r>
    <x v="1487"/>
    <x v="1472"/>
    <x v="1"/>
    <x v="3"/>
    <x v="3"/>
    <x v="0"/>
    <x v="0"/>
    <x v="0"/>
    <x v="0"/>
    <x v="0"/>
    <x v="0"/>
    <x v="0"/>
    <x v="322"/>
    <x v="0"/>
    <x v="0"/>
  </r>
  <r>
    <x v="1488"/>
    <x v="1473"/>
    <x v="1"/>
    <x v="3"/>
    <x v="3"/>
    <x v="0"/>
    <x v="0"/>
    <x v="0"/>
    <x v="0"/>
    <x v="0"/>
    <x v="0"/>
    <x v="0"/>
    <x v="322"/>
    <x v="0"/>
    <x v="0"/>
  </r>
  <r>
    <x v="1489"/>
    <x v="1474"/>
    <x v="4"/>
    <x v="3"/>
    <x v="3"/>
    <x v="0"/>
    <x v="0"/>
    <x v="0"/>
    <x v="0"/>
    <x v="0"/>
    <x v="0"/>
    <x v="0"/>
    <x v="322"/>
    <x v="0"/>
    <x v="0"/>
  </r>
  <r>
    <x v="1490"/>
    <x v="1475"/>
    <x v="4"/>
    <x v="3"/>
    <x v="3"/>
    <x v="0"/>
    <x v="0"/>
    <x v="0"/>
    <x v="0"/>
    <x v="0"/>
    <x v="0"/>
    <x v="0"/>
    <x v="322"/>
    <x v="0"/>
    <x v="0"/>
  </r>
  <r>
    <x v="1491"/>
    <x v="1476"/>
    <x v="1"/>
    <x v="2"/>
    <x v="2"/>
    <x v="0"/>
    <x v="0"/>
    <x v="0"/>
    <x v="0"/>
    <x v="0"/>
    <x v="0"/>
    <x v="0"/>
    <x v="323"/>
    <x v="0"/>
    <x v="0"/>
  </r>
  <r>
    <x v="1492"/>
    <x v="1477"/>
    <x v="1"/>
    <x v="3"/>
    <x v="3"/>
    <x v="0"/>
    <x v="0"/>
    <x v="0"/>
    <x v="0"/>
    <x v="0"/>
    <x v="0"/>
    <x v="37"/>
    <x v="323"/>
    <x v="0"/>
    <x v="0"/>
  </r>
  <r>
    <x v="1493"/>
    <x v="1478"/>
    <x v="4"/>
    <x v="5"/>
    <x v="5"/>
    <x v="0"/>
    <x v="0"/>
    <x v="0"/>
    <x v="0"/>
    <x v="0"/>
    <x v="23"/>
    <x v="0"/>
    <x v="323"/>
    <x v="0"/>
    <x v="0"/>
  </r>
  <r>
    <x v="1494"/>
    <x v="1479"/>
    <x v="12"/>
    <x v="0"/>
    <x v="0"/>
    <x v="0"/>
    <x v="0"/>
    <x v="0"/>
    <x v="0"/>
    <x v="0"/>
    <x v="0"/>
    <x v="0"/>
    <x v="323"/>
    <x v="53"/>
    <x v="0"/>
  </r>
  <r>
    <x v="1495"/>
    <x v="1480"/>
    <x v="11"/>
    <x v="2"/>
    <x v="2"/>
    <x v="0"/>
    <x v="0"/>
    <x v="0"/>
    <x v="0"/>
    <x v="0"/>
    <x v="0"/>
    <x v="0"/>
    <x v="323"/>
    <x v="0"/>
    <x v="0"/>
  </r>
  <r>
    <x v="1496"/>
    <x v="1481"/>
    <x v="4"/>
    <x v="2"/>
    <x v="2"/>
    <x v="0"/>
    <x v="0"/>
    <x v="5"/>
    <x v="0"/>
    <x v="0"/>
    <x v="0"/>
    <x v="0"/>
    <x v="323"/>
    <x v="0"/>
    <x v="0"/>
  </r>
  <r>
    <x v="1497"/>
    <x v="1482"/>
    <x v="1"/>
    <x v="3"/>
    <x v="3"/>
    <x v="0"/>
    <x v="0"/>
    <x v="3"/>
    <x v="0"/>
    <x v="0"/>
    <x v="0"/>
    <x v="37"/>
    <x v="324"/>
    <x v="0"/>
    <x v="5"/>
  </r>
  <r>
    <x v="1498"/>
    <x v="1483"/>
    <x v="4"/>
    <x v="3"/>
    <x v="3"/>
    <x v="0"/>
    <x v="0"/>
    <x v="0"/>
    <x v="0"/>
    <x v="0"/>
    <x v="0"/>
    <x v="38"/>
    <x v="324"/>
    <x v="0"/>
    <x v="0"/>
  </r>
  <r>
    <x v="1499"/>
    <x v="1484"/>
    <x v="1"/>
    <x v="2"/>
    <x v="2"/>
    <x v="0"/>
    <x v="0"/>
    <x v="0"/>
    <x v="0"/>
    <x v="0"/>
    <x v="0"/>
    <x v="0"/>
    <x v="324"/>
    <x v="0"/>
    <x v="0"/>
  </r>
  <r>
    <x v="1500"/>
    <x v="1485"/>
    <x v="11"/>
    <x v="2"/>
    <x v="2"/>
    <x v="0"/>
    <x v="0"/>
    <x v="0"/>
    <x v="0"/>
    <x v="0"/>
    <x v="0"/>
    <x v="0"/>
    <x v="324"/>
    <x v="0"/>
    <x v="0"/>
  </r>
  <r>
    <x v="1501"/>
    <x v="1486"/>
    <x v="1"/>
    <x v="5"/>
    <x v="5"/>
    <x v="0"/>
    <x v="0"/>
    <x v="0"/>
    <x v="0"/>
    <x v="0"/>
    <x v="23"/>
    <x v="0"/>
    <x v="325"/>
    <x v="0"/>
    <x v="0"/>
  </r>
  <r>
    <x v="1502"/>
    <x v="1487"/>
    <x v="1"/>
    <x v="5"/>
    <x v="5"/>
    <x v="0"/>
    <x v="0"/>
    <x v="0"/>
    <x v="0"/>
    <x v="0"/>
    <x v="23"/>
    <x v="0"/>
    <x v="325"/>
    <x v="0"/>
    <x v="0"/>
  </r>
  <r>
    <x v="1503"/>
    <x v="1488"/>
    <x v="1"/>
    <x v="5"/>
    <x v="5"/>
    <x v="0"/>
    <x v="0"/>
    <x v="0"/>
    <x v="0"/>
    <x v="0"/>
    <x v="23"/>
    <x v="0"/>
    <x v="325"/>
    <x v="0"/>
    <x v="0"/>
  </r>
  <r>
    <x v="1504"/>
    <x v="1489"/>
    <x v="1"/>
    <x v="5"/>
    <x v="5"/>
    <x v="0"/>
    <x v="0"/>
    <x v="0"/>
    <x v="0"/>
    <x v="0"/>
    <x v="23"/>
    <x v="0"/>
    <x v="325"/>
    <x v="0"/>
    <x v="0"/>
  </r>
  <r>
    <x v="1505"/>
    <x v="1490"/>
    <x v="1"/>
    <x v="5"/>
    <x v="5"/>
    <x v="0"/>
    <x v="0"/>
    <x v="0"/>
    <x v="0"/>
    <x v="0"/>
    <x v="23"/>
    <x v="0"/>
    <x v="325"/>
    <x v="0"/>
    <x v="0"/>
  </r>
  <r>
    <x v="1506"/>
    <x v="1491"/>
    <x v="1"/>
    <x v="5"/>
    <x v="5"/>
    <x v="0"/>
    <x v="0"/>
    <x v="0"/>
    <x v="0"/>
    <x v="0"/>
    <x v="23"/>
    <x v="0"/>
    <x v="325"/>
    <x v="0"/>
    <x v="0"/>
  </r>
  <r>
    <x v="1507"/>
    <x v="1492"/>
    <x v="1"/>
    <x v="5"/>
    <x v="5"/>
    <x v="0"/>
    <x v="0"/>
    <x v="3"/>
    <x v="0"/>
    <x v="0"/>
    <x v="22"/>
    <x v="0"/>
    <x v="325"/>
    <x v="0"/>
    <x v="0"/>
  </r>
  <r>
    <x v="1508"/>
    <x v="1493"/>
    <x v="1"/>
    <x v="5"/>
    <x v="5"/>
    <x v="0"/>
    <x v="0"/>
    <x v="0"/>
    <x v="0"/>
    <x v="0"/>
    <x v="7"/>
    <x v="0"/>
    <x v="325"/>
    <x v="0"/>
    <x v="0"/>
  </r>
  <r>
    <x v="1509"/>
    <x v="1494"/>
    <x v="11"/>
    <x v="2"/>
    <x v="2"/>
    <x v="0"/>
    <x v="0"/>
    <x v="0"/>
    <x v="0"/>
    <x v="0"/>
    <x v="0"/>
    <x v="0"/>
    <x v="325"/>
    <x v="0"/>
    <x v="0"/>
  </r>
  <r>
    <x v="1510"/>
    <x v="1495"/>
    <x v="4"/>
    <x v="2"/>
    <x v="2"/>
    <x v="0"/>
    <x v="0"/>
    <x v="7"/>
    <x v="0"/>
    <x v="0"/>
    <x v="27"/>
    <x v="0"/>
    <x v="325"/>
    <x v="0"/>
    <x v="0"/>
  </r>
  <r>
    <x v="1511"/>
    <x v="1496"/>
    <x v="4"/>
    <x v="0"/>
    <x v="0"/>
    <x v="0"/>
    <x v="0"/>
    <x v="0"/>
    <x v="0"/>
    <x v="0"/>
    <x v="0"/>
    <x v="0"/>
    <x v="325"/>
    <x v="0"/>
    <x v="0"/>
  </r>
  <r>
    <x v="1512"/>
    <x v="1497"/>
    <x v="12"/>
    <x v="0"/>
    <x v="0"/>
    <x v="0"/>
    <x v="0"/>
    <x v="0"/>
    <x v="0"/>
    <x v="0"/>
    <x v="0"/>
    <x v="0"/>
    <x v="325"/>
    <x v="0"/>
    <x v="0"/>
  </r>
  <r>
    <x v="1513"/>
    <x v="1498"/>
    <x v="12"/>
    <x v="0"/>
    <x v="0"/>
    <x v="0"/>
    <x v="0"/>
    <x v="0"/>
    <x v="0"/>
    <x v="0"/>
    <x v="0"/>
    <x v="0"/>
    <x v="325"/>
    <x v="0"/>
    <x v="0"/>
  </r>
  <r>
    <x v="1514"/>
    <x v="1499"/>
    <x v="11"/>
    <x v="2"/>
    <x v="2"/>
    <x v="0"/>
    <x v="0"/>
    <x v="0"/>
    <x v="0"/>
    <x v="0"/>
    <x v="0"/>
    <x v="0"/>
    <x v="326"/>
    <x v="0"/>
    <x v="0"/>
  </r>
  <r>
    <x v="1515"/>
    <x v="1500"/>
    <x v="4"/>
    <x v="3"/>
    <x v="3"/>
    <x v="0"/>
    <x v="0"/>
    <x v="0"/>
    <x v="0"/>
    <x v="0"/>
    <x v="0"/>
    <x v="0"/>
    <x v="326"/>
    <x v="0"/>
    <x v="0"/>
  </r>
  <r>
    <x v="1516"/>
    <x v="1501"/>
    <x v="4"/>
    <x v="3"/>
    <x v="3"/>
    <x v="0"/>
    <x v="0"/>
    <x v="0"/>
    <x v="0"/>
    <x v="0"/>
    <x v="0"/>
    <x v="0"/>
    <x v="326"/>
    <x v="0"/>
    <x v="0"/>
  </r>
  <r>
    <x v="1517"/>
    <x v="1502"/>
    <x v="4"/>
    <x v="3"/>
    <x v="3"/>
    <x v="0"/>
    <x v="0"/>
    <x v="0"/>
    <x v="0"/>
    <x v="0"/>
    <x v="0"/>
    <x v="0"/>
    <x v="326"/>
    <x v="0"/>
    <x v="0"/>
  </r>
  <r>
    <x v="1518"/>
    <x v="1503"/>
    <x v="4"/>
    <x v="2"/>
    <x v="2"/>
    <x v="0"/>
    <x v="0"/>
    <x v="0"/>
    <x v="0"/>
    <x v="0"/>
    <x v="24"/>
    <x v="0"/>
    <x v="326"/>
    <x v="0"/>
    <x v="0"/>
  </r>
  <r>
    <x v="1519"/>
    <x v="1504"/>
    <x v="4"/>
    <x v="2"/>
    <x v="2"/>
    <x v="0"/>
    <x v="0"/>
    <x v="0"/>
    <x v="0"/>
    <x v="0"/>
    <x v="24"/>
    <x v="0"/>
    <x v="326"/>
    <x v="0"/>
    <x v="0"/>
  </r>
  <r>
    <x v="1520"/>
    <x v="1505"/>
    <x v="4"/>
    <x v="2"/>
    <x v="2"/>
    <x v="0"/>
    <x v="0"/>
    <x v="22"/>
    <x v="0"/>
    <x v="0"/>
    <x v="21"/>
    <x v="0"/>
    <x v="326"/>
    <x v="0"/>
    <x v="0"/>
  </r>
  <r>
    <x v="1521"/>
    <x v="1506"/>
    <x v="4"/>
    <x v="1"/>
    <x v="1"/>
    <x v="0"/>
    <x v="0"/>
    <x v="0"/>
    <x v="0"/>
    <x v="0"/>
    <x v="0"/>
    <x v="0"/>
    <x v="327"/>
    <x v="0"/>
    <x v="0"/>
  </r>
  <r>
    <x v="1522"/>
    <x v="1507"/>
    <x v="4"/>
    <x v="2"/>
    <x v="2"/>
    <x v="0"/>
    <x v="0"/>
    <x v="0"/>
    <x v="0"/>
    <x v="0"/>
    <x v="0"/>
    <x v="0"/>
    <x v="327"/>
    <x v="46"/>
    <x v="6"/>
  </r>
  <r>
    <x v="1523"/>
    <x v="1508"/>
    <x v="4"/>
    <x v="3"/>
    <x v="3"/>
    <x v="0"/>
    <x v="0"/>
    <x v="0"/>
    <x v="0"/>
    <x v="0"/>
    <x v="0"/>
    <x v="0"/>
    <x v="328"/>
    <x v="0"/>
    <x v="0"/>
  </r>
  <r>
    <x v="1524"/>
    <x v="1509"/>
    <x v="1"/>
    <x v="3"/>
    <x v="3"/>
    <x v="0"/>
    <x v="0"/>
    <x v="2"/>
    <x v="0"/>
    <x v="0"/>
    <x v="0"/>
    <x v="38"/>
    <x v="328"/>
    <x v="0"/>
    <x v="0"/>
  </r>
  <r>
    <x v="1525"/>
    <x v="1510"/>
    <x v="11"/>
    <x v="2"/>
    <x v="2"/>
    <x v="0"/>
    <x v="0"/>
    <x v="0"/>
    <x v="0"/>
    <x v="0"/>
    <x v="0"/>
    <x v="0"/>
    <x v="328"/>
    <x v="0"/>
    <x v="0"/>
  </r>
  <r>
    <x v="1526"/>
    <x v="1511"/>
    <x v="1"/>
    <x v="3"/>
    <x v="3"/>
    <x v="0"/>
    <x v="0"/>
    <x v="0"/>
    <x v="0"/>
    <x v="0"/>
    <x v="0"/>
    <x v="0"/>
    <x v="329"/>
    <x v="0"/>
    <x v="0"/>
  </r>
  <r>
    <x v="1527"/>
    <x v="1512"/>
    <x v="1"/>
    <x v="3"/>
    <x v="3"/>
    <x v="0"/>
    <x v="0"/>
    <x v="0"/>
    <x v="0"/>
    <x v="0"/>
    <x v="0"/>
    <x v="0"/>
    <x v="329"/>
    <x v="0"/>
    <x v="0"/>
  </r>
  <r>
    <x v="1528"/>
    <x v="1513"/>
    <x v="1"/>
    <x v="3"/>
    <x v="3"/>
    <x v="0"/>
    <x v="0"/>
    <x v="2"/>
    <x v="0"/>
    <x v="0"/>
    <x v="0"/>
    <x v="0"/>
    <x v="329"/>
    <x v="0"/>
    <x v="0"/>
  </r>
  <r>
    <x v="1529"/>
    <x v="1514"/>
    <x v="4"/>
    <x v="2"/>
    <x v="2"/>
    <x v="0"/>
    <x v="0"/>
    <x v="0"/>
    <x v="0"/>
    <x v="0"/>
    <x v="2"/>
    <x v="0"/>
    <x v="329"/>
    <x v="0"/>
    <x v="0"/>
  </r>
  <r>
    <x v="1530"/>
    <x v="1515"/>
    <x v="4"/>
    <x v="2"/>
    <x v="2"/>
    <x v="0"/>
    <x v="0"/>
    <x v="0"/>
    <x v="0"/>
    <x v="0"/>
    <x v="21"/>
    <x v="0"/>
    <x v="329"/>
    <x v="0"/>
    <x v="0"/>
  </r>
  <r>
    <x v="1531"/>
    <x v="1516"/>
    <x v="11"/>
    <x v="2"/>
    <x v="2"/>
    <x v="0"/>
    <x v="0"/>
    <x v="0"/>
    <x v="0"/>
    <x v="0"/>
    <x v="0"/>
    <x v="0"/>
    <x v="330"/>
    <x v="0"/>
    <x v="0"/>
  </r>
  <r>
    <x v="1532"/>
    <x v="1517"/>
    <x v="4"/>
    <x v="2"/>
    <x v="2"/>
    <x v="0"/>
    <x v="0"/>
    <x v="3"/>
    <x v="0"/>
    <x v="0"/>
    <x v="28"/>
    <x v="0"/>
    <x v="330"/>
    <x v="0"/>
    <x v="0"/>
  </r>
  <r>
    <x v="1533"/>
    <x v="1518"/>
    <x v="4"/>
    <x v="3"/>
    <x v="3"/>
    <x v="0"/>
    <x v="0"/>
    <x v="0"/>
    <x v="0"/>
    <x v="0"/>
    <x v="0"/>
    <x v="0"/>
    <x v="330"/>
    <x v="0"/>
    <x v="0"/>
  </r>
  <r>
    <x v="1534"/>
    <x v="1519"/>
    <x v="1"/>
    <x v="3"/>
    <x v="3"/>
    <x v="0"/>
    <x v="0"/>
    <x v="0"/>
    <x v="0"/>
    <x v="0"/>
    <x v="0"/>
    <x v="0"/>
    <x v="330"/>
    <x v="0"/>
    <x v="0"/>
  </r>
  <r>
    <x v="1535"/>
    <x v="1520"/>
    <x v="4"/>
    <x v="2"/>
    <x v="2"/>
    <x v="0"/>
    <x v="0"/>
    <x v="3"/>
    <x v="0"/>
    <x v="0"/>
    <x v="0"/>
    <x v="0"/>
    <x v="330"/>
    <x v="0"/>
    <x v="0"/>
  </r>
  <r>
    <x v="1536"/>
    <x v="1521"/>
    <x v="12"/>
    <x v="0"/>
    <x v="0"/>
    <x v="0"/>
    <x v="0"/>
    <x v="0"/>
    <x v="0"/>
    <x v="0"/>
    <x v="0"/>
    <x v="0"/>
    <x v="330"/>
    <x v="53"/>
    <x v="0"/>
  </r>
  <r>
    <x v="1537"/>
    <x v="1522"/>
    <x v="1"/>
    <x v="5"/>
    <x v="5"/>
    <x v="0"/>
    <x v="0"/>
    <x v="0"/>
    <x v="0"/>
    <x v="0"/>
    <x v="22"/>
    <x v="0"/>
    <x v="330"/>
    <x v="0"/>
    <x v="0"/>
  </r>
  <r>
    <x v="1538"/>
    <x v="1523"/>
    <x v="4"/>
    <x v="2"/>
    <x v="2"/>
    <x v="0"/>
    <x v="0"/>
    <x v="0"/>
    <x v="0"/>
    <x v="0"/>
    <x v="21"/>
    <x v="0"/>
    <x v="330"/>
    <x v="0"/>
    <x v="0"/>
  </r>
  <r>
    <x v="1539"/>
    <x v="1524"/>
    <x v="4"/>
    <x v="2"/>
    <x v="2"/>
    <x v="0"/>
    <x v="0"/>
    <x v="0"/>
    <x v="0"/>
    <x v="0"/>
    <x v="24"/>
    <x v="0"/>
    <x v="331"/>
    <x v="0"/>
    <x v="0"/>
  </r>
  <r>
    <x v="1540"/>
    <x v="1525"/>
    <x v="11"/>
    <x v="2"/>
    <x v="2"/>
    <x v="0"/>
    <x v="0"/>
    <x v="0"/>
    <x v="0"/>
    <x v="0"/>
    <x v="0"/>
    <x v="0"/>
    <x v="331"/>
    <x v="0"/>
    <x v="0"/>
  </r>
  <r>
    <x v="1541"/>
    <x v="1526"/>
    <x v="1"/>
    <x v="3"/>
    <x v="3"/>
    <x v="0"/>
    <x v="0"/>
    <x v="0"/>
    <x v="0"/>
    <x v="0"/>
    <x v="0"/>
    <x v="0"/>
    <x v="331"/>
    <x v="0"/>
    <x v="0"/>
  </r>
  <r>
    <x v="1542"/>
    <x v="1527"/>
    <x v="1"/>
    <x v="5"/>
    <x v="5"/>
    <x v="0"/>
    <x v="0"/>
    <x v="0"/>
    <x v="0"/>
    <x v="0"/>
    <x v="22"/>
    <x v="0"/>
    <x v="331"/>
    <x v="0"/>
    <x v="0"/>
  </r>
  <r>
    <x v="1543"/>
    <x v="1528"/>
    <x v="11"/>
    <x v="2"/>
    <x v="2"/>
    <x v="0"/>
    <x v="0"/>
    <x v="0"/>
    <x v="0"/>
    <x v="0"/>
    <x v="0"/>
    <x v="0"/>
    <x v="331"/>
    <x v="0"/>
    <x v="0"/>
  </r>
  <r>
    <x v="1544"/>
    <x v="1529"/>
    <x v="9"/>
    <x v="0"/>
    <x v="0"/>
    <x v="0"/>
    <x v="0"/>
    <x v="0"/>
    <x v="0"/>
    <x v="0"/>
    <x v="0"/>
    <x v="0"/>
    <x v="332"/>
    <x v="0"/>
    <x v="0"/>
  </r>
  <r>
    <x v="1545"/>
    <x v="1530"/>
    <x v="11"/>
    <x v="2"/>
    <x v="2"/>
    <x v="0"/>
    <x v="0"/>
    <x v="0"/>
    <x v="0"/>
    <x v="0"/>
    <x v="0"/>
    <x v="0"/>
    <x v="332"/>
    <x v="0"/>
    <x v="0"/>
  </r>
  <r>
    <x v="1546"/>
    <x v="1531"/>
    <x v="11"/>
    <x v="2"/>
    <x v="2"/>
    <x v="0"/>
    <x v="0"/>
    <x v="0"/>
    <x v="0"/>
    <x v="0"/>
    <x v="0"/>
    <x v="0"/>
    <x v="332"/>
    <x v="0"/>
    <x v="0"/>
  </r>
  <r>
    <x v="1547"/>
    <x v="1532"/>
    <x v="11"/>
    <x v="2"/>
    <x v="2"/>
    <x v="0"/>
    <x v="0"/>
    <x v="0"/>
    <x v="0"/>
    <x v="0"/>
    <x v="0"/>
    <x v="0"/>
    <x v="332"/>
    <x v="0"/>
    <x v="0"/>
  </r>
  <r>
    <x v="1548"/>
    <x v="1533"/>
    <x v="11"/>
    <x v="2"/>
    <x v="2"/>
    <x v="0"/>
    <x v="0"/>
    <x v="0"/>
    <x v="0"/>
    <x v="0"/>
    <x v="0"/>
    <x v="0"/>
    <x v="332"/>
    <x v="0"/>
    <x v="0"/>
  </r>
  <r>
    <x v="1549"/>
    <x v="1534"/>
    <x v="4"/>
    <x v="2"/>
    <x v="2"/>
    <x v="0"/>
    <x v="0"/>
    <x v="3"/>
    <x v="0"/>
    <x v="0"/>
    <x v="0"/>
    <x v="0"/>
    <x v="332"/>
    <x v="0"/>
    <x v="0"/>
  </r>
  <r>
    <x v="1550"/>
    <x v="1535"/>
    <x v="11"/>
    <x v="2"/>
    <x v="2"/>
    <x v="0"/>
    <x v="0"/>
    <x v="0"/>
    <x v="0"/>
    <x v="0"/>
    <x v="0"/>
    <x v="0"/>
    <x v="332"/>
    <x v="0"/>
    <x v="0"/>
  </r>
  <r>
    <x v="1551"/>
    <x v="1536"/>
    <x v="11"/>
    <x v="2"/>
    <x v="2"/>
    <x v="0"/>
    <x v="0"/>
    <x v="0"/>
    <x v="0"/>
    <x v="0"/>
    <x v="0"/>
    <x v="0"/>
    <x v="332"/>
    <x v="0"/>
    <x v="0"/>
  </r>
  <r>
    <x v="1552"/>
    <x v="1537"/>
    <x v="4"/>
    <x v="3"/>
    <x v="3"/>
    <x v="0"/>
    <x v="0"/>
    <x v="0"/>
    <x v="0"/>
    <x v="0"/>
    <x v="16"/>
    <x v="39"/>
    <x v="332"/>
    <x v="0"/>
    <x v="0"/>
  </r>
  <r>
    <x v="1553"/>
    <x v="1538"/>
    <x v="4"/>
    <x v="2"/>
    <x v="2"/>
    <x v="0"/>
    <x v="0"/>
    <x v="0"/>
    <x v="0"/>
    <x v="0"/>
    <x v="24"/>
    <x v="0"/>
    <x v="332"/>
    <x v="0"/>
    <x v="0"/>
  </r>
  <r>
    <x v="1554"/>
    <x v="1539"/>
    <x v="4"/>
    <x v="2"/>
    <x v="2"/>
    <x v="0"/>
    <x v="0"/>
    <x v="0"/>
    <x v="0"/>
    <x v="0"/>
    <x v="0"/>
    <x v="0"/>
    <x v="332"/>
    <x v="0"/>
    <x v="0"/>
  </r>
  <r>
    <x v="1555"/>
    <x v="1540"/>
    <x v="4"/>
    <x v="2"/>
    <x v="2"/>
    <x v="0"/>
    <x v="0"/>
    <x v="0"/>
    <x v="0"/>
    <x v="0"/>
    <x v="9"/>
    <x v="0"/>
    <x v="332"/>
    <x v="0"/>
    <x v="0"/>
  </r>
  <r>
    <x v="1556"/>
    <x v="1541"/>
    <x v="4"/>
    <x v="2"/>
    <x v="2"/>
    <x v="0"/>
    <x v="0"/>
    <x v="0"/>
    <x v="0"/>
    <x v="0"/>
    <x v="7"/>
    <x v="0"/>
    <x v="332"/>
    <x v="0"/>
    <x v="0"/>
  </r>
  <r>
    <x v="1557"/>
    <x v="1542"/>
    <x v="4"/>
    <x v="2"/>
    <x v="2"/>
    <x v="0"/>
    <x v="0"/>
    <x v="0"/>
    <x v="0"/>
    <x v="0"/>
    <x v="21"/>
    <x v="0"/>
    <x v="332"/>
    <x v="0"/>
    <x v="0"/>
  </r>
  <r>
    <x v="1558"/>
    <x v="1543"/>
    <x v="1"/>
    <x v="3"/>
    <x v="3"/>
    <x v="0"/>
    <x v="0"/>
    <x v="0"/>
    <x v="0"/>
    <x v="0"/>
    <x v="0"/>
    <x v="0"/>
    <x v="333"/>
    <x v="0"/>
    <x v="0"/>
  </r>
  <r>
    <x v="1559"/>
    <x v="1544"/>
    <x v="4"/>
    <x v="3"/>
    <x v="3"/>
    <x v="0"/>
    <x v="0"/>
    <x v="5"/>
    <x v="0"/>
    <x v="0"/>
    <x v="29"/>
    <x v="38"/>
    <x v="333"/>
    <x v="0"/>
    <x v="0"/>
  </r>
  <r>
    <x v="1560"/>
    <x v="1545"/>
    <x v="4"/>
    <x v="3"/>
    <x v="3"/>
    <x v="0"/>
    <x v="0"/>
    <x v="3"/>
    <x v="0"/>
    <x v="0"/>
    <x v="0"/>
    <x v="0"/>
    <x v="333"/>
    <x v="0"/>
    <x v="0"/>
  </r>
  <r>
    <x v="1561"/>
    <x v="1546"/>
    <x v="4"/>
    <x v="1"/>
    <x v="1"/>
    <x v="0"/>
    <x v="0"/>
    <x v="7"/>
    <x v="0"/>
    <x v="0"/>
    <x v="0"/>
    <x v="40"/>
    <x v="333"/>
    <x v="54"/>
    <x v="0"/>
  </r>
  <r>
    <x v="1562"/>
    <x v="1547"/>
    <x v="1"/>
    <x v="3"/>
    <x v="3"/>
    <x v="0"/>
    <x v="0"/>
    <x v="0"/>
    <x v="0"/>
    <x v="0"/>
    <x v="0"/>
    <x v="0"/>
    <x v="333"/>
    <x v="0"/>
    <x v="0"/>
  </r>
  <r>
    <x v="1563"/>
    <x v="1548"/>
    <x v="4"/>
    <x v="2"/>
    <x v="2"/>
    <x v="0"/>
    <x v="0"/>
    <x v="1"/>
    <x v="0"/>
    <x v="0"/>
    <x v="0"/>
    <x v="0"/>
    <x v="333"/>
    <x v="46"/>
    <x v="0"/>
  </r>
  <r>
    <x v="1564"/>
    <x v="1549"/>
    <x v="11"/>
    <x v="2"/>
    <x v="2"/>
    <x v="0"/>
    <x v="0"/>
    <x v="1"/>
    <x v="0"/>
    <x v="0"/>
    <x v="0"/>
    <x v="0"/>
    <x v="333"/>
    <x v="46"/>
    <x v="0"/>
  </r>
  <r>
    <x v="1565"/>
    <x v="1550"/>
    <x v="1"/>
    <x v="3"/>
    <x v="3"/>
    <x v="0"/>
    <x v="0"/>
    <x v="0"/>
    <x v="0"/>
    <x v="0"/>
    <x v="0"/>
    <x v="0"/>
    <x v="334"/>
    <x v="0"/>
    <x v="0"/>
  </r>
  <r>
    <x v="1566"/>
    <x v="1551"/>
    <x v="1"/>
    <x v="3"/>
    <x v="3"/>
    <x v="0"/>
    <x v="0"/>
    <x v="0"/>
    <x v="0"/>
    <x v="0"/>
    <x v="0"/>
    <x v="0"/>
    <x v="334"/>
    <x v="0"/>
    <x v="0"/>
  </r>
  <r>
    <x v="1567"/>
    <x v="1552"/>
    <x v="1"/>
    <x v="3"/>
    <x v="3"/>
    <x v="0"/>
    <x v="0"/>
    <x v="0"/>
    <x v="0"/>
    <x v="0"/>
    <x v="0"/>
    <x v="0"/>
    <x v="334"/>
    <x v="0"/>
    <x v="0"/>
  </r>
  <r>
    <x v="1568"/>
    <x v="1553"/>
    <x v="1"/>
    <x v="3"/>
    <x v="3"/>
    <x v="0"/>
    <x v="0"/>
    <x v="0"/>
    <x v="0"/>
    <x v="0"/>
    <x v="0"/>
    <x v="0"/>
    <x v="334"/>
    <x v="0"/>
    <x v="0"/>
  </r>
  <r>
    <x v="1569"/>
    <x v="1554"/>
    <x v="1"/>
    <x v="3"/>
    <x v="3"/>
    <x v="0"/>
    <x v="0"/>
    <x v="0"/>
    <x v="0"/>
    <x v="0"/>
    <x v="0"/>
    <x v="0"/>
    <x v="334"/>
    <x v="0"/>
    <x v="0"/>
  </r>
  <r>
    <x v="1570"/>
    <x v="1555"/>
    <x v="1"/>
    <x v="3"/>
    <x v="3"/>
    <x v="0"/>
    <x v="0"/>
    <x v="0"/>
    <x v="0"/>
    <x v="0"/>
    <x v="0"/>
    <x v="0"/>
    <x v="334"/>
    <x v="0"/>
    <x v="0"/>
  </r>
  <r>
    <x v="1571"/>
    <x v="1556"/>
    <x v="1"/>
    <x v="3"/>
    <x v="3"/>
    <x v="0"/>
    <x v="0"/>
    <x v="0"/>
    <x v="0"/>
    <x v="0"/>
    <x v="0"/>
    <x v="0"/>
    <x v="334"/>
    <x v="0"/>
    <x v="0"/>
  </r>
  <r>
    <x v="1572"/>
    <x v="1557"/>
    <x v="1"/>
    <x v="3"/>
    <x v="3"/>
    <x v="0"/>
    <x v="0"/>
    <x v="0"/>
    <x v="0"/>
    <x v="0"/>
    <x v="0"/>
    <x v="0"/>
    <x v="334"/>
    <x v="0"/>
    <x v="0"/>
  </r>
  <r>
    <x v="1573"/>
    <x v="1558"/>
    <x v="1"/>
    <x v="3"/>
    <x v="3"/>
    <x v="0"/>
    <x v="0"/>
    <x v="0"/>
    <x v="0"/>
    <x v="0"/>
    <x v="0"/>
    <x v="0"/>
    <x v="334"/>
    <x v="0"/>
    <x v="0"/>
  </r>
  <r>
    <x v="1574"/>
    <x v="1559"/>
    <x v="1"/>
    <x v="3"/>
    <x v="3"/>
    <x v="0"/>
    <x v="0"/>
    <x v="1"/>
    <x v="0"/>
    <x v="0"/>
    <x v="0"/>
    <x v="37"/>
    <x v="334"/>
    <x v="0"/>
    <x v="0"/>
  </r>
  <r>
    <x v="1575"/>
    <x v="1560"/>
    <x v="1"/>
    <x v="3"/>
    <x v="3"/>
    <x v="0"/>
    <x v="0"/>
    <x v="0"/>
    <x v="0"/>
    <x v="0"/>
    <x v="0"/>
    <x v="0"/>
    <x v="334"/>
    <x v="0"/>
    <x v="0"/>
  </r>
  <r>
    <x v="1576"/>
    <x v="1561"/>
    <x v="1"/>
    <x v="3"/>
    <x v="3"/>
    <x v="0"/>
    <x v="0"/>
    <x v="0"/>
    <x v="0"/>
    <x v="0"/>
    <x v="0"/>
    <x v="0"/>
    <x v="334"/>
    <x v="0"/>
    <x v="0"/>
  </r>
  <r>
    <x v="1577"/>
    <x v="1562"/>
    <x v="4"/>
    <x v="2"/>
    <x v="2"/>
    <x v="0"/>
    <x v="0"/>
    <x v="0"/>
    <x v="0"/>
    <x v="0"/>
    <x v="0"/>
    <x v="0"/>
    <x v="334"/>
    <x v="0"/>
    <x v="0"/>
  </r>
  <r>
    <x v="1578"/>
    <x v="1563"/>
    <x v="12"/>
    <x v="0"/>
    <x v="0"/>
    <x v="0"/>
    <x v="0"/>
    <x v="0"/>
    <x v="0"/>
    <x v="0"/>
    <x v="0"/>
    <x v="0"/>
    <x v="334"/>
    <x v="55"/>
    <x v="0"/>
  </r>
  <r>
    <x v="1579"/>
    <x v="1564"/>
    <x v="4"/>
    <x v="3"/>
    <x v="3"/>
    <x v="0"/>
    <x v="0"/>
    <x v="0"/>
    <x v="0"/>
    <x v="0"/>
    <x v="0"/>
    <x v="0"/>
    <x v="335"/>
    <x v="0"/>
    <x v="0"/>
  </r>
  <r>
    <x v="1580"/>
    <x v="1565"/>
    <x v="11"/>
    <x v="1"/>
    <x v="1"/>
    <x v="0"/>
    <x v="0"/>
    <x v="1"/>
    <x v="0"/>
    <x v="0"/>
    <x v="0"/>
    <x v="0"/>
    <x v="335"/>
    <x v="0"/>
    <x v="0"/>
  </r>
  <r>
    <x v="1581"/>
    <x v="1566"/>
    <x v="11"/>
    <x v="2"/>
    <x v="2"/>
    <x v="0"/>
    <x v="0"/>
    <x v="1"/>
    <x v="0"/>
    <x v="0"/>
    <x v="0"/>
    <x v="0"/>
    <x v="335"/>
    <x v="0"/>
    <x v="0"/>
  </r>
  <r>
    <x v="1582"/>
    <x v="1567"/>
    <x v="11"/>
    <x v="1"/>
    <x v="1"/>
    <x v="0"/>
    <x v="0"/>
    <x v="1"/>
    <x v="0"/>
    <x v="0"/>
    <x v="0"/>
    <x v="0"/>
    <x v="335"/>
    <x v="0"/>
    <x v="0"/>
  </r>
  <r>
    <x v="1583"/>
    <x v="1568"/>
    <x v="11"/>
    <x v="2"/>
    <x v="2"/>
    <x v="0"/>
    <x v="0"/>
    <x v="2"/>
    <x v="0"/>
    <x v="0"/>
    <x v="0"/>
    <x v="0"/>
    <x v="335"/>
    <x v="0"/>
    <x v="0"/>
  </r>
  <r>
    <x v="1584"/>
    <x v="1569"/>
    <x v="1"/>
    <x v="3"/>
    <x v="3"/>
    <x v="0"/>
    <x v="0"/>
    <x v="0"/>
    <x v="0"/>
    <x v="0"/>
    <x v="0"/>
    <x v="0"/>
    <x v="336"/>
    <x v="0"/>
    <x v="0"/>
  </r>
  <r>
    <x v="1585"/>
    <x v="1570"/>
    <x v="11"/>
    <x v="5"/>
    <x v="5"/>
    <x v="0"/>
    <x v="0"/>
    <x v="0"/>
    <x v="0"/>
    <x v="0"/>
    <x v="0"/>
    <x v="0"/>
    <x v="336"/>
    <x v="0"/>
    <x v="0"/>
  </r>
  <r>
    <x v="1586"/>
    <x v="1571"/>
    <x v="3"/>
    <x v="0"/>
    <x v="0"/>
    <x v="0"/>
    <x v="0"/>
    <x v="0"/>
    <x v="0"/>
    <x v="0"/>
    <x v="0"/>
    <x v="0"/>
    <x v="336"/>
    <x v="0"/>
    <x v="0"/>
  </r>
  <r>
    <x v="1587"/>
    <x v="1572"/>
    <x v="11"/>
    <x v="2"/>
    <x v="2"/>
    <x v="0"/>
    <x v="0"/>
    <x v="2"/>
    <x v="0"/>
    <x v="0"/>
    <x v="0"/>
    <x v="0"/>
    <x v="336"/>
    <x v="0"/>
    <x v="0"/>
  </r>
  <r>
    <x v="1588"/>
    <x v="1573"/>
    <x v="4"/>
    <x v="0"/>
    <x v="0"/>
    <x v="0"/>
    <x v="0"/>
    <x v="0"/>
    <x v="0"/>
    <x v="0"/>
    <x v="0"/>
    <x v="0"/>
    <x v="336"/>
    <x v="55"/>
    <x v="0"/>
  </r>
  <r>
    <x v="1589"/>
    <x v="1574"/>
    <x v="4"/>
    <x v="0"/>
    <x v="0"/>
    <x v="0"/>
    <x v="0"/>
    <x v="0"/>
    <x v="0"/>
    <x v="0"/>
    <x v="0"/>
    <x v="0"/>
    <x v="336"/>
    <x v="55"/>
    <x v="0"/>
  </r>
  <r>
    <x v="1590"/>
    <x v="1575"/>
    <x v="12"/>
    <x v="0"/>
    <x v="0"/>
    <x v="0"/>
    <x v="0"/>
    <x v="0"/>
    <x v="0"/>
    <x v="0"/>
    <x v="0"/>
    <x v="0"/>
    <x v="337"/>
    <x v="0"/>
    <x v="0"/>
  </r>
  <r>
    <x v="1591"/>
    <x v="947"/>
    <x v="4"/>
    <x v="2"/>
    <x v="2"/>
    <x v="0"/>
    <x v="0"/>
    <x v="3"/>
    <x v="0"/>
    <x v="0"/>
    <x v="0"/>
    <x v="0"/>
    <x v="337"/>
    <x v="0"/>
    <x v="0"/>
  </r>
  <r>
    <x v="1592"/>
    <x v="1576"/>
    <x v="12"/>
    <x v="0"/>
    <x v="0"/>
    <x v="0"/>
    <x v="0"/>
    <x v="0"/>
    <x v="0"/>
    <x v="0"/>
    <x v="0"/>
    <x v="0"/>
    <x v="337"/>
    <x v="56"/>
    <x v="0"/>
  </r>
  <r>
    <x v="1593"/>
    <x v="1577"/>
    <x v="11"/>
    <x v="2"/>
    <x v="2"/>
    <x v="0"/>
    <x v="0"/>
    <x v="0"/>
    <x v="0"/>
    <x v="0"/>
    <x v="0"/>
    <x v="0"/>
    <x v="337"/>
    <x v="0"/>
    <x v="0"/>
  </r>
  <r>
    <x v="1594"/>
    <x v="1578"/>
    <x v="4"/>
    <x v="1"/>
    <x v="1"/>
    <x v="0"/>
    <x v="0"/>
    <x v="0"/>
    <x v="0"/>
    <x v="0"/>
    <x v="21"/>
    <x v="0"/>
    <x v="337"/>
    <x v="0"/>
    <x v="0"/>
  </r>
  <r>
    <x v="1595"/>
    <x v="1579"/>
    <x v="12"/>
    <x v="0"/>
    <x v="0"/>
    <x v="0"/>
    <x v="0"/>
    <x v="0"/>
    <x v="0"/>
    <x v="0"/>
    <x v="0"/>
    <x v="0"/>
    <x v="337"/>
    <x v="53"/>
    <x v="0"/>
  </r>
  <r>
    <x v="1596"/>
    <x v="1580"/>
    <x v="12"/>
    <x v="0"/>
    <x v="0"/>
    <x v="0"/>
    <x v="0"/>
    <x v="0"/>
    <x v="0"/>
    <x v="0"/>
    <x v="0"/>
    <x v="0"/>
    <x v="337"/>
    <x v="53"/>
    <x v="0"/>
  </r>
  <r>
    <x v="1597"/>
    <x v="1581"/>
    <x v="12"/>
    <x v="0"/>
    <x v="0"/>
    <x v="0"/>
    <x v="0"/>
    <x v="0"/>
    <x v="0"/>
    <x v="0"/>
    <x v="0"/>
    <x v="0"/>
    <x v="337"/>
    <x v="53"/>
    <x v="0"/>
  </r>
  <r>
    <x v="1598"/>
    <x v="1582"/>
    <x v="12"/>
    <x v="0"/>
    <x v="0"/>
    <x v="0"/>
    <x v="0"/>
    <x v="0"/>
    <x v="0"/>
    <x v="0"/>
    <x v="0"/>
    <x v="0"/>
    <x v="337"/>
    <x v="53"/>
    <x v="0"/>
  </r>
  <r>
    <x v="1599"/>
    <x v="1583"/>
    <x v="12"/>
    <x v="0"/>
    <x v="0"/>
    <x v="0"/>
    <x v="0"/>
    <x v="0"/>
    <x v="0"/>
    <x v="0"/>
    <x v="0"/>
    <x v="0"/>
    <x v="337"/>
    <x v="55"/>
    <x v="0"/>
  </r>
  <r>
    <x v="1600"/>
    <x v="1584"/>
    <x v="4"/>
    <x v="2"/>
    <x v="2"/>
    <x v="0"/>
    <x v="0"/>
    <x v="0"/>
    <x v="0"/>
    <x v="0"/>
    <x v="21"/>
    <x v="0"/>
    <x v="337"/>
    <x v="0"/>
    <x v="0"/>
  </r>
  <r>
    <x v="1601"/>
    <x v="1585"/>
    <x v="12"/>
    <x v="0"/>
    <x v="0"/>
    <x v="0"/>
    <x v="0"/>
    <x v="0"/>
    <x v="0"/>
    <x v="0"/>
    <x v="0"/>
    <x v="0"/>
    <x v="337"/>
    <x v="57"/>
    <x v="0"/>
  </r>
  <r>
    <x v="1602"/>
    <x v="1586"/>
    <x v="12"/>
    <x v="0"/>
    <x v="0"/>
    <x v="0"/>
    <x v="0"/>
    <x v="0"/>
    <x v="0"/>
    <x v="0"/>
    <x v="0"/>
    <x v="0"/>
    <x v="337"/>
    <x v="53"/>
    <x v="0"/>
  </r>
  <r>
    <x v="1603"/>
    <x v="1587"/>
    <x v="12"/>
    <x v="0"/>
    <x v="0"/>
    <x v="0"/>
    <x v="0"/>
    <x v="0"/>
    <x v="0"/>
    <x v="0"/>
    <x v="0"/>
    <x v="0"/>
    <x v="337"/>
    <x v="0"/>
    <x v="0"/>
  </r>
  <r>
    <x v="1604"/>
    <x v="1588"/>
    <x v="4"/>
    <x v="0"/>
    <x v="0"/>
    <x v="0"/>
    <x v="0"/>
    <x v="0"/>
    <x v="0"/>
    <x v="0"/>
    <x v="0"/>
    <x v="0"/>
    <x v="337"/>
    <x v="0"/>
    <x v="0"/>
  </r>
  <r>
    <x v="1605"/>
    <x v="1589"/>
    <x v="12"/>
    <x v="0"/>
    <x v="0"/>
    <x v="0"/>
    <x v="0"/>
    <x v="0"/>
    <x v="0"/>
    <x v="0"/>
    <x v="0"/>
    <x v="0"/>
    <x v="337"/>
    <x v="0"/>
    <x v="0"/>
  </r>
  <r>
    <x v="1606"/>
    <x v="1590"/>
    <x v="4"/>
    <x v="0"/>
    <x v="0"/>
    <x v="0"/>
    <x v="0"/>
    <x v="0"/>
    <x v="0"/>
    <x v="0"/>
    <x v="0"/>
    <x v="0"/>
    <x v="337"/>
    <x v="0"/>
    <x v="0"/>
  </r>
  <r>
    <x v="1607"/>
    <x v="1591"/>
    <x v="4"/>
    <x v="0"/>
    <x v="0"/>
    <x v="0"/>
    <x v="0"/>
    <x v="0"/>
    <x v="0"/>
    <x v="0"/>
    <x v="0"/>
    <x v="0"/>
    <x v="337"/>
    <x v="0"/>
    <x v="0"/>
  </r>
  <r>
    <x v="1608"/>
    <x v="1592"/>
    <x v="4"/>
    <x v="0"/>
    <x v="0"/>
    <x v="0"/>
    <x v="0"/>
    <x v="0"/>
    <x v="0"/>
    <x v="0"/>
    <x v="0"/>
    <x v="0"/>
    <x v="337"/>
    <x v="0"/>
    <x v="0"/>
  </r>
  <r>
    <x v="1609"/>
    <x v="1592"/>
    <x v="9"/>
    <x v="0"/>
    <x v="0"/>
    <x v="0"/>
    <x v="0"/>
    <x v="0"/>
    <x v="0"/>
    <x v="0"/>
    <x v="0"/>
    <x v="0"/>
    <x v="337"/>
    <x v="0"/>
    <x v="0"/>
  </r>
  <r>
    <x v="1610"/>
    <x v="1593"/>
    <x v="4"/>
    <x v="0"/>
    <x v="0"/>
    <x v="0"/>
    <x v="0"/>
    <x v="0"/>
    <x v="0"/>
    <x v="0"/>
    <x v="0"/>
    <x v="0"/>
    <x v="337"/>
    <x v="0"/>
    <x v="0"/>
  </r>
  <r>
    <x v="1611"/>
    <x v="1594"/>
    <x v="12"/>
    <x v="0"/>
    <x v="0"/>
    <x v="0"/>
    <x v="0"/>
    <x v="0"/>
    <x v="0"/>
    <x v="0"/>
    <x v="0"/>
    <x v="0"/>
    <x v="337"/>
    <x v="55"/>
    <x v="0"/>
  </r>
  <r>
    <x v="1612"/>
    <x v="1595"/>
    <x v="12"/>
    <x v="0"/>
    <x v="0"/>
    <x v="0"/>
    <x v="0"/>
    <x v="0"/>
    <x v="0"/>
    <x v="0"/>
    <x v="0"/>
    <x v="0"/>
    <x v="337"/>
    <x v="58"/>
    <x v="0"/>
  </r>
  <r>
    <x v="1613"/>
    <x v="1596"/>
    <x v="12"/>
    <x v="0"/>
    <x v="0"/>
    <x v="0"/>
    <x v="0"/>
    <x v="0"/>
    <x v="0"/>
    <x v="0"/>
    <x v="0"/>
    <x v="0"/>
    <x v="337"/>
    <x v="59"/>
    <x v="0"/>
  </r>
  <r>
    <x v="1614"/>
    <x v="1597"/>
    <x v="12"/>
    <x v="0"/>
    <x v="0"/>
    <x v="0"/>
    <x v="0"/>
    <x v="0"/>
    <x v="0"/>
    <x v="0"/>
    <x v="0"/>
    <x v="0"/>
    <x v="337"/>
    <x v="58"/>
    <x v="0"/>
  </r>
  <r>
    <x v="1615"/>
    <x v="1598"/>
    <x v="12"/>
    <x v="0"/>
    <x v="0"/>
    <x v="0"/>
    <x v="0"/>
    <x v="0"/>
    <x v="0"/>
    <x v="0"/>
    <x v="0"/>
    <x v="0"/>
    <x v="337"/>
    <x v="56"/>
    <x v="0"/>
  </r>
  <r>
    <x v="1616"/>
    <x v="1317"/>
    <x v="4"/>
    <x v="0"/>
    <x v="0"/>
    <x v="0"/>
    <x v="0"/>
    <x v="0"/>
    <x v="0"/>
    <x v="0"/>
    <x v="0"/>
    <x v="0"/>
    <x v="337"/>
    <x v="0"/>
    <x v="0"/>
  </r>
  <r>
    <x v="1617"/>
    <x v="1599"/>
    <x v="1"/>
    <x v="5"/>
    <x v="5"/>
    <x v="0"/>
    <x v="0"/>
    <x v="0"/>
    <x v="0"/>
    <x v="0"/>
    <x v="23"/>
    <x v="0"/>
    <x v="338"/>
    <x v="0"/>
    <x v="0"/>
  </r>
  <r>
    <x v="1618"/>
    <x v="1600"/>
    <x v="1"/>
    <x v="5"/>
    <x v="5"/>
    <x v="0"/>
    <x v="0"/>
    <x v="0"/>
    <x v="0"/>
    <x v="0"/>
    <x v="23"/>
    <x v="0"/>
    <x v="338"/>
    <x v="0"/>
    <x v="0"/>
  </r>
  <r>
    <x v="1619"/>
    <x v="1601"/>
    <x v="4"/>
    <x v="2"/>
    <x v="2"/>
    <x v="0"/>
    <x v="0"/>
    <x v="2"/>
    <x v="0"/>
    <x v="0"/>
    <x v="0"/>
    <x v="1"/>
    <x v="338"/>
    <x v="0"/>
    <x v="0"/>
  </r>
  <r>
    <x v="1620"/>
    <x v="1602"/>
    <x v="11"/>
    <x v="2"/>
    <x v="2"/>
    <x v="0"/>
    <x v="0"/>
    <x v="3"/>
    <x v="0"/>
    <x v="0"/>
    <x v="0"/>
    <x v="0"/>
    <x v="338"/>
    <x v="0"/>
    <x v="0"/>
  </r>
  <r>
    <x v="1621"/>
    <x v="1603"/>
    <x v="4"/>
    <x v="2"/>
    <x v="2"/>
    <x v="0"/>
    <x v="0"/>
    <x v="0"/>
    <x v="0"/>
    <x v="0"/>
    <x v="0"/>
    <x v="0"/>
    <x v="338"/>
    <x v="0"/>
    <x v="0"/>
  </r>
  <r>
    <x v="1622"/>
    <x v="1604"/>
    <x v="11"/>
    <x v="2"/>
    <x v="2"/>
    <x v="0"/>
    <x v="0"/>
    <x v="0"/>
    <x v="0"/>
    <x v="0"/>
    <x v="0"/>
    <x v="0"/>
    <x v="339"/>
    <x v="0"/>
    <x v="0"/>
  </r>
  <r>
    <x v="1623"/>
    <x v="1605"/>
    <x v="4"/>
    <x v="3"/>
    <x v="3"/>
    <x v="0"/>
    <x v="0"/>
    <x v="0"/>
    <x v="0"/>
    <x v="0"/>
    <x v="0"/>
    <x v="0"/>
    <x v="339"/>
    <x v="0"/>
    <x v="0"/>
  </r>
  <r>
    <x v="1624"/>
    <x v="1606"/>
    <x v="4"/>
    <x v="0"/>
    <x v="0"/>
    <x v="0"/>
    <x v="0"/>
    <x v="0"/>
    <x v="0"/>
    <x v="0"/>
    <x v="0"/>
    <x v="0"/>
    <x v="339"/>
    <x v="53"/>
    <x v="0"/>
  </r>
  <r>
    <x v="1625"/>
    <x v="1607"/>
    <x v="13"/>
    <x v="0"/>
    <x v="0"/>
    <x v="0"/>
    <x v="0"/>
    <x v="0"/>
    <x v="0"/>
    <x v="0"/>
    <x v="0"/>
    <x v="0"/>
    <x v="339"/>
    <x v="53"/>
    <x v="0"/>
  </r>
  <r>
    <x v="1626"/>
    <x v="1608"/>
    <x v="1"/>
    <x v="3"/>
    <x v="3"/>
    <x v="0"/>
    <x v="0"/>
    <x v="0"/>
    <x v="0"/>
    <x v="0"/>
    <x v="0"/>
    <x v="0"/>
    <x v="339"/>
    <x v="0"/>
    <x v="0"/>
  </r>
  <r>
    <x v="1627"/>
    <x v="1609"/>
    <x v="11"/>
    <x v="2"/>
    <x v="2"/>
    <x v="0"/>
    <x v="0"/>
    <x v="0"/>
    <x v="0"/>
    <x v="0"/>
    <x v="0"/>
    <x v="0"/>
    <x v="339"/>
    <x v="0"/>
    <x v="0"/>
  </r>
  <r>
    <x v="1628"/>
    <x v="1610"/>
    <x v="4"/>
    <x v="2"/>
    <x v="2"/>
    <x v="0"/>
    <x v="0"/>
    <x v="0"/>
    <x v="0"/>
    <x v="0"/>
    <x v="0"/>
    <x v="0"/>
    <x v="339"/>
    <x v="0"/>
    <x v="0"/>
  </r>
  <r>
    <x v="1629"/>
    <x v="1611"/>
    <x v="1"/>
    <x v="5"/>
    <x v="5"/>
    <x v="0"/>
    <x v="0"/>
    <x v="0"/>
    <x v="0"/>
    <x v="0"/>
    <x v="23"/>
    <x v="0"/>
    <x v="340"/>
    <x v="0"/>
    <x v="0"/>
  </r>
  <r>
    <x v="1630"/>
    <x v="1612"/>
    <x v="4"/>
    <x v="1"/>
    <x v="1"/>
    <x v="0"/>
    <x v="0"/>
    <x v="0"/>
    <x v="0"/>
    <x v="0"/>
    <x v="0"/>
    <x v="0"/>
    <x v="340"/>
    <x v="0"/>
    <x v="0"/>
  </r>
  <r>
    <x v="1631"/>
    <x v="1613"/>
    <x v="12"/>
    <x v="0"/>
    <x v="0"/>
    <x v="0"/>
    <x v="0"/>
    <x v="0"/>
    <x v="0"/>
    <x v="0"/>
    <x v="0"/>
    <x v="0"/>
    <x v="340"/>
    <x v="53"/>
    <x v="0"/>
  </r>
  <r>
    <x v="1632"/>
    <x v="1614"/>
    <x v="12"/>
    <x v="0"/>
    <x v="0"/>
    <x v="0"/>
    <x v="0"/>
    <x v="0"/>
    <x v="0"/>
    <x v="0"/>
    <x v="0"/>
    <x v="0"/>
    <x v="340"/>
    <x v="0"/>
    <x v="0"/>
  </r>
  <r>
    <x v="1633"/>
    <x v="1615"/>
    <x v="12"/>
    <x v="0"/>
    <x v="0"/>
    <x v="0"/>
    <x v="0"/>
    <x v="0"/>
    <x v="0"/>
    <x v="0"/>
    <x v="0"/>
    <x v="0"/>
    <x v="340"/>
    <x v="0"/>
    <x v="0"/>
  </r>
  <r>
    <x v="1634"/>
    <x v="1616"/>
    <x v="12"/>
    <x v="0"/>
    <x v="0"/>
    <x v="0"/>
    <x v="0"/>
    <x v="0"/>
    <x v="0"/>
    <x v="0"/>
    <x v="0"/>
    <x v="0"/>
    <x v="340"/>
    <x v="0"/>
    <x v="0"/>
  </r>
  <r>
    <x v="1635"/>
    <x v="1617"/>
    <x v="12"/>
    <x v="0"/>
    <x v="0"/>
    <x v="0"/>
    <x v="0"/>
    <x v="0"/>
    <x v="0"/>
    <x v="0"/>
    <x v="0"/>
    <x v="0"/>
    <x v="340"/>
    <x v="0"/>
    <x v="0"/>
  </r>
  <r>
    <x v="1636"/>
    <x v="1618"/>
    <x v="12"/>
    <x v="0"/>
    <x v="0"/>
    <x v="0"/>
    <x v="0"/>
    <x v="0"/>
    <x v="0"/>
    <x v="0"/>
    <x v="0"/>
    <x v="0"/>
    <x v="340"/>
    <x v="0"/>
    <x v="0"/>
  </r>
  <r>
    <x v="1637"/>
    <x v="1619"/>
    <x v="12"/>
    <x v="0"/>
    <x v="0"/>
    <x v="0"/>
    <x v="0"/>
    <x v="0"/>
    <x v="0"/>
    <x v="0"/>
    <x v="0"/>
    <x v="0"/>
    <x v="340"/>
    <x v="0"/>
    <x v="0"/>
  </r>
  <r>
    <x v="1638"/>
    <x v="1620"/>
    <x v="12"/>
    <x v="0"/>
    <x v="0"/>
    <x v="0"/>
    <x v="0"/>
    <x v="0"/>
    <x v="0"/>
    <x v="0"/>
    <x v="0"/>
    <x v="0"/>
    <x v="340"/>
    <x v="0"/>
    <x v="0"/>
  </r>
  <r>
    <x v="1639"/>
    <x v="1621"/>
    <x v="12"/>
    <x v="0"/>
    <x v="0"/>
    <x v="0"/>
    <x v="0"/>
    <x v="0"/>
    <x v="0"/>
    <x v="0"/>
    <x v="0"/>
    <x v="0"/>
    <x v="340"/>
    <x v="0"/>
    <x v="0"/>
  </r>
  <r>
    <x v="1640"/>
    <x v="1622"/>
    <x v="12"/>
    <x v="0"/>
    <x v="0"/>
    <x v="0"/>
    <x v="0"/>
    <x v="0"/>
    <x v="0"/>
    <x v="0"/>
    <x v="0"/>
    <x v="0"/>
    <x v="340"/>
    <x v="0"/>
    <x v="0"/>
  </r>
  <r>
    <x v="1641"/>
    <x v="1623"/>
    <x v="4"/>
    <x v="5"/>
    <x v="5"/>
    <x v="0"/>
    <x v="0"/>
    <x v="0"/>
    <x v="0"/>
    <x v="0"/>
    <x v="23"/>
    <x v="0"/>
    <x v="341"/>
    <x v="0"/>
    <x v="0"/>
  </r>
  <r>
    <x v="1642"/>
    <x v="1624"/>
    <x v="1"/>
    <x v="5"/>
    <x v="5"/>
    <x v="0"/>
    <x v="0"/>
    <x v="0"/>
    <x v="0"/>
    <x v="0"/>
    <x v="23"/>
    <x v="0"/>
    <x v="341"/>
    <x v="0"/>
    <x v="0"/>
  </r>
  <r>
    <x v="1643"/>
    <x v="1625"/>
    <x v="1"/>
    <x v="5"/>
    <x v="5"/>
    <x v="0"/>
    <x v="0"/>
    <x v="0"/>
    <x v="0"/>
    <x v="0"/>
    <x v="23"/>
    <x v="0"/>
    <x v="341"/>
    <x v="0"/>
    <x v="0"/>
  </r>
  <r>
    <x v="1644"/>
    <x v="1626"/>
    <x v="1"/>
    <x v="5"/>
    <x v="5"/>
    <x v="0"/>
    <x v="0"/>
    <x v="0"/>
    <x v="0"/>
    <x v="0"/>
    <x v="23"/>
    <x v="0"/>
    <x v="341"/>
    <x v="0"/>
    <x v="0"/>
  </r>
  <r>
    <x v="1645"/>
    <x v="1627"/>
    <x v="1"/>
    <x v="5"/>
    <x v="5"/>
    <x v="0"/>
    <x v="0"/>
    <x v="1"/>
    <x v="0"/>
    <x v="0"/>
    <x v="23"/>
    <x v="0"/>
    <x v="341"/>
    <x v="0"/>
    <x v="0"/>
  </r>
  <r>
    <x v="1646"/>
    <x v="1628"/>
    <x v="9"/>
    <x v="0"/>
    <x v="0"/>
    <x v="0"/>
    <x v="0"/>
    <x v="0"/>
    <x v="0"/>
    <x v="0"/>
    <x v="0"/>
    <x v="0"/>
    <x v="341"/>
    <x v="0"/>
    <x v="0"/>
  </r>
  <r>
    <x v="1647"/>
    <x v="1629"/>
    <x v="10"/>
    <x v="0"/>
    <x v="0"/>
    <x v="0"/>
    <x v="0"/>
    <x v="0"/>
    <x v="0"/>
    <x v="0"/>
    <x v="0"/>
    <x v="0"/>
    <x v="341"/>
    <x v="53"/>
    <x v="0"/>
  </r>
  <r>
    <x v="1648"/>
    <x v="1630"/>
    <x v="10"/>
    <x v="0"/>
    <x v="0"/>
    <x v="0"/>
    <x v="0"/>
    <x v="0"/>
    <x v="0"/>
    <x v="0"/>
    <x v="0"/>
    <x v="0"/>
    <x v="341"/>
    <x v="53"/>
    <x v="0"/>
  </r>
  <r>
    <x v="1649"/>
    <x v="1631"/>
    <x v="4"/>
    <x v="0"/>
    <x v="0"/>
    <x v="0"/>
    <x v="0"/>
    <x v="0"/>
    <x v="0"/>
    <x v="0"/>
    <x v="0"/>
    <x v="0"/>
    <x v="341"/>
    <x v="0"/>
    <x v="0"/>
  </r>
  <r>
    <x v="1650"/>
    <x v="1632"/>
    <x v="10"/>
    <x v="0"/>
    <x v="0"/>
    <x v="0"/>
    <x v="0"/>
    <x v="0"/>
    <x v="0"/>
    <x v="0"/>
    <x v="0"/>
    <x v="0"/>
    <x v="341"/>
    <x v="53"/>
    <x v="0"/>
  </r>
  <r>
    <x v="1651"/>
    <x v="1633"/>
    <x v="10"/>
    <x v="0"/>
    <x v="0"/>
    <x v="0"/>
    <x v="0"/>
    <x v="0"/>
    <x v="0"/>
    <x v="0"/>
    <x v="0"/>
    <x v="0"/>
    <x v="341"/>
    <x v="53"/>
    <x v="0"/>
  </r>
  <r>
    <x v="1652"/>
    <x v="1634"/>
    <x v="3"/>
    <x v="0"/>
    <x v="0"/>
    <x v="0"/>
    <x v="0"/>
    <x v="0"/>
    <x v="0"/>
    <x v="0"/>
    <x v="0"/>
    <x v="0"/>
    <x v="341"/>
    <x v="53"/>
    <x v="0"/>
  </r>
  <r>
    <x v="1653"/>
    <x v="1635"/>
    <x v="13"/>
    <x v="0"/>
    <x v="0"/>
    <x v="0"/>
    <x v="0"/>
    <x v="0"/>
    <x v="0"/>
    <x v="0"/>
    <x v="0"/>
    <x v="0"/>
    <x v="341"/>
    <x v="53"/>
    <x v="0"/>
  </r>
  <r>
    <x v="1654"/>
    <x v="1636"/>
    <x v="3"/>
    <x v="0"/>
    <x v="0"/>
    <x v="0"/>
    <x v="0"/>
    <x v="0"/>
    <x v="0"/>
    <x v="0"/>
    <x v="0"/>
    <x v="0"/>
    <x v="341"/>
    <x v="0"/>
    <x v="0"/>
  </r>
  <r>
    <x v="1655"/>
    <x v="1637"/>
    <x v="13"/>
    <x v="0"/>
    <x v="0"/>
    <x v="0"/>
    <x v="0"/>
    <x v="0"/>
    <x v="0"/>
    <x v="0"/>
    <x v="0"/>
    <x v="0"/>
    <x v="341"/>
    <x v="53"/>
    <x v="0"/>
  </r>
  <r>
    <x v="1656"/>
    <x v="1638"/>
    <x v="12"/>
    <x v="0"/>
    <x v="0"/>
    <x v="0"/>
    <x v="0"/>
    <x v="0"/>
    <x v="0"/>
    <x v="0"/>
    <x v="0"/>
    <x v="0"/>
    <x v="341"/>
    <x v="53"/>
    <x v="0"/>
  </r>
  <r>
    <x v="1657"/>
    <x v="1639"/>
    <x v="13"/>
    <x v="0"/>
    <x v="0"/>
    <x v="0"/>
    <x v="0"/>
    <x v="0"/>
    <x v="0"/>
    <x v="0"/>
    <x v="0"/>
    <x v="0"/>
    <x v="341"/>
    <x v="0"/>
    <x v="0"/>
  </r>
  <r>
    <x v="1658"/>
    <x v="1640"/>
    <x v="4"/>
    <x v="2"/>
    <x v="2"/>
    <x v="0"/>
    <x v="0"/>
    <x v="0"/>
    <x v="0"/>
    <x v="0"/>
    <x v="0"/>
    <x v="0"/>
    <x v="341"/>
    <x v="46"/>
    <x v="0"/>
  </r>
  <r>
    <x v="1659"/>
    <x v="1641"/>
    <x v="4"/>
    <x v="2"/>
    <x v="2"/>
    <x v="0"/>
    <x v="0"/>
    <x v="1"/>
    <x v="0"/>
    <x v="0"/>
    <x v="9"/>
    <x v="41"/>
    <x v="341"/>
    <x v="45"/>
    <x v="0"/>
  </r>
  <r>
    <x v="1660"/>
    <x v="1642"/>
    <x v="4"/>
    <x v="5"/>
    <x v="5"/>
    <x v="0"/>
    <x v="0"/>
    <x v="7"/>
    <x v="0"/>
    <x v="0"/>
    <x v="0"/>
    <x v="41"/>
    <x v="341"/>
    <x v="45"/>
    <x v="0"/>
  </r>
  <r>
    <x v="1661"/>
    <x v="1643"/>
    <x v="4"/>
    <x v="2"/>
    <x v="2"/>
    <x v="0"/>
    <x v="0"/>
    <x v="7"/>
    <x v="0"/>
    <x v="0"/>
    <x v="21"/>
    <x v="0"/>
    <x v="341"/>
    <x v="0"/>
    <x v="0"/>
  </r>
  <r>
    <x v="1662"/>
    <x v="1644"/>
    <x v="4"/>
    <x v="2"/>
    <x v="2"/>
    <x v="0"/>
    <x v="0"/>
    <x v="7"/>
    <x v="0"/>
    <x v="0"/>
    <x v="21"/>
    <x v="0"/>
    <x v="341"/>
    <x v="0"/>
    <x v="0"/>
  </r>
  <r>
    <x v="1663"/>
    <x v="1645"/>
    <x v="4"/>
    <x v="2"/>
    <x v="2"/>
    <x v="0"/>
    <x v="0"/>
    <x v="1"/>
    <x v="0"/>
    <x v="0"/>
    <x v="21"/>
    <x v="0"/>
    <x v="341"/>
    <x v="0"/>
    <x v="0"/>
  </r>
  <r>
    <x v="1664"/>
    <x v="1646"/>
    <x v="12"/>
    <x v="0"/>
    <x v="0"/>
    <x v="0"/>
    <x v="0"/>
    <x v="0"/>
    <x v="0"/>
    <x v="0"/>
    <x v="0"/>
    <x v="0"/>
    <x v="342"/>
    <x v="52"/>
    <x v="0"/>
  </r>
  <r>
    <x v="1665"/>
    <x v="1647"/>
    <x v="11"/>
    <x v="2"/>
    <x v="2"/>
    <x v="0"/>
    <x v="0"/>
    <x v="0"/>
    <x v="0"/>
    <x v="0"/>
    <x v="11"/>
    <x v="0"/>
    <x v="342"/>
    <x v="0"/>
    <x v="0"/>
  </r>
  <r>
    <x v="1666"/>
    <x v="1648"/>
    <x v="2"/>
    <x v="5"/>
    <x v="5"/>
    <x v="0"/>
    <x v="0"/>
    <x v="11"/>
    <x v="0"/>
    <x v="0"/>
    <x v="0"/>
    <x v="0"/>
    <x v="342"/>
    <x v="0"/>
    <x v="0"/>
  </r>
  <r>
    <x v="1667"/>
    <x v="1649"/>
    <x v="4"/>
    <x v="2"/>
    <x v="2"/>
    <x v="0"/>
    <x v="0"/>
    <x v="1"/>
    <x v="0"/>
    <x v="0"/>
    <x v="21"/>
    <x v="0"/>
    <x v="343"/>
    <x v="0"/>
    <x v="0"/>
  </r>
  <r>
    <x v="1668"/>
    <x v="1650"/>
    <x v="1"/>
    <x v="5"/>
    <x v="5"/>
    <x v="0"/>
    <x v="0"/>
    <x v="0"/>
    <x v="0"/>
    <x v="0"/>
    <x v="0"/>
    <x v="0"/>
    <x v="344"/>
    <x v="0"/>
    <x v="0"/>
  </r>
  <r>
    <x v="1669"/>
    <x v="1651"/>
    <x v="11"/>
    <x v="2"/>
    <x v="2"/>
    <x v="0"/>
    <x v="0"/>
    <x v="5"/>
    <x v="0"/>
    <x v="0"/>
    <x v="0"/>
    <x v="0"/>
    <x v="345"/>
    <x v="60"/>
    <x v="0"/>
  </r>
  <r>
    <x v="1670"/>
    <x v="1652"/>
    <x v="4"/>
    <x v="2"/>
    <x v="2"/>
    <x v="0"/>
    <x v="0"/>
    <x v="10"/>
    <x v="0"/>
    <x v="0"/>
    <x v="0"/>
    <x v="0"/>
    <x v="346"/>
    <x v="0"/>
    <x v="0"/>
  </r>
  <r>
    <x v="1671"/>
    <x v="1653"/>
    <x v="1"/>
    <x v="2"/>
    <x v="2"/>
    <x v="0"/>
    <x v="0"/>
    <x v="0"/>
    <x v="0"/>
    <x v="0"/>
    <x v="0"/>
    <x v="0"/>
    <x v="347"/>
    <x v="0"/>
    <x v="0"/>
  </r>
  <r>
    <x v="1672"/>
    <x v="1654"/>
    <x v="1"/>
    <x v="1"/>
    <x v="1"/>
    <x v="0"/>
    <x v="3"/>
    <x v="0"/>
    <x v="0"/>
    <x v="0"/>
    <x v="0"/>
    <x v="0"/>
    <x v="347"/>
    <x v="0"/>
    <x v="0"/>
  </r>
  <r>
    <x v="1673"/>
    <x v="1655"/>
    <x v="1"/>
    <x v="2"/>
    <x v="2"/>
    <x v="0"/>
    <x v="3"/>
    <x v="0"/>
    <x v="0"/>
    <x v="0"/>
    <x v="0"/>
    <x v="0"/>
    <x v="347"/>
    <x v="0"/>
    <x v="0"/>
  </r>
  <r>
    <x v="1674"/>
    <x v="1656"/>
    <x v="1"/>
    <x v="2"/>
    <x v="2"/>
    <x v="0"/>
    <x v="3"/>
    <x v="0"/>
    <x v="0"/>
    <x v="0"/>
    <x v="0"/>
    <x v="0"/>
    <x v="347"/>
    <x v="0"/>
    <x v="0"/>
  </r>
  <r>
    <x v="1675"/>
    <x v="1657"/>
    <x v="1"/>
    <x v="2"/>
    <x v="2"/>
    <x v="0"/>
    <x v="0"/>
    <x v="0"/>
    <x v="0"/>
    <x v="0"/>
    <x v="0"/>
    <x v="0"/>
    <x v="347"/>
    <x v="0"/>
    <x v="0"/>
  </r>
  <r>
    <x v="1676"/>
    <x v="1658"/>
    <x v="1"/>
    <x v="2"/>
    <x v="2"/>
    <x v="0"/>
    <x v="0"/>
    <x v="0"/>
    <x v="0"/>
    <x v="0"/>
    <x v="0"/>
    <x v="0"/>
    <x v="347"/>
    <x v="0"/>
    <x v="0"/>
  </r>
  <r>
    <x v="1677"/>
    <x v="1659"/>
    <x v="1"/>
    <x v="2"/>
    <x v="2"/>
    <x v="0"/>
    <x v="0"/>
    <x v="0"/>
    <x v="0"/>
    <x v="0"/>
    <x v="0"/>
    <x v="0"/>
    <x v="347"/>
    <x v="0"/>
    <x v="0"/>
  </r>
  <r>
    <x v="1678"/>
    <x v="1660"/>
    <x v="1"/>
    <x v="2"/>
    <x v="2"/>
    <x v="0"/>
    <x v="0"/>
    <x v="0"/>
    <x v="0"/>
    <x v="0"/>
    <x v="0"/>
    <x v="0"/>
    <x v="347"/>
    <x v="0"/>
    <x v="0"/>
  </r>
  <r>
    <x v="1679"/>
    <x v="1661"/>
    <x v="1"/>
    <x v="2"/>
    <x v="2"/>
    <x v="0"/>
    <x v="0"/>
    <x v="0"/>
    <x v="0"/>
    <x v="0"/>
    <x v="0"/>
    <x v="0"/>
    <x v="347"/>
    <x v="0"/>
    <x v="0"/>
  </r>
  <r>
    <x v="1680"/>
    <x v="1662"/>
    <x v="1"/>
    <x v="2"/>
    <x v="2"/>
    <x v="0"/>
    <x v="0"/>
    <x v="0"/>
    <x v="0"/>
    <x v="0"/>
    <x v="0"/>
    <x v="0"/>
    <x v="347"/>
    <x v="0"/>
    <x v="0"/>
  </r>
  <r>
    <x v="1681"/>
    <x v="1663"/>
    <x v="1"/>
    <x v="2"/>
    <x v="2"/>
    <x v="0"/>
    <x v="0"/>
    <x v="0"/>
    <x v="0"/>
    <x v="0"/>
    <x v="0"/>
    <x v="0"/>
    <x v="347"/>
    <x v="0"/>
    <x v="0"/>
  </r>
  <r>
    <x v="1682"/>
    <x v="1664"/>
    <x v="1"/>
    <x v="2"/>
    <x v="2"/>
    <x v="0"/>
    <x v="0"/>
    <x v="0"/>
    <x v="0"/>
    <x v="0"/>
    <x v="0"/>
    <x v="0"/>
    <x v="347"/>
    <x v="0"/>
    <x v="0"/>
  </r>
  <r>
    <x v="1683"/>
    <x v="1665"/>
    <x v="4"/>
    <x v="5"/>
    <x v="5"/>
    <x v="0"/>
    <x v="0"/>
    <x v="1"/>
    <x v="0"/>
    <x v="0"/>
    <x v="22"/>
    <x v="42"/>
    <x v="347"/>
    <x v="61"/>
    <x v="0"/>
  </r>
  <r>
    <x v="1684"/>
    <x v="1666"/>
    <x v="1"/>
    <x v="2"/>
    <x v="2"/>
    <x v="0"/>
    <x v="3"/>
    <x v="0"/>
    <x v="0"/>
    <x v="0"/>
    <x v="0"/>
    <x v="0"/>
    <x v="347"/>
    <x v="0"/>
    <x v="0"/>
  </r>
  <r>
    <x v="1685"/>
    <x v="1667"/>
    <x v="4"/>
    <x v="2"/>
    <x v="2"/>
    <x v="0"/>
    <x v="0"/>
    <x v="0"/>
    <x v="0"/>
    <x v="0"/>
    <x v="0"/>
    <x v="0"/>
    <x v="348"/>
    <x v="0"/>
    <x v="0"/>
  </r>
  <r>
    <x v="1686"/>
    <x v="1668"/>
    <x v="4"/>
    <x v="2"/>
    <x v="2"/>
    <x v="0"/>
    <x v="0"/>
    <x v="0"/>
    <x v="0"/>
    <x v="0"/>
    <x v="0"/>
    <x v="0"/>
    <x v="348"/>
    <x v="0"/>
    <x v="0"/>
  </r>
  <r>
    <x v="1687"/>
    <x v="1669"/>
    <x v="9"/>
    <x v="0"/>
    <x v="0"/>
    <x v="0"/>
    <x v="0"/>
    <x v="0"/>
    <x v="0"/>
    <x v="0"/>
    <x v="0"/>
    <x v="0"/>
    <x v="349"/>
    <x v="0"/>
    <x v="0"/>
  </r>
  <r>
    <x v="1688"/>
    <x v="1670"/>
    <x v="9"/>
    <x v="0"/>
    <x v="0"/>
    <x v="0"/>
    <x v="0"/>
    <x v="0"/>
    <x v="0"/>
    <x v="0"/>
    <x v="0"/>
    <x v="0"/>
    <x v="349"/>
    <x v="0"/>
    <x v="0"/>
  </r>
  <r>
    <x v="1689"/>
    <x v="1671"/>
    <x v="11"/>
    <x v="2"/>
    <x v="2"/>
    <x v="0"/>
    <x v="0"/>
    <x v="0"/>
    <x v="0"/>
    <x v="0"/>
    <x v="0"/>
    <x v="0"/>
    <x v="349"/>
    <x v="0"/>
    <x v="0"/>
  </r>
  <r>
    <x v="1690"/>
    <x v="1672"/>
    <x v="9"/>
    <x v="0"/>
    <x v="0"/>
    <x v="0"/>
    <x v="0"/>
    <x v="0"/>
    <x v="0"/>
    <x v="0"/>
    <x v="0"/>
    <x v="0"/>
    <x v="349"/>
    <x v="0"/>
    <x v="0"/>
  </r>
  <r>
    <x v="1691"/>
    <x v="1673"/>
    <x v="0"/>
    <x v="0"/>
    <x v="0"/>
    <x v="0"/>
    <x v="0"/>
    <x v="0"/>
    <x v="0"/>
    <x v="0"/>
    <x v="0"/>
    <x v="0"/>
    <x v="349"/>
    <x v="0"/>
    <x v="0"/>
  </r>
  <r>
    <x v="1692"/>
    <x v="1674"/>
    <x v="0"/>
    <x v="0"/>
    <x v="0"/>
    <x v="0"/>
    <x v="0"/>
    <x v="0"/>
    <x v="0"/>
    <x v="0"/>
    <x v="0"/>
    <x v="0"/>
    <x v="349"/>
    <x v="0"/>
    <x v="0"/>
  </r>
  <r>
    <x v="1693"/>
    <x v="1675"/>
    <x v="0"/>
    <x v="0"/>
    <x v="0"/>
    <x v="0"/>
    <x v="0"/>
    <x v="0"/>
    <x v="0"/>
    <x v="0"/>
    <x v="0"/>
    <x v="0"/>
    <x v="349"/>
    <x v="0"/>
    <x v="0"/>
  </r>
  <r>
    <x v="1694"/>
    <x v="1676"/>
    <x v="4"/>
    <x v="2"/>
    <x v="2"/>
    <x v="0"/>
    <x v="0"/>
    <x v="0"/>
    <x v="0"/>
    <x v="0"/>
    <x v="0"/>
    <x v="0"/>
    <x v="349"/>
    <x v="0"/>
    <x v="0"/>
  </r>
  <r>
    <x v="1695"/>
    <x v="1677"/>
    <x v="1"/>
    <x v="1"/>
    <x v="1"/>
    <x v="0"/>
    <x v="3"/>
    <x v="0"/>
    <x v="0"/>
    <x v="0"/>
    <x v="0"/>
    <x v="0"/>
    <x v="350"/>
    <x v="0"/>
    <x v="0"/>
  </r>
  <r>
    <x v="1696"/>
    <x v="1678"/>
    <x v="1"/>
    <x v="2"/>
    <x v="2"/>
    <x v="0"/>
    <x v="1"/>
    <x v="0"/>
    <x v="0"/>
    <x v="0"/>
    <x v="0"/>
    <x v="0"/>
    <x v="350"/>
    <x v="62"/>
    <x v="0"/>
  </r>
  <r>
    <x v="1697"/>
    <x v="1679"/>
    <x v="4"/>
    <x v="2"/>
    <x v="2"/>
    <x v="0"/>
    <x v="0"/>
    <x v="0"/>
    <x v="0"/>
    <x v="0"/>
    <x v="0"/>
    <x v="0"/>
    <x v="350"/>
    <x v="0"/>
    <x v="0"/>
  </r>
  <r>
    <x v="1698"/>
    <x v="1680"/>
    <x v="1"/>
    <x v="2"/>
    <x v="2"/>
    <x v="0"/>
    <x v="2"/>
    <x v="0"/>
    <x v="0"/>
    <x v="0"/>
    <x v="0"/>
    <x v="0"/>
    <x v="350"/>
    <x v="0"/>
    <x v="0"/>
  </r>
  <r>
    <x v="1699"/>
    <x v="1673"/>
    <x v="9"/>
    <x v="0"/>
    <x v="0"/>
    <x v="0"/>
    <x v="0"/>
    <x v="0"/>
    <x v="0"/>
    <x v="0"/>
    <x v="0"/>
    <x v="0"/>
    <x v="350"/>
    <x v="0"/>
    <x v="0"/>
  </r>
  <r>
    <x v="1700"/>
    <x v="1681"/>
    <x v="4"/>
    <x v="2"/>
    <x v="2"/>
    <x v="0"/>
    <x v="0"/>
    <x v="0"/>
    <x v="0"/>
    <x v="0"/>
    <x v="0"/>
    <x v="0"/>
    <x v="350"/>
    <x v="0"/>
    <x v="0"/>
  </r>
  <r>
    <x v="1701"/>
    <x v="1682"/>
    <x v="4"/>
    <x v="2"/>
    <x v="2"/>
    <x v="0"/>
    <x v="0"/>
    <x v="0"/>
    <x v="0"/>
    <x v="0"/>
    <x v="0"/>
    <x v="0"/>
    <x v="350"/>
    <x v="0"/>
    <x v="0"/>
  </r>
  <r>
    <x v="1702"/>
    <x v="1683"/>
    <x v="4"/>
    <x v="2"/>
    <x v="2"/>
    <x v="0"/>
    <x v="0"/>
    <x v="0"/>
    <x v="0"/>
    <x v="0"/>
    <x v="0"/>
    <x v="0"/>
    <x v="350"/>
    <x v="0"/>
    <x v="0"/>
  </r>
  <r>
    <x v="1703"/>
    <x v="1684"/>
    <x v="4"/>
    <x v="1"/>
    <x v="1"/>
    <x v="0"/>
    <x v="0"/>
    <x v="0"/>
    <x v="0"/>
    <x v="0"/>
    <x v="0"/>
    <x v="0"/>
    <x v="350"/>
    <x v="0"/>
    <x v="0"/>
  </r>
  <r>
    <x v="1704"/>
    <x v="1685"/>
    <x v="4"/>
    <x v="2"/>
    <x v="2"/>
    <x v="0"/>
    <x v="0"/>
    <x v="0"/>
    <x v="0"/>
    <x v="0"/>
    <x v="0"/>
    <x v="0"/>
    <x v="350"/>
    <x v="0"/>
    <x v="0"/>
  </r>
  <r>
    <x v="1705"/>
    <x v="1686"/>
    <x v="4"/>
    <x v="2"/>
    <x v="2"/>
    <x v="0"/>
    <x v="0"/>
    <x v="0"/>
    <x v="0"/>
    <x v="0"/>
    <x v="0"/>
    <x v="0"/>
    <x v="350"/>
    <x v="0"/>
    <x v="0"/>
  </r>
  <r>
    <x v="1706"/>
    <x v="1687"/>
    <x v="11"/>
    <x v="1"/>
    <x v="1"/>
    <x v="0"/>
    <x v="0"/>
    <x v="1"/>
    <x v="0"/>
    <x v="0"/>
    <x v="0"/>
    <x v="0"/>
    <x v="350"/>
    <x v="0"/>
    <x v="0"/>
  </r>
  <r>
    <x v="1707"/>
    <x v="1688"/>
    <x v="4"/>
    <x v="2"/>
    <x v="2"/>
    <x v="0"/>
    <x v="0"/>
    <x v="0"/>
    <x v="0"/>
    <x v="0"/>
    <x v="7"/>
    <x v="0"/>
    <x v="351"/>
    <x v="0"/>
    <x v="0"/>
  </r>
  <r>
    <x v="1708"/>
    <x v="1689"/>
    <x v="4"/>
    <x v="3"/>
    <x v="3"/>
    <x v="0"/>
    <x v="0"/>
    <x v="0"/>
    <x v="0"/>
    <x v="0"/>
    <x v="0"/>
    <x v="0"/>
    <x v="352"/>
    <x v="63"/>
    <x v="0"/>
  </r>
  <r>
    <x v="1709"/>
    <x v="1690"/>
    <x v="1"/>
    <x v="5"/>
    <x v="5"/>
    <x v="0"/>
    <x v="0"/>
    <x v="0"/>
    <x v="0"/>
    <x v="0"/>
    <x v="0"/>
    <x v="0"/>
    <x v="352"/>
    <x v="0"/>
    <x v="0"/>
  </r>
  <r>
    <x v="1710"/>
    <x v="1691"/>
    <x v="4"/>
    <x v="1"/>
    <x v="1"/>
    <x v="0"/>
    <x v="0"/>
    <x v="0"/>
    <x v="0"/>
    <x v="0"/>
    <x v="0"/>
    <x v="0"/>
    <x v="352"/>
    <x v="0"/>
    <x v="0"/>
  </r>
  <r>
    <x v="1711"/>
    <x v="1692"/>
    <x v="11"/>
    <x v="1"/>
    <x v="1"/>
    <x v="0"/>
    <x v="0"/>
    <x v="0"/>
    <x v="0"/>
    <x v="0"/>
    <x v="0"/>
    <x v="0"/>
    <x v="352"/>
    <x v="0"/>
    <x v="0"/>
  </r>
  <r>
    <x v="1712"/>
    <x v="1693"/>
    <x v="11"/>
    <x v="2"/>
    <x v="2"/>
    <x v="0"/>
    <x v="0"/>
    <x v="1"/>
    <x v="0"/>
    <x v="0"/>
    <x v="0"/>
    <x v="0"/>
    <x v="352"/>
    <x v="0"/>
    <x v="0"/>
  </r>
  <r>
    <x v="1713"/>
    <x v="1694"/>
    <x v="11"/>
    <x v="2"/>
    <x v="2"/>
    <x v="0"/>
    <x v="0"/>
    <x v="0"/>
    <x v="0"/>
    <x v="0"/>
    <x v="0"/>
    <x v="0"/>
    <x v="353"/>
    <x v="0"/>
    <x v="0"/>
  </r>
  <r>
    <x v="1714"/>
    <x v="1695"/>
    <x v="4"/>
    <x v="1"/>
    <x v="1"/>
    <x v="0"/>
    <x v="0"/>
    <x v="0"/>
    <x v="0"/>
    <x v="0"/>
    <x v="0"/>
    <x v="0"/>
    <x v="353"/>
    <x v="0"/>
    <x v="0"/>
  </r>
  <r>
    <x v="1715"/>
    <x v="1696"/>
    <x v="1"/>
    <x v="5"/>
    <x v="5"/>
    <x v="0"/>
    <x v="0"/>
    <x v="0"/>
    <x v="0"/>
    <x v="0"/>
    <x v="0"/>
    <x v="0"/>
    <x v="354"/>
    <x v="0"/>
    <x v="0"/>
  </r>
  <r>
    <x v="1716"/>
    <x v="1697"/>
    <x v="11"/>
    <x v="2"/>
    <x v="2"/>
    <x v="0"/>
    <x v="0"/>
    <x v="0"/>
    <x v="0"/>
    <x v="0"/>
    <x v="0"/>
    <x v="0"/>
    <x v="354"/>
    <x v="0"/>
    <x v="0"/>
  </r>
  <r>
    <x v="1717"/>
    <x v="1698"/>
    <x v="1"/>
    <x v="5"/>
    <x v="5"/>
    <x v="0"/>
    <x v="0"/>
    <x v="0"/>
    <x v="0"/>
    <x v="0"/>
    <x v="0"/>
    <x v="0"/>
    <x v="354"/>
    <x v="0"/>
    <x v="0"/>
  </r>
  <r>
    <x v="1718"/>
    <x v="1699"/>
    <x v="1"/>
    <x v="3"/>
    <x v="3"/>
    <x v="0"/>
    <x v="0"/>
    <x v="0"/>
    <x v="0"/>
    <x v="0"/>
    <x v="0"/>
    <x v="0"/>
    <x v="355"/>
    <x v="0"/>
    <x v="0"/>
  </r>
  <r>
    <x v="1719"/>
    <x v="1700"/>
    <x v="4"/>
    <x v="5"/>
    <x v="5"/>
    <x v="0"/>
    <x v="0"/>
    <x v="0"/>
    <x v="0"/>
    <x v="0"/>
    <x v="22"/>
    <x v="42"/>
    <x v="355"/>
    <x v="64"/>
    <x v="0"/>
  </r>
  <r>
    <x v="1720"/>
    <x v="1701"/>
    <x v="11"/>
    <x v="2"/>
    <x v="2"/>
    <x v="0"/>
    <x v="0"/>
    <x v="2"/>
    <x v="0"/>
    <x v="0"/>
    <x v="0"/>
    <x v="0"/>
    <x v="356"/>
    <x v="60"/>
    <x v="0"/>
  </r>
  <r>
    <x v="1721"/>
    <x v="1702"/>
    <x v="2"/>
    <x v="0"/>
    <x v="0"/>
    <x v="0"/>
    <x v="0"/>
    <x v="0"/>
    <x v="0"/>
    <x v="0"/>
    <x v="0"/>
    <x v="0"/>
    <x v="357"/>
    <x v="0"/>
    <x v="0"/>
  </r>
  <r>
    <x v="1722"/>
    <x v="1703"/>
    <x v="2"/>
    <x v="0"/>
    <x v="0"/>
    <x v="0"/>
    <x v="0"/>
    <x v="0"/>
    <x v="0"/>
    <x v="0"/>
    <x v="0"/>
    <x v="0"/>
    <x v="357"/>
    <x v="0"/>
    <x v="0"/>
  </r>
  <r>
    <x v="1723"/>
    <x v="1636"/>
    <x v="9"/>
    <x v="0"/>
    <x v="0"/>
    <x v="0"/>
    <x v="0"/>
    <x v="0"/>
    <x v="0"/>
    <x v="0"/>
    <x v="0"/>
    <x v="0"/>
    <x v="357"/>
    <x v="0"/>
    <x v="0"/>
  </r>
  <r>
    <x v="1724"/>
    <x v="1704"/>
    <x v="4"/>
    <x v="2"/>
    <x v="2"/>
    <x v="0"/>
    <x v="0"/>
    <x v="0"/>
    <x v="0"/>
    <x v="0"/>
    <x v="0"/>
    <x v="0"/>
    <x v="358"/>
    <x v="0"/>
    <x v="0"/>
  </r>
  <r>
    <x v="1725"/>
    <x v="1705"/>
    <x v="4"/>
    <x v="2"/>
    <x v="2"/>
    <x v="0"/>
    <x v="0"/>
    <x v="3"/>
    <x v="0"/>
    <x v="0"/>
    <x v="27"/>
    <x v="0"/>
    <x v="358"/>
    <x v="0"/>
    <x v="0"/>
  </r>
  <r>
    <x v="1726"/>
    <x v="1706"/>
    <x v="4"/>
    <x v="5"/>
    <x v="5"/>
    <x v="0"/>
    <x v="0"/>
    <x v="3"/>
    <x v="0"/>
    <x v="0"/>
    <x v="7"/>
    <x v="0"/>
    <x v="358"/>
    <x v="0"/>
    <x v="0"/>
  </r>
  <r>
    <x v="1727"/>
    <x v="1707"/>
    <x v="1"/>
    <x v="5"/>
    <x v="5"/>
    <x v="0"/>
    <x v="0"/>
    <x v="0"/>
    <x v="0"/>
    <x v="0"/>
    <x v="0"/>
    <x v="0"/>
    <x v="359"/>
    <x v="0"/>
    <x v="0"/>
  </r>
  <r>
    <x v="1728"/>
    <x v="1708"/>
    <x v="4"/>
    <x v="2"/>
    <x v="2"/>
    <x v="0"/>
    <x v="0"/>
    <x v="0"/>
    <x v="0"/>
    <x v="0"/>
    <x v="0"/>
    <x v="0"/>
    <x v="359"/>
    <x v="60"/>
    <x v="0"/>
  </r>
  <r>
    <x v="1729"/>
    <x v="1709"/>
    <x v="4"/>
    <x v="2"/>
    <x v="2"/>
    <x v="0"/>
    <x v="0"/>
    <x v="0"/>
    <x v="0"/>
    <x v="0"/>
    <x v="0"/>
    <x v="0"/>
    <x v="359"/>
    <x v="60"/>
    <x v="0"/>
  </r>
  <r>
    <x v="1730"/>
    <x v="1710"/>
    <x v="4"/>
    <x v="2"/>
    <x v="2"/>
    <x v="0"/>
    <x v="0"/>
    <x v="0"/>
    <x v="0"/>
    <x v="0"/>
    <x v="0"/>
    <x v="0"/>
    <x v="359"/>
    <x v="60"/>
    <x v="0"/>
  </r>
  <r>
    <x v="1731"/>
    <x v="1711"/>
    <x v="4"/>
    <x v="2"/>
    <x v="2"/>
    <x v="0"/>
    <x v="0"/>
    <x v="0"/>
    <x v="0"/>
    <x v="0"/>
    <x v="0"/>
    <x v="0"/>
    <x v="359"/>
    <x v="0"/>
    <x v="0"/>
  </r>
  <r>
    <x v="1732"/>
    <x v="1712"/>
    <x v="11"/>
    <x v="2"/>
    <x v="2"/>
    <x v="0"/>
    <x v="0"/>
    <x v="0"/>
    <x v="0"/>
    <x v="0"/>
    <x v="0"/>
    <x v="0"/>
    <x v="360"/>
    <x v="0"/>
    <x v="0"/>
  </r>
  <r>
    <x v="1733"/>
    <x v="1713"/>
    <x v="9"/>
    <x v="0"/>
    <x v="0"/>
    <x v="0"/>
    <x v="0"/>
    <x v="0"/>
    <x v="0"/>
    <x v="0"/>
    <x v="0"/>
    <x v="36"/>
    <x v="361"/>
    <x v="0"/>
    <x v="0"/>
  </r>
  <r>
    <x v="1734"/>
    <x v="1714"/>
    <x v="11"/>
    <x v="2"/>
    <x v="2"/>
    <x v="0"/>
    <x v="0"/>
    <x v="3"/>
    <x v="0"/>
    <x v="0"/>
    <x v="0"/>
    <x v="43"/>
    <x v="362"/>
    <x v="65"/>
    <x v="0"/>
  </r>
  <r>
    <x v="1735"/>
    <x v="1715"/>
    <x v="4"/>
    <x v="2"/>
    <x v="2"/>
    <x v="0"/>
    <x v="0"/>
    <x v="3"/>
    <x v="0"/>
    <x v="0"/>
    <x v="28"/>
    <x v="0"/>
    <x v="363"/>
    <x v="0"/>
    <x v="0"/>
  </r>
  <r>
    <x v="1736"/>
    <x v="1716"/>
    <x v="9"/>
    <x v="0"/>
    <x v="0"/>
    <x v="0"/>
    <x v="0"/>
    <x v="0"/>
    <x v="0"/>
    <x v="0"/>
    <x v="0"/>
    <x v="36"/>
    <x v="363"/>
    <x v="0"/>
    <x v="0"/>
  </r>
  <r>
    <x v="1737"/>
    <x v="1717"/>
    <x v="4"/>
    <x v="2"/>
    <x v="2"/>
    <x v="0"/>
    <x v="0"/>
    <x v="0"/>
    <x v="0"/>
    <x v="0"/>
    <x v="0"/>
    <x v="0"/>
    <x v="364"/>
    <x v="0"/>
    <x v="0"/>
  </r>
  <r>
    <x v="1738"/>
    <x v="1718"/>
    <x v="4"/>
    <x v="5"/>
    <x v="5"/>
    <x v="0"/>
    <x v="0"/>
    <x v="7"/>
    <x v="0"/>
    <x v="0"/>
    <x v="30"/>
    <x v="42"/>
    <x v="365"/>
    <x v="64"/>
    <x v="0"/>
  </r>
  <r>
    <x v="1739"/>
    <x v="1719"/>
    <x v="4"/>
    <x v="3"/>
    <x v="3"/>
    <x v="0"/>
    <x v="0"/>
    <x v="0"/>
    <x v="0"/>
    <x v="0"/>
    <x v="0"/>
    <x v="0"/>
    <x v="365"/>
    <x v="66"/>
    <x v="7"/>
  </r>
  <r>
    <x v="1740"/>
    <x v="1720"/>
    <x v="9"/>
    <x v="0"/>
    <x v="0"/>
    <x v="0"/>
    <x v="0"/>
    <x v="0"/>
    <x v="0"/>
    <x v="0"/>
    <x v="0"/>
    <x v="0"/>
    <x v="366"/>
    <x v="0"/>
    <x v="0"/>
  </r>
  <r>
    <x v="1741"/>
    <x v="1721"/>
    <x v="9"/>
    <x v="0"/>
    <x v="0"/>
    <x v="0"/>
    <x v="0"/>
    <x v="0"/>
    <x v="0"/>
    <x v="0"/>
    <x v="0"/>
    <x v="44"/>
    <x v="366"/>
    <x v="0"/>
    <x v="0"/>
  </r>
  <r>
    <x v="1742"/>
    <x v="1722"/>
    <x v="11"/>
    <x v="2"/>
    <x v="2"/>
    <x v="0"/>
    <x v="0"/>
    <x v="0"/>
    <x v="0"/>
    <x v="0"/>
    <x v="0"/>
    <x v="0"/>
    <x v="367"/>
    <x v="0"/>
    <x v="0"/>
  </r>
  <r>
    <x v="1743"/>
    <x v="1723"/>
    <x v="1"/>
    <x v="4"/>
    <x v="4"/>
    <x v="0"/>
    <x v="0"/>
    <x v="0"/>
    <x v="0"/>
    <x v="0"/>
    <x v="31"/>
    <x v="0"/>
    <x v="367"/>
    <x v="0"/>
    <x v="0"/>
  </r>
  <r>
    <x v="1744"/>
    <x v="1724"/>
    <x v="4"/>
    <x v="2"/>
    <x v="2"/>
    <x v="0"/>
    <x v="0"/>
    <x v="1"/>
    <x v="0"/>
    <x v="0"/>
    <x v="0"/>
    <x v="0"/>
    <x v="368"/>
    <x v="0"/>
    <x v="0"/>
  </r>
  <r>
    <x v="1745"/>
    <x v="1725"/>
    <x v="6"/>
    <x v="5"/>
    <x v="5"/>
    <x v="0"/>
    <x v="0"/>
    <x v="0"/>
    <x v="0"/>
    <x v="0"/>
    <x v="22"/>
    <x v="45"/>
    <x v="369"/>
    <x v="67"/>
    <x v="0"/>
  </r>
  <r>
    <x v="1746"/>
    <x v="1726"/>
    <x v="4"/>
    <x v="3"/>
    <x v="3"/>
    <x v="0"/>
    <x v="0"/>
    <x v="0"/>
    <x v="0"/>
    <x v="0"/>
    <x v="0"/>
    <x v="0"/>
    <x v="369"/>
    <x v="66"/>
    <x v="0"/>
  </r>
  <r>
    <x v="1747"/>
    <x v="1727"/>
    <x v="1"/>
    <x v="3"/>
    <x v="3"/>
    <x v="0"/>
    <x v="0"/>
    <x v="0"/>
    <x v="0"/>
    <x v="0"/>
    <x v="0"/>
    <x v="0"/>
    <x v="369"/>
    <x v="0"/>
    <x v="0"/>
  </r>
  <r>
    <x v="1748"/>
    <x v="1728"/>
    <x v="11"/>
    <x v="2"/>
    <x v="2"/>
    <x v="0"/>
    <x v="0"/>
    <x v="0"/>
    <x v="0"/>
    <x v="0"/>
    <x v="0"/>
    <x v="0"/>
    <x v="370"/>
    <x v="0"/>
    <x v="0"/>
  </r>
  <r>
    <x v="1749"/>
    <x v="1729"/>
    <x v="1"/>
    <x v="4"/>
    <x v="4"/>
    <x v="0"/>
    <x v="0"/>
    <x v="0"/>
    <x v="0"/>
    <x v="0"/>
    <x v="29"/>
    <x v="0"/>
    <x v="370"/>
    <x v="0"/>
    <x v="0"/>
  </r>
  <r>
    <x v="1750"/>
    <x v="1730"/>
    <x v="1"/>
    <x v="3"/>
    <x v="3"/>
    <x v="0"/>
    <x v="0"/>
    <x v="0"/>
    <x v="0"/>
    <x v="0"/>
    <x v="0"/>
    <x v="0"/>
    <x v="371"/>
    <x v="0"/>
    <x v="0"/>
  </r>
  <r>
    <x v="1751"/>
    <x v="1731"/>
    <x v="1"/>
    <x v="3"/>
    <x v="3"/>
    <x v="0"/>
    <x v="0"/>
    <x v="0"/>
    <x v="0"/>
    <x v="0"/>
    <x v="0"/>
    <x v="0"/>
    <x v="371"/>
    <x v="68"/>
    <x v="0"/>
  </r>
  <r>
    <x v="1752"/>
    <x v="1732"/>
    <x v="2"/>
    <x v="2"/>
    <x v="2"/>
    <x v="0"/>
    <x v="0"/>
    <x v="0"/>
    <x v="0"/>
    <x v="0"/>
    <x v="0"/>
    <x v="0"/>
    <x v="371"/>
    <x v="0"/>
    <x v="0"/>
  </r>
  <r>
    <x v="1753"/>
    <x v="1733"/>
    <x v="11"/>
    <x v="2"/>
    <x v="2"/>
    <x v="0"/>
    <x v="0"/>
    <x v="0"/>
    <x v="0"/>
    <x v="0"/>
    <x v="0"/>
    <x v="0"/>
    <x v="372"/>
    <x v="65"/>
    <x v="0"/>
  </r>
  <r>
    <x v="1754"/>
    <x v="1734"/>
    <x v="2"/>
    <x v="1"/>
    <x v="1"/>
    <x v="0"/>
    <x v="0"/>
    <x v="3"/>
    <x v="0"/>
    <x v="0"/>
    <x v="32"/>
    <x v="0"/>
    <x v="372"/>
    <x v="0"/>
    <x v="0"/>
  </r>
  <r>
    <x v="1755"/>
    <x v="1735"/>
    <x v="4"/>
    <x v="2"/>
    <x v="2"/>
    <x v="0"/>
    <x v="0"/>
    <x v="0"/>
    <x v="0"/>
    <x v="0"/>
    <x v="0"/>
    <x v="0"/>
    <x v="373"/>
    <x v="0"/>
    <x v="0"/>
  </r>
  <r>
    <x v="1756"/>
    <x v="1736"/>
    <x v="1"/>
    <x v="3"/>
    <x v="3"/>
    <x v="0"/>
    <x v="0"/>
    <x v="0"/>
    <x v="0"/>
    <x v="0"/>
    <x v="0"/>
    <x v="0"/>
    <x v="373"/>
    <x v="0"/>
    <x v="0"/>
  </r>
  <r>
    <x v="1757"/>
    <x v="1737"/>
    <x v="4"/>
    <x v="1"/>
    <x v="1"/>
    <x v="0"/>
    <x v="0"/>
    <x v="1"/>
    <x v="0"/>
    <x v="0"/>
    <x v="11"/>
    <x v="0"/>
    <x v="374"/>
    <x v="0"/>
    <x v="0"/>
  </r>
  <r>
    <x v="1758"/>
    <x v="1738"/>
    <x v="4"/>
    <x v="1"/>
    <x v="1"/>
    <x v="0"/>
    <x v="0"/>
    <x v="2"/>
    <x v="0"/>
    <x v="0"/>
    <x v="0"/>
    <x v="0"/>
    <x v="374"/>
    <x v="0"/>
    <x v="0"/>
  </r>
  <r>
    <x v="1759"/>
    <x v="1739"/>
    <x v="4"/>
    <x v="1"/>
    <x v="1"/>
    <x v="0"/>
    <x v="0"/>
    <x v="2"/>
    <x v="0"/>
    <x v="0"/>
    <x v="0"/>
    <x v="0"/>
    <x v="374"/>
    <x v="0"/>
    <x v="0"/>
  </r>
  <r>
    <x v="1760"/>
    <x v="1740"/>
    <x v="4"/>
    <x v="1"/>
    <x v="1"/>
    <x v="0"/>
    <x v="0"/>
    <x v="5"/>
    <x v="0"/>
    <x v="0"/>
    <x v="0"/>
    <x v="0"/>
    <x v="374"/>
    <x v="0"/>
    <x v="0"/>
  </r>
  <r>
    <x v="1761"/>
    <x v="1741"/>
    <x v="4"/>
    <x v="1"/>
    <x v="1"/>
    <x v="0"/>
    <x v="0"/>
    <x v="2"/>
    <x v="0"/>
    <x v="0"/>
    <x v="0"/>
    <x v="0"/>
    <x v="374"/>
    <x v="0"/>
    <x v="0"/>
  </r>
  <r>
    <x v="1762"/>
    <x v="1742"/>
    <x v="4"/>
    <x v="1"/>
    <x v="1"/>
    <x v="0"/>
    <x v="0"/>
    <x v="5"/>
    <x v="0"/>
    <x v="0"/>
    <x v="0"/>
    <x v="0"/>
    <x v="374"/>
    <x v="0"/>
    <x v="0"/>
  </r>
  <r>
    <x v="1763"/>
    <x v="1743"/>
    <x v="6"/>
    <x v="5"/>
    <x v="5"/>
    <x v="0"/>
    <x v="0"/>
    <x v="1"/>
    <x v="0"/>
    <x v="0"/>
    <x v="22"/>
    <x v="45"/>
    <x v="374"/>
    <x v="67"/>
    <x v="0"/>
  </r>
  <r>
    <x v="1764"/>
    <x v="1744"/>
    <x v="1"/>
    <x v="5"/>
    <x v="5"/>
    <x v="0"/>
    <x v="0"/>
    <x v="0"/>
    <x v="0"/>
    <x v="0"/>
    <x v="0"/>
    <x v="0"/>
    <x v="375"/>
    <x v="0"/>
    <x v="0"/>
  </r>
  <r>
    <x v="1765"/>
    <x v="1745"/>
    <x v="1"/>
    <x v="5"/>
    <x v="5"/>
    <x v="0"/>
    <x v="0"/>
    <x v="1"/>
    <x v="0"/>
    <x v="0"/>
    <x v="0"/>
    <x v="0"/>
    <x v="375"/>
    <x v="0"/>
    <x v="0"/>
  </r>
  <r>
    <x v="1766"/>
    <x v="1746"/>
    <x v="4"/>
    <x v="1"/>
    <x v="1"/>
    <x v="0"/>
    <x v="0"/>
    <x v="0"/>
    <x v="0"/>
    <x v="0"/>
    <x v="0"/>
    <x v="0"/>
    <x v="376"/>
    <x v="0"/>
    <x v="0"/>
  </r>
  <r>
    <x v="1767"/>
    <x v="1747"/>
    <x v="11"/>
    <x v="2"/>
    <x v="2"/>
    <x v="0"/>
    <x v="0"/>
    <x v="0"/>
    <x v="0"/>
    <x v="0"/>
    <x v="0"/>
    <x v="0"/>
    <x v="377"/>
    <x v="0"/>
    <x v="0"/>
  </r>
  <r>
    <x v="1768"/>
    <x v="1748"/>
    <x v="9"/>
    <x v="0"/>
    <x v="0"/>
    <x v="0"/>
    <x v="0"/>
    <x v="0"/>
    <x v="0"/>
    <x v="0"/>
    <x v="0"/>
    <x v="0"/>
    <x v="378"/>
    <x v="0"/>
    <x v="0"/>
  </r>
  <r>
    <x v="1769"/>
    <x v="1749"/>
    <x v="9"/>
    <x v="0"/>
    <x v="0"/>
    <x v="0"/>
    <x v="0"/>
    <x v="0"/>
    <x v="0"/>
    <x v="0"/>
    <x v="0"/>
    <x v="0"/>
    <x v="378"/>
    <x v="0"/>
    <x v="0"/>
  </r>
  <r>
    <x v="1770"/>
    <x v="1750"/>
    <x v="1"/>
    <x v="3"/>
    <x v="3"/>
    <x v="0"/>
    <x v="0"/>
    <x v="0"/>
    <x v="0"/>
    <x v="0"/>
    <x v="0"/>
    <x v="0"/>
    <x v="378"/>
    <x v="0"/>
    <x v="0"/>
  </r>
  <r>
    <x v="1771"/>
    <x v="1751"/>
    <x v="1"/>
    <x v="3"/>
    <x v="3"/>
    <x v="0"/>
    <x v="0"/>
    <x v="0"/>
    <x v="0"/>
    <x v="0"/>
    <x v="0"/>
    <x v="0"/>
    <x v="378"/>
    <x v="0"/>
    <x v="0"/>
  </r>
  <r>
    <x v="1772"/>
    <x v="1752"/>
    <x v="1"/>
    <x v="3"/>
    <x v="3"/>
    <x v="0"/>
    <x v="0"/>
    <x v="0"/>
    <x v="0"/>
    <x v="0"/>
    <x v="0"/>
    <x v="0"/>
    <x v="378"/>
    <x v="0"/>
    <x v="0"/>
  </r>
  <r>
    <x v="1773"/>
    <x v="1753"/>
    <x v="11"/>
    <x v="2"/>
    <x v="2"/>
    <x v="0"/>
    <x v="0"/>
    <x v="0"/>
    <x v="0"/>
    <x v="0"/>
    <x v="0"/>
    <x v="0"/>
    <x v="379"/>
    <x v="0"/>
    <x v="0"/>
  </r>
  <r>
    <x v="1774"/>
    <x v="1754"/>
    <x v="1"/>
    <x v="3"/>
    <x v="3"/>
    <x v="0"/>
    <x v="0"/>
    <x v="0"/>
    <x v="0"/>
    <x v="0"/>
    <x v="0"/>
    <x v="0"/>
    <x v="380"/>
    <x v="0"/>
    <x v="0"/>
  </r>
  <r>
    <x v="1775"/>
    <x v="1755"/>
    <x v="11"/>
    <x v="1"/>
    <x v="1"/>
    <x v="0"/>
    <x v="0"/>
    <x v="0"/>
    <x v="0"/>
    <x v="0"/>
    <x v="0"/>
    <x v="0"/>
    <x v="380"/>
    <x v="0"/>
    <x v="0"/>
  </r>
  <r>
    <x v="1776"/>
    <x v="1756"/>
    <x v="1"/>
    <x v="3"/>
    <x v="3"/>
    <x v="0"/>
    <x v="0"/>
    <x v="0"/>
    <x v="0"/>
    <x v="0"/>
    <x v="0"/>
    <x v="0"/>
    <x v="381"/>
    <x v="0"/>
    <x v="0"/>
  </r>
  <r>
    <x v="1777"/>
    <x v="1757"/>
    <x v="11"/>
    <x v="2"/>
    <x v="2"/>
    <x v="0"/>
    <x v="0"/>
    <x v="0"/>
    <x v="0"/>
    <x v="0"/>
    <x v="0"/>
    <x v="0"/>
    <x v="381"/>
    <x v="60"/>
    <x v="0"/>
  </r>
  <r>
    <x v="1778"/>
    <x v="1758"/>
    <x v="1"/>
    <x v="3"/>
    <x v="3"/>
    <x v="0"/>
    <x v="0"/>
    <x v="0"/>
    <x v="0"/>
    <x v="0"/>
    <x v="0"/>
    <x v="0"/>
    <x v="381"/>
    <x v="68"/>
    <x v="0"/>
  </r>
  <r>
    <x v="1779"/>
    <x v="1759"/>
    <x v="1"/>
    <x v="3"/>
    <x v="3"/>
    <x v="0"/>
    <x v="0"/>
    <x v="0"/>
    <x v="0"/>
    <x v="0"/>
    <x v="0"/>
    <x v="0"/>
    <x v="381"/>
    <x v="68"/>
    <x v="0"/>
  </r>
  <r>
    <x v="1780"/>
    <x v="1760"/>
    <x v="1"/>
    <x v="3"/>
    <x v="3"/>
    <x v="0"/>
    <x v="0"/>
    <x v="0"/>
    <x v="0"/>
    <x v="0"/>
    <x v="0"/>
    <x v="0"/>
    <x v="381"/>
    <x v="0"/>
    <x v="0"/>
  </r>
  <r>
    <x v="1781"/>
    <x v="1761"/>
    <x v="1"/>
    <x v="3"/>
    <x v="3"/>
    <x v="0"/>
    <x v="0"/>
    <x v="0"/>
    <x v="0"/>
    <x v="0"/>
    <x v="0"/>
    <x v="0"/>
    <x v="381"/>
    <x v="0"/>
    <x v="0"/>
  </r>
  <r>
    <x v="1782"/>
    <x v="1762"/>
    <x v="1"/>
    <x v="3"/>
    <x v="3"/>
    <x v="0"/>
    <x v="0"/>
    <x v="0"/>
    <x v="0"/>
    <x v="0"/>
    <x v="0"/>
    <x v="0"/>
    <x v="381"/>
    <x v="0"/>
    <x v="0"/>
  </r>
  <r>
    <x v="1783"/>
    <x v="1763"/>
    <x v="11"/>
    <x v="1"/>
    <x v="1"/>
    <x v="0"/>
    <x v="0"/>
    <x v="0"/>
    <x v="0"/>
    <x v="0"/>
    <x v="0"/>
    <x v="0"/>
    <x v="382"/>
    <x v="0"/>
    <x v="0"/>
  </r>
  <r>
    <x v="1784"/>
    <x v="1764"/>
    <x v="1"/>
    <x v="3"/>
    <x v="3"/>
    <x v="0"/>
    <x v="0"/>
    <x v="0"/>
    <x v="0"/>
    <x v="0"/>
    <x v="0"/>
    <x v="0"/>
    <x v="382"/>
    <x v="0"/>
    <x v="0"/>
  </r>
  <r>
    <x v="1785"/>
    <x v="1765"/>
    <x v="1"/>
    <x v="5"/>
    <x v="5"/>
    <x v="0"/>
    <x v="0"/>
    <x v="0"/>
    <x v="0"/>
    <x v="0"/>
    <x v="0"/>
    <x v="0"/>
    <x v="382"/>
    <x v="0"/>
    <x v="0"/>
  </r>
  <r>
    <x v="1786"/>
    <x v="1766"/>
    <x v="11"/>
    <x v="2"/>
    <x v="2"/>
    <x v="0"/>
    <x v="0"/>
    <x v="0"/>
    <x v="0"/>
    <x v="0"/>
    <x v="0"/>
    <x v="0"/>
    <x v="382"/>
    <x v="0"/>
    <x v="0"/>
  </r>
  <r>
    <x v="1787"/>
    <x v="1767"/>
    <x v="1"/>
    <x v="5"/>
    <x v="5"/>
    <x v="0"/>
    <x v="0"/>
    <x v="0"/>
    <x v="0"/>
    <x v="0"/>
    <x v="0"/>
    <x v="0"/>
    <x v="382"/>
    <x v="0"/>
    <x v="0"/>
  </r>
  <r>
    <x v="1788"/>
    <x v="1768"/>
    <x v="4"/>
    <x v="2"/>
    <x v="2"/>
    <x v="0"/>
    <x v="0"/>
    <x v="0"/>
    <x v="0"/>
    <x v="0"/>
    <x v="0"/>
    <x v="0"/>
    <x v="382"/>
    <x v="0"/>
    <x v="0"/>
  </r>
  <r>
    <x v="1789"/>
    <x v="1769"/>
    <x v="11"/>
    <x v="2"/>
    <x v="2"/>
    <x v="0"/>
    <x v="0"/>
    <x v="1"/>
    <x v="0"/>
    <x v="0"/>
    <x v="0"/>
    <x v="0"/>
    <x v="383"/>
    <x v="0"/>
    <x v="0"/>
  </r>
  <r>
    <x v="1790"/>
    <x v="1770"/>
    <x v="1"/>
    <x v="3"/>
    <x v="3"/>
    <x v="0"/>
    <x v="0"/>
    <x v="0"/>
    <x v="0"/>
    <x v="0"/>
    <x v="0"/>
    <x v="0"/>
    <x v="384"/>
    <x v="69"/>
    <x v="0"/>
  </r>
  <r>
    <x v="1791"/>
    <x v="1771"/>
    <x v="4"/>
    <x v="3"/>
    <x v="3"/>
    <x v="0"/>
    <x v="0"/>
    <x v="0"/>
    <x v="0"/>
    <x v="0"/>
    <x v="0"/>
    <x v="0"/>
    <x v="384"/>
    <x v="70"/>
    <x v="0"/>
  </r>
  <r>
    <x v="1792"/>
    <x v="1772"/>
    <x v="1"/>
    <x v="3"/>
    <x v="3"/>
    <x v="0"/>
    <x v="0"/>
    <x v="0"/>
    <x v="0"/>
    <x v="0"/>
    <x v="0"/>
    <x v="0"/>
    <x v="384"/>
    <x v="68"/>
    <x v="0"/>
  </r>
  <r>
    <x v="1793"/>
    <x v="1773"/>
    <x v="11"/>
    <x v="2"/>
    <x v="2"/>
    <x v="0"/>
    <x v="0"/>
    <x v="2"/>
    <x v="0"/>
    <x v="0"/>
    <x v="0"/>
    <x v="0"/>
    <x v="384"/>
    <x v="60"/>
    <x v="0"/>
  </r>
  <r>
    <x v="1794"/>
    <x v="1774"/>
    <x v="1"/>
    <x v="5"/>
    <x v="5"/>
    <x v="0"/>
    <x v="0"/>
    <x v="0"/>
    <x v="0"/>
    <x v="0"/>
    <x v="22"/>
    <x v="0"/>
    <x v="385"/>
    <x v="0"/>
    <x v="0"/>
  </r>
  <r>
    <x v="1795"/>
    <x v="1775"/>
    <x v="1"/>
    <x v="4"/>
    <x v="4"/>
    <x v="0"/>
    <x v="0"/>
    <x v="0"/>
    <x v="0"/>
    <x v="0"/>
    <x v="29"/>
    <x v="0"/>
    <x v="385"/>
    <x v="0"/>
    <x v="0"/>
  </r>
  <r>
    <x v="1796"/>
    <x v="1776"/>
    <x v="11"/>
    <x v="2"/>
    <x v="2"/>
    <x v="0"/>
    <x v="0"/>
    <x v="0"/>
    <x v="0"/>
    <x v="0"/>
    <x v="0"/>
    <x v="0"/>
    <x v="386"/>
    <x v="71"/>
    <x v="0"/>
  </r>
  <r>
    <x v="1797"/>
    <x v="1777"/>
    <x v="4"/>
    <x v="3"/>
    <x v="3"/>
    <x v="0"/>
    <x v="0"/>
    <x v="1"/>
    <x v="0"/>
    <x v="0"/>
    <x v="0"/>
    <x v="46"/>
    <x v="386"/>
    <x v="72"/>
    <x v="0"/>
  </r>
  <r>
    <x v="1798"/>
    <x v="1778"/>
    <x v="1"/>
    <x v="3"/>
    <x v="3"/>
    <x v="0"/>
    <x v="0"/>
    <x v="0"/>
    <x v="0"/>
    <x v="0"/>
    <x v="0"/>
    <x v="0"/>
    <x v="386"/>
    <x v="0"/>
    <x v="0"/>
  </r>
  <r>
    <x v="1799"/>
    <x v="1779"/>
    <x v="11"/>
    <x v="1"/>
    <x v="1"/>
    <x v="0"/>
    <x v="0"/>
    <x v="7"/>
    <x v="0"/>
    <x v="0"/>
    <x v="0"/>
    <x v="0"/>
    <x v="386"/>
    <x v="0"/>
    <x v="0"/>
  </r>
  <r>
    <x v="1800"/>
    <x v="1780"/>
    <x v="11"/>
    <x v="2"/>
    <x v="2"/>
    <x v="0"/>
    <x v="0"/>
    <x v="0"/>
    <x v="0"/>
    <x v="0"/>
    <x v="0"/>
    <x v="0"/>
    <x v="387"/>
    <x v="0"/>
    <x v="0"/>
  </r>
  <r>
    <x v="1801"/>
    <x v="1781"/>
    <x v="11"/>
    <x v="2"/>
    <x v="2"/>
    <x v="0"/>
    <x v="0"/>
    <x v="3"/>
    <x v="0"/>
    <x v="0"/>
    <x v="0"/>
    <x v="0"/>
    <x v="387"/>
    <x v="0"/>
    <x v="0"/>
  </r>
  <r>
    <x v="1802"/>
    <x v="1782"/>
    <x v="4"/>
    <x v="5"/>
    <x v="5"/>
    <x v="0"/>
    <x v="0"/>
    <x v="0"/>
    <x v="0"/>
    <x v="0"/>
    <x v="0"/>
    <x v="47"/>
    <x v="388"/>
    <x v="73"/>
    <x v="0"/>
  </r>
  <r>
    <x v="1803"/>
    <x v="1783"/>
    <x v="11"/>
    <x v="1"/>
    <x v="1"/>
    <x v="0"/>
    <x v="0"/>
    <x v="0"/>
    <x v="0"/>
    <x v="0"/>
    <x v="0"/>
    <x v="0"/>
    <x v="388"/>
    <x v="0"/>
    <x v="0"/>
  </r>
  <r>
    <x v="1804"/>
    <x v="1784"/>
    <x v="11"/>
    <x v="2"/>
    <x v="2"/>
    <x v="0"/>
    <x v="0"/>
    <x v="0"/>
    <x v="0"/>
    <x v="0"/>
    <x v="0"/>
    <x v="0"/>
    <x v="388"/>
    <x v="0"/>
    <x v="0"/>
  </r>
  <r>
    <x v="1805"/>
    <x v="1785"/>
    <x v="11"/>
    <x v="2"/>
    <x v="2"/>
    <x v="0"/>
    <x v="0"/>
    <x v="2"/>
    <x v="0"/>
    <x v="0"/>
    <x v="0"/>
    <x v="48"/>
    <x v="388"/>
    <x v="71"/>
    <x v="0"/>
  </r>
  <r>
    <x v="1806"/>
    <x v="1786"/>
    <x v="9"/>
    <x v="0"/>
    <x v="0"/>
    <x v="0"/>
    <x v="0"/>
    <x v="0"/>
    <x v="0"/>
    <x v="0"/>
    <x v="0"/>
    <x v="0"/>
    <x v="388"/>
    <x v="0"/>
    <x v="0"/>
  </r>
  <r>
    <x v="1807"/>
    <x v="1787"/>
    <x v="1"/>
    <x v="3"/>
    <x v="3"/>
    <x v="0"/>
    <x v="0"/>
    <x v="0"/>
    <x v="0"/>
    <x v="0"/>
    <x v="16"/>
    <x v="0"/>
    <x v="388"/>
    <x v="0"/>
    <x v="0"/>
  </r>
  <r>
    <x v="1808"/>
    <x v="1788"/>
    <x v="4"/>
    <x v="2"/>
    <x v="2"/>
    <x v="0"/>
    <x v="0"/>
    <x v="7"/>
    <x v="0"/>
    <x v="0"/>
    <x v="27"/>
    <x v="0"/>
    <x v="388"/>
    <x v="0"/>
    <x v="0"/>
  </r>
  <r>
    <x v="1809"/>
    <x v="1789"/>
    <x v="1"/>
    <x v="3"/>
    <x v="3"/>
    <x v="0"/>
    <x v="0"/>
    <x v="0"/>
    <x v="0"/>
    <x v="0"/>
    <x v="0"/>
    <x v="0"/>
    <x v="389"/>
    <x v="0"/>
    <x v="0"/>
  </r>
  <r>
    <x v="1810"/>
    <x v="1790"/>
    <x v="4"/>
    <x v="3"/>
    <x v="3"/>
    <x v="0"/>
    <x v="0"/>
    <x v="0"/>
    <x v="0"/>
    <x v="0"/>
    <x v="0"/>
    <x v="0"/>
    <x v="389"/>
    <x v="0"/>
    <x v="0"/>
  </r>
  <r>
    <x v="1811"/>
    <x v="1791"/>
    <x v="1"/>
    <x v="3"/>
    <x v="3"/>
    <x v="0"/>
    <x v="0"/>
    <x v="0"/>
    <x v="0"/>
    <x v="0"/>
    <x v="0"/>
    <x v="0"/>
    <x v="389"/>
    <x v="0"/>
    <x v="0"/>
  </r>
  <r>
    <x v="1812"/>
    <x v="1792"/>
    <x v="1"/>
    <x v="3"/>
    <x v="3"/>
    <x v="0"/>
    <x v="0"/>
    <x v="0"/>
    <x v="0"/>
    <x v="0"/>
    <x v="0"/>
    <x v="0"/>
    <x v="389"/>
    <x v="0"/>
    <x v="0"/>
  </r>
  <r>
    <x v="1813"/>
    <x v="1793"/>
    <x v="4"/>
    <x v="2"/>
    <x v="2"/>
    <x v="0"/>
    <x v="0"/>
    <x v="7"/>
    <x v="0"/>
    <x v="0"/>
    <x v="0"/>
    <x v="0"/>
    <x v="389"/>
    <x v="0"/>
    <x v="0"/>
  </r>
  <r>
    <x v="1814"/>
    <x v="1794"/>
    <x v="11"/>
    <x v="2"/>
    <x v="2"/>
    <x v="0"/>
    <x v="0"/>
    <x v="0"/>
    <x v="0"/>
    <x v="0"/>
    <x v="0"/>
    <x v="0"/>
    <x v="390"/>
    <x v="0"/>
    <x v="0"/>
  </r>
  <r>
    <x v="1815"/>
    <x v="1795"/>
    <x v="4"/>
    <x v="2"/>
    <x v="2"/>
    <x v="0"/>
    <x v="0"/>
    <x v="0"/>
    <x v="0"/>
    <x v="0"/>
    <x v="0"/>
    <x v="0"/>
    <x v="390"/>
    <x v="0"/>
    <x v="0"/>
  </r>
  <r>
    <x v="1816"/>
    <x v="1796"/>
    <x v="1"/>
    <x v="3"/>
    <x v="3"/>
    <x v="0"/>
    <x v="0"/>
    <x v="0"/>
    <x v="0"/>
    <x v="0"/>
    <x v="0"/>
    <x v="0"/>
    <x v="391"/>
    <x v="70"/>
    <x v="0"/>
  </r>
  <r>
    <x v="1817"/>
    <x v="1797"/>
    <x v="4"/>
    <x v="3"/>
    <x v="3"/>
    <x v="0"/>
    <x v="0"/>
    <x v="3"/>
    <x v="0"/>
    <x v="0"/>
    <x v="33"/>
    <x v="49"/>
    <x v="391"/>
    <x v="69"/>
    <x v="0"/>
  </r>
  <r>
    <x v="1818"/>
    <x v="1798"/>
    <x v="1"/>
    <x v="5"/>
    <x v="5"/>
    <x v="0"/>
    <x v="0"/>
    <x v="0"/>
    <x v="0"/>
    <x v="0"/>
    <x v="0"/>
    <x v="50"/>
    <x v="392"/>
    <x v="74"/>
    <x v="0"/>
  </r>
  <r>
    <x v="1819"/>
    <x v="1799"/>
    <x v="1"/>
    <x v="5"/>
    <x v="5"/>
    <x v="0"/>
    <x v="0"/>
    <x v="0"/>
    <x v="0"/>
    <x v="0"/>
    <x v="0"/>
    <x v="0"/>
    <x v="393"/>
    <x v="0"/>
    <x v="0"/>
  </r>
  <r>
    <x v="1820"/>
    <x v="1800"/>
    <x v="1"/>
    <x v="5"/>
    <x v="5"/>
    <x v="0"/>
    <x v="0"/>
    <x v="0"/>
    <x v="0"/>
    <x v="0"/>
    <x v="0"/>
    <x v="0"/>
    <x v="393"/>
    <x v="0"/>
    <x v="0"/>
  </r>
  <r>
    <x v="1821"/>
    <x v="1801"/>
    <x v="4"/>
    <x v="2"/>
    <x v="2"/>
    <x v="0"/>
    <x v="0"/>
    <x v="0"/>
    <x v="0"/>
    <x v="0"/>
    <x v="0"/>
    <x v="0"/>
    <x v="394"/>
    <x v="0"/>
    <x v="0"/>
  </r>
  <r>
    <x v="1822"/>
    <x v="1802"/>
    <x v="9"/>
    <x v="0"/>
    <x v="0"/>
    <x v="0"/>
    <x v="0"/>
    <x v="0"/>
    <x v="0"/>
    <x v="0"/>
    <x v="0"/>
    <x v="0"/>
    <x v="394"/>
    <x v="0"/>
    <x v="0"/>
  </r>
  <r>
    <x v="1823"/>
    <x v="1803"/>
    <x v="2"/>
    <x v="0"/>
    <x v="0"/>
    <x v="0"/>
    <x v="0"/>
    <x v="0"/>
    <x v="0"/>
    <x v="0"/>
    <x v="0"/>
    <x v="0"/>
    <x v="394"/>
    <x v="0"/>
    <x v="0"/>
  </r>
  <r>
    <x v="1824"/>
    <x v="1804"/>
    <x v="1"/>
    <x v="3"/>
    <x v="3"/>
    <x v="0"/>
    <x v="0"/>
    <x v="0"/>
    <x v="0"/>
    <x v="0"/>
    <x v="0"/>
    <x v="0"/>
    <x v="395"/>
    <x v="70"/>
    <x v="0"/>
  </r>
  <r>
    <x v="1825"/>
    <x v="1805"/>
    <x v="1"/>
    <x v="3"/>
    <x v="3"/>
    <x v="0"/>
    <x v="0"/>
    <x v="0"/>
    <x v="0"/>
    <x v="0"/>
    <x v="0"/>
    <x v="0"/>
    <x v="395"/>
    <x v="70"/>
    <x v="0"/>
  </r>
  <r>
    <x v="1826"/>
    <x v="1806"/>
    <x v="1"/>
    <x v="3"/>
    <x v="3"/>
    <x v="0"/>
    <x v="0"/>
    <x v="0"/>
    <x v="0"/>
    <x v="0"/>
    <x v="0"/>
    <x v="0"/>
    <x v="395"/>
    <x v="70"/>
    <x v="0"/>
  </r>
  <r>
    <x v="1827"/>
    <x v="1807"/>
    <x v="11"/>
    <x v="2"/>
    <x v="2"/>
    <x v="0"/>
    <x v="0"/>
    <x v="0"/>
    <x v="0"/>
    <x v="0"/>
    <x v="0"/>
    <x v="0"/>
    <x v="395"/>
    <x v="0"/>
    <x v="0"/>
  </r>
  <r>
    <x v="1828"/>
    <x v="1808"/>
    <x v="4"/>
    <x v="1"/>
    <x v="1"/>
    <x v="0"/>
    <x v="0"/>
    <x v="25"/>
    <x v="0"/>
    <x v="0"/>
    <x v="0"/>
    <x v="0"/>
    <x v="396"/>
    <x v="0"/>
    <x v="0"/>
  </r>
  <r>
    <x v="1829"/>
    <x v="1809"/>
    <x v="1"/>
    <x v="3"/>
    <x v="3"/>
    <x v="0"/>
    <x v="0"/>
    <x v="1"/>
    <x v="0"/>
    <x v="0"/>
    <x v="0"/>
    <x v="0"/>
    <x v="397"/>
    <x v="0"/>
    <x v="0"/>
  </r>
  <r>
    <x v="1830"/>
    <x v="1810"/>
    <x v="1"/>
    <x v="3"/>
    <x v="3"/>
    <x v="0"/>
    <x v="0"/>
    <x v="0"/>
    <x v="0"/>
    <x v="0"/>
    <x v="0"/>
    <x v="0"/>
    <x v="397"/>
    <x v="70"/>
    <x v="0"/>
  </r>
  <r>
    <x v="1831"/>
    <x v="1811"/>
    <x v="11"/>
    <x v="2"/>
    <x v="2"/>
    <x v="0"/>
    <x v="0"/>
    <x v="0"/>
    <x v="0"/>
    <x v="0"/>
    <x v="0"/>
    <x v="0"/>
    <x v="397"/>
    <x v="0"/>
    <x v="0"/>
  </r>
  <r>
    <x v="1832"/>
    <x v="1812"/>
    <x v="4"/>
    <x v="5"/>
    <x v="5"/>
    <x v="0"/>
    <x v="0"/>
    <x v="0"/>
    <x v="0"/>
    <x v="0"/>
    <x v="23"/>
    <x v="50"/>
    <x v="398"/>
    <x v="75"/>
    <x v="0"/>
  </r>
  <r>
    <x v="1833"/>
    <x v="1813"/>
    <x v="1"/>
    <x v="3"/>
    <x v="3"/>
    <x v="0"/>
    <x v="0"/>
    <x v="0"/>
    <x v="0"/>
    <x v="0"/>
    <x v="0"/>
    <x v="0"/>
    <x v="399"/>
    <x v="69"/>
    <x v="0"/>
  </r>
  <r>
    <x v="1834"/>
    <x v="1814"/>
    <x v="1"/>
    <x v="3"/>
    <x v="3"/>
    <x v="0"/>
    <x v="0"/>
    <x v="0"/>
    <x v="0"/>
    <x v="0"/>
    <x v="0"/>
    <x v="0"/>
    <x v="399"/>
    <x v="0"/>
    <x v="0"/>
  </r>
  <r>
    <x v="1835"/>
    <x v="1815"/>
    <x v="4"/>
    <x v="3"/>
    <x v="3"/>
    <x v="0"/>
    <x v="0"/>
    <x v="0"/>
    <x v="0"/>
    <x v="0"/>
    <x v="0"/>
    <x v="0"/>
    <x v="399"/>
    <x v="68"/>
    <x v="0"/>
  </r>
  <r>
    <x v="1836"/>
    <x v="1816"/>
    <x v="1"/>
    <x v="5"/>
    <x v="5"/>
    <x v="0"/>
    <x v="0"/>
    <x v="0"/>
    <x v="0"/>
    <x v="0"/>
    <x v="0"/>
    <x v="0"/>
    <x v="400"/>
    <x v="0"/>
    <x v="0"/>
  </r>
  <r>
    <x v="1837"/>
    <x v="1817"/>
    <x v="1"/>
    <x v="5"/>
    <x v="5"/>
    <x v="0"/>
    <x v="0"/>
    <x v="0"/>
    <x v="0"/>
    <x v="0"/>
    <x v="0"/>
    <x v="0"/>
    <x v="400"/>
    <x v="0"/>
    <x v="0"/>
  </r>
  <r>
    <x v="1838"/>
    <x v="1818"/>
    <x v="4"/>
    <x v="5"/>
    <x v="5"/>
    <x v="0"/>
    <x v="0"/>
    <x v="0"/>
    <x v="0"/>
    <x v="0"/>
    <x v="7"/>
    <x v="0"/>
    <x v="400"/>
    <x v="0"/>
    <x v="0"/>
  </r>
  <r>
    <x v="1839"/>
    <x v="1819"/>
    <x v="12"/>
    <x v="0"/>
    <x v="0"/>
    <x v="0"/>
    <x v="0"/>
    <x v="0"/>
    <x v="0"/>
    <x v="0"/>
    <x v="0"/>
    <x v="0"/>
    <x v="401"/>
    <x v="0"/>
    <x v="0"/>
  </r>
  <r>
    <x v="1840"/>
    <x v="1820"/>
    <x v="1"/>
    <x v="3"/>
    <x v="3"/>
    <x v="0"/>
    <x v="0"/>
    <x v="0"/>
    <x v="0"/>
    <x v="0"/>
    <x v="0"/>
    <x v="0"/>
    <x v="402"/>
    <x v="0"/>
    <x v="0"/>
  </r>
  <r>
    <x v="1841"/>
    <x v="1821"/>
    <x v="11"/>
    <x v="2"/>
    <x v="2"/>
    <x v="0"/>
    <x v="0"/>
    <x v="0"/>
    <x v="0"/>
    <x v="0"/>
    <x v="0"/>
    <x v="0"/>
    <x v="403"/>
    <x v="0"/>
    <x v="0"/>
  </r>
  <r>
    <x v="1842"/>
    <x v="1822"/>
    <x v="4"/>
    <x v="5"/>
    <x v="5"/>
    <x v="0"/>
    <x v="0"/>
    <x v="0"/>
    <x v="0"/>
    <x v="0"/>
    <x v="0"/>
    <x v="51"/>
    <x v="403"/>
    <x v="76"/>
    <x v="0"/>
  </r>
  <r>
    <x v="1843"/>
    <x v="1823"/>
    <x v="1"/>
    <x v="5"/>
    <x v="5"/>
    <x v="0"/>
    <x v="0"/>
    <x v="0"/>
    <x v="0"/>
    <x v="0"/>
    <x v="0"/>
    <x v="0"/>
    <x v="404"/>
    <x v="75"/>
    <x v="0"/>
  </r>
  <r>
    <x v="1844"/>
    <x v="1824"/>
    <x v="11"/>
    <x v="2"/>
    <x v="2"/>
    <x v="0"/>
    <x v="0"/>
    <x v="0"/>
    <x v="0"/>
    <x v="0"/>
    <x v="0"/>
    <x v="0"/>
    <x v="405"/>
    <x v="0"/>
    <x v="0"/>
  </r>
  <r>
    <x v="1845"/>
    <x v="1825"/>
    <x v="1"/>
    <x v="5"/>
    <x v="5"/>
    <x v="0"/>
    <x v="0"/>
    <x v="0"/>
    <x v="0"/>
    <x v="0"/>
    <x v="23"/>
    <x v="0"/>
    <x v="406"/>
    <x v="0"/>
    <x v="0"/>
  </r>
  <r>
    <x v="1846"/>
    <x v="1826"/>
    <x v="11"/>
    <x v="2"/>
    <x v="2"/>
    <x v="0"/>
    <x v="0"/>
    <x v="0"/>
    <x v="0"/>
    <x v="0"/>
    <x v="0"/>
    <x v="0"/>
    <x v="407"/>
    <x v="0"/>
    <x v="0"/>
  </r>
  <r>
    <x v="1847"/>
    <x v="1827"/>
    <x v="4"/>
    <x v="2"/>
    <x v="2"/>
    <x v="0"/>
    <x v="0"/>
    <x v="0"/>
    <x v="0"/>
    <x v="0"/>
    <x v="0"/>
    <x v="0"/>
    <x v="407"/>
    <x v="0"/>
    <x v="0"/>
  </r>
  <r>
    <x v="1848"/>
    <x v="1828"/>
    <x v="1"/>
    <x v="1"/>
    <x v="1"/>
    <x v="0"/>
    <x v="0"/>
    <x v="0"/>
    <x v="0"/>
    <x v="0"/>
    <x v="0"/>
    <x v="0"/>
    <x v="408"/>
    <x v="0"/>
    <x v="0"/>
  </r>
  <r>
    <x v="1849"/>
    <x v="1829"/>
    <x v="1"/>
    <x v="2"/>
    <x v="2"/>
    <x v="0"/>
    <x v="1"/>
    <x v="0"/>
    <x v="0"/>
    <x v="0"/>
    <x v="0"/>
    <x v="0"/>
    <x v="408"/>
    <x v="0"/>
    <x v="0"/>
  </r>
  <r>
    <x v="1850"/>
    <x v="1830"/>
    <x v="1"/>
    <x v="1"/>
    <x v="1"/>
    <x v="0"/>
    <x v="2"/>
    <x v="0"/>
    <x v="0"/>
    <x v="0"/>
    <x v="0"/>
    <x v="0"/>
    <x v="408"/>
    <x v="0"/>
    <x v="0"/>
  </r>
  <r>
    <x v="1851"/>
    <x v="1831"/>
    <x v="4"/>
    <x v="1"/>
    <x v="1"/>
    <x v="0"/>
    <x v="3"/>
    <x v="0"/>
    <x v="0"/>
    <x v="0"/>
    <x v="0"/>
    <x v="0"/>
    <x v="408"/>
    <x v="0"/>
    <x v="0"/>
  </r>
  <r>
    <x v="1852"/>
    <x v="1832"/>
    <x v="1"/>
    <x v="2"/>
    <x v="2"/>
    <x v="0"/>
    <x v="4"/>
    <x v="0"/>
    <x v="0"/>
    <x v="0"/>
    <x v="0"/>
    <x v="0"/>
    <x v="408"/>
    <x v="0"/>
    <x v="0"/>
  </r>
  <r>
    <x v="1853"/>
    <x v="1833"/>
    <x v="1"/>
    <x v="2"/>
    <x v="2"/>
    <x v="0"/>
    <x v="3"/>
    <x v="0"/>
    <x v="0"/>
    <x v="0"/>
    <x v="0"/>
    <x v="0"/>
    <x v="408"/>
    <x v="0"/>
    <x v="0"/>
  </r>
  <r>
    <x v="1854"/>
    <x v="1834"/>
    <x v="4"/>
    <x v="2"/>
    <x v="2"/>
    <x v="0"/>
    <x v="2"/>
    <x v="0"/>
    <x v="0"/>
    <x v="0"/>
    <x v="0"/>
    <x v="0"/>
    <x v="408"/>
    <x v="0"/>
    <x v="0"/>
  </r>
  <r>
    <x v="1855"/>
    <x v="1835"/>
    <x v="4"/>
    <x v="2"/>
    <x v="2"/>
    <x v="0"/>
    <x v="3"/>
    <x v="0"/>
    <x v="0"/>
    <x v="0"/>
    <x v="0"/>
    <x v="0"/>
    <x v="408"/>
    <x v="0"/>
    <x v="0"/>
  </r>
  <r>
    <x v="1856"/>
    <x v="1836"/>
    <x v="1"/>
    <x v="2"/>
    <x v="2"/>
    <x v="0"/>
    <x v="3"/>
    <x v="0"/>
    <x v="0"/>
    <x v="0"/>
    <x v="0"/>
    <x v="0"/>
    <x v="408"/>
    <x v="0"/>
    <x v="0"/>
  </r>
  <r>
    <x v="1857"/>
    <x v="1837"/>
    <x v="1"/>
    <x v="2"/>
    <x v="2"/>
    <x v="0"/>
    <x v="2"/>
    <x v="0"/>
    <x v="0"/>
    <x v="0"/>
    <x v="0"/>
    <x v="0"/>
    <x v="408"/>
    <x v="0"/>
    <x v="0"/>
  </r>
  <r>
    <x v="1858"/>
    <x v="1838"/>
    <x v="1"/>
    <x v="1"/>
    <x v="1"/>
    <x v="0"/>
    <x v="4"/>
    <x v="0"/>
    <x v="0"/>
    <x v="0"/>
    <x v="0"/>
    <x v="0"/>
    <x v="408"/>
    <x v="0"/>
    <x v="0"/>
  </r>
  <r>
    <x v="1859"/>
    <x v="1839"/>
    <x v="1"/>
    <x v="1"/>
    <x v="1"/>
    <x v="0"/>
    <x v="0"/>
    <x v="0"/>
    <x v="0"/>
    <x v="0"/>
    <x v="0"/>
    <x v="0"/>
    <x v="408"/>
    <x v="0"/>
    <x v="0"/>
  </r>
  <r>
    <x v="1860"/>
    <x v="1840"/>
    <x v="1"/>
    <x v="1"/>
    <x v="1"/>
    <x v="0"/>
    <x v="1"/>
    <x v="0"/>
    <x v="0"/>
    <x v="0"/>
    <x v="0"/>
    <x v="0"/>
    <x v="408"/>
    <x v="0"/>
    <x v="0"/>
  </r>
  <r>
    <x v="1861"/>
    <x v="1841"/>
    <x v="11"/>
    <x v="2"/>
    <x v="2"/>
    <x v="0"/>
    <x v="0"/>
    <x v="0"/>
    <x v="0"/>
    <x v="0"/>
    <x v="0"/>
    <x v="0"/>
    <x v="408"/>
    <x v="0"/>
    <x v="0"/>
  </r>
  <r>
    <x v="1862"/>
    <x v="1842"/>
    <x v="1"/>
    <x v="3"/>
    <x v="3"/>
    <x v="0"/>
    <x v="0"/>
    <x v="0"/>
    <x v="0"/>
    <x v="0"/>
    <x v="0"/>
    <x v="0"/>
    <x v="408"/>
    <x v="0"/>
    <x v="0"/>
  </r>
  <r>
    <x v="1863"/>
    <x v="1843"/>
    <x v="4"/>
    <x v="2"/>
    <x v="2"/>
    <x v="0"/>
    <x v="0"/>
    <x v="0"/>
    <x v="0"/>
    <x v="0"/>
    <x v="34"/>
    <x v="0"/>
    <x v="408"/>
    <x v="0"/>
    <x v="0"/>
  </r>
  <r>
    <x v="1864"/>
    <x v="1844"/>
    <x v="1"/>
    <x v="2"/>
    <x v="2"/>
    <x v="0"/>
    <x v="0"/>
    <x v="26"/>
    <x v="0"/>
    <x v="0"/>
    <x v="17"/>
    <x v="0"/>
    <x v="409"/>
    <x v="0"/>
    <x v="0"/>
  </r>
  <r>
    <x v="1865"/>
    <x v="1845"/>
    <x v="4"/>
    <x v="2"/>
    <x v="2"/>
    <x v="0"/>
    <x v="0"/>
    <x v="4"/>
    <x v="0"/>
    <x v="0"/>
    <x v="17"/>
    <x v="0"/>
    <x v="409"/>
    <x v="0"/>
    <x v="0"/>
  </r>
  <r>
    <x v="1866"/>
    <x v="1846"/>
    <x v="4"/>
    <x v="2"/>
    <x v="2"/>
    <x v="0"/>
    <x v="0"/>
    <x v="27"/>
    <x v="0"/>
    <x v="0"/>
    <x v="17"/>
    <x v="0"/>
    <x v="409"/>
    <x v="0"/>
    <x v="0"/>
  </r>
  <r>
    <x v="1867"/>
    <x v="1847"/>
    <x v="2"/>
    <x v="2"/>
    <x v="2"/>
    <x v="0"/>
    <x v="0"/>
    <x v="0"/>
    <x v="0"/>
    <x v="0"/>
    <x v="0"/>
    <x v="0"/>
    <x v="409"/>
    <x v="0"/>
    <x v="0"/>
  </r>
  <r>
    <x v="1868"/>
    <x v="1848"/>
    <x v="9"/>
    <x v="0"/>
    <x v="0"/>
    <x v="0"/>
    <x v="0"/>
    <x v="0"/>
    <x v="0"/>
    <x v="0"/>
    <x v="0"/>
    <x v="36"/>
    <x v="410"/>
    <x v="0"/>
    <x v="0"/>
  </r>
  <r>
    <x v="1869"/>
    <x v="1849"/>
    <x v="9"/>
    <x v="0"/>
    <x v="0"/>
    <x v="0"/>
    <x v="0"/>
    <x v="0"/>
    <x v="0"/>
    <x v="0"/>
    <x v="0"/>
    <x v="52"/>
    <x v="410"/>
    <x v="0"/>
    <x v="0"/>
  </r>
  <r>
    <x v="1870"/>
    <x v="1850"/>
    <x v="9"/>
    <x v="0"/>
    <x v="0"/>
    <x v="0"/>
    <x v="0"/>
    <x v="0"/>
    <x v="0"/>
    <x v="0"/>
    <x v="0"/>
    <x v="53"/>
    <x v="410"/>
    <x v="0"/>
    <x v="0"/>
  </r>
  <r>
    <x v="1871"/>
    <x v="1851"/>
    <x v="9"/>
    <x v="0"/>
    <x v="0"/>
    <x v="0"/>
    <x v="0"/>
    <x v="0"/>
    <x v="0"/>
    <x v="0"/>
    <x v="0"/>
    <x v="53"/>
    <x v="410"/>
    <x v="0"/>
    <x v="0"/>
  </r>
  <r>
    <x v="1872"/>
    <x v="1852"/>
    <x v="9"/>
    <x v="0"/>
    <x v="0"/>
    <x v="0"/>
    <x v="0"/>
    <x v="0"/>
    <x v="0"/>
    <x v="0"/>
    <x v="0"/>
    <x v="52"/>
    <x v="410"/>
    <x v="0"/>
    <x v="0"/>
  </r>
  <r>
    <x v="1873"/>
    <x v="1853"/>
    <x v="1"/>
    <x v="1"/>
    <x v="1"/>
    <x v="0"/>
    <x v="0"/>
    <x v="0"/>
    <x v="0"/>
    <x v="0"/>
    <x v="0"/>
    <x v="36"/>
    <x v="410"/>
    <x v="0"/>
    <x v="0"/>
  </r>
  <r>
    <x v="1874"/>
    <x v="1854"/>
    <x v="9"/>
    <x v="0"/>
    <x v="0"/>
    <x v="0"/>
    <x v="0"/>
    <x v="0"/>
    <x v="0"/>
    <x v="0"/>
    <x v="0"/>
    <x v="36"/>
    <x v="410"/>
    <x v="0"/>
    <x v="0"/>
  </r>
  <r>
    <x v="1875"/>
    <x v="1855"/>
    <x v="9"/>
    <x v="0"/>
    <x v="0"/>
    <x v="0"/>
    <x v="0"/>
    <x v="0"/>
    <x v="0"/>
    <x v="0"/>
    <x v="0"/>
    <x v="36"/>
    <x v="410"/>
    <x v="0"/>
    <x v="0"/>
  </r>
  <r>
    <x v="1876"/>
    <x v="1856"/>
    <x v="9"/>
    <x v="0"/>
    <x v="0"/>
    <x v="0"/>
    <x v="0"/>
    <x v="0"/>
    <x v="0"/>
    <x v="0"/>
    <x v="0"/>
    <x v="36"/>
    <x v="410"/>
    <x v="0"/>
    <x v="0"/>
  </r>
  <r>
    <x v="1877"/>
    <x v="1857"/>
    <x v="9"/>
    <x v="0"/>
    <x v="0"/>
    <x v="0"/>
    <x v="0"/>
    <x v="0"/>
    <x v="0"/>
    <x v="0"/>
    <x v="0"/>
    <x v="53"/>
    <x v="410"/>
    <x v="0"/>
    <x v="0"/>
  </r>
  <r>
    <x v="1878"/>
    <x v="1858"/>
    <x v="9"/>
    <x v="0"/>
    <x v="0"/>
    <x v="0"/>
    <x v="0"/>
    <x v="0"/>
    <x v="0"/>
    <x v="0"/>
    <x v="0"/>
    <x v="53"/>
    <x v="410"/>
    <x v="0"/>
    <x v="0"/>
  </r>
  <r>
    <x v="1879"/>
    <x v="1859"/>
    <x v="9"/>
    <x v="0"/>
    <x v="0"/>
    <x v="0"/>
    <x v="0"/>
    <x v="0"/>
    <x v="0"/>
    <x v="0"/>
    <x v="0"/>
    <x v="53"/>
    <x v="410"/>
    <x v="0"/>
    <x v="0"/>
  </r>
  <r>
    <x v="1880"/>
    <x v="1860"/>
    <x v="9"/>
    <x v="0"/>
    <x v="0"/>
    <x v="0"/>
    <x v="0"/>
    <x v="0"/>
    <x v="0"/>
    <x v="0"/>
    <x v="0"/>
    <x v="36"/>
    <x v="410"/>
    <x v="0"/>
    <x v="0"/>
  </r>
  <r>
    <x v="1881"/>
    <x v="1861"/>
    <x v="9"/>
    <x v="0"/>
    <x v="0"/>
    <x v="0"/>
    <x v="0"/>
    <x v="0"/>
    <x v="0"/>
    <x v="0"/>
    <x v="0"/>
    <x v="53"/>
    <x v="410"/>
    <x v="0"/>
    <x v="0"/>
  </r>
  <r>
    <x v="1882"/>
    <x v="1862"/>
    <x v="9"/>
    <x v="0"/>
    <x v="0"/>
    <x v="0"/>
    <x v="0"/>
    <x v="0"/>
    <x v="0"/>
    <x v="0"/>
    <x v="0"/>
    <x v="36"/>
    <x v="410"/>
    <x v="0"/>
    <x v="0"/>
  </r>
  <r>
    <x v="1883"/>
    <x v="1863"/>
    <x v="9"/>
    <x v="0"/>
    <x v="0"/>
    <x v="0"/>
    <x v="0"/>
    <x v="0"/>
    <x v="0"/>
    <x v="0"/>
    <x v="0"/>
    <x v="52"/>
    <x v="410"/>
    <x v="0"/>
    <x v="0"/>
  </r>
  <r>
    <x v="1884"/>
    <x v="1864"/>
    <x v="9"/>
    <x v="0"/>
    <x v="0"/>
    <x v="0"/>
    <x v="0"/>
    <x v="0"/>
    <x v="0"/>
    <x v="0"/>
    <x v="0"/>
    <x v="0"/>
    <x v="410"/>
    <x v="0"/>
    <x v="0"/>
  </r>
  <r>
    <x v="1885"/>
    <x v="1865"/>
    <x v="1"/>
    <x v="2"/>
    <x v="2"/>
    <x v="0"/>
    <x v="0"/>
    <x v="0"/>
    <x v="0"/>
    <x v="0"/>
    <x v="0"/>
    <x v="36"/>
    <x v="410"/>
    <x v="0"/>
    <x v="0"/>
  </r>
  <r>
    <x v="1886"/>
    <x v="1866"/>
    <x v="9"/>
    <x v="0"/>
    <x v="0"/>
    <x v="0"/>
    <x v="0"/>
    <x v="0"/>
    <x v="0"/>
    <x v="0"/>
    <x v="0"/>
    <x v="0"/>
    <x v="410"/>
    <x v="0"/>
    <x v="0"/>
  </r>
  <r>
    <x v="1887"/>
    <x v="1867"/>
    <x v="9"/>
    <x v="0"/>
    <x v="0"/>
    <x v="0"/>
    <x v="0"/>
    <x v="0"/>
    <x v="0"/>
    <x v="0"/>
    <x v="0"/>
    <x v="0"/>
    <x v="410"/>
    <x v="0"/>
    <x v="0"/>
  </r>
  <r>
    <x v="1888"/>
    <x v="1868"/>
    <x v="9"/>
    <x v="0"/>
    <x v="0"/>
    <x v="0"/>
    <x v="0"/>
    <x v="0"/>
    <x v="0"/>
    <x v="0"/>
    <x v="0"/>
    <x v="0"/>
    <x v="410"/>
    <x v="0"/>
    <x v="0"/>
  </r>
  <r>
    <x v="1889"/>
    <x v="1869"/>
    <x v="9"/>
    <x v="0"/>
    <x v="0"/>
    <x v="0"/>
    <x v="0"/>
    <x v="0"/>
    <x v="0"/>
    <x v="0"/>
    <x v="0"/>
    <x v="36"/>
    <x v="410"/>
    <x v="0"/>
    <x v="0"/>
  </r>
  <r>
    <x v="1890"/>
    <x v="1870"/>
    <x v="1"/>
    <x v="5"/>
    <x v="5"/>
    <x v="0"/>
    <x v="0"/>
    <x v="0"/>
    <x v="0"/>
    <x v="0"/>
    <x v="0"/>
    <x v="36"/>
    <x v="410"/>
    <x v="0"/>
    <x v="0"/>
  </r>
  <r>
    <x v="1891"/>
    <x v="1871"/>
    <x v="9"/>
    <x v="0"/>
    <x v="0"/>
    <x v="0"/>
    <x v="0"/>
    <x v="0"/>
    <x v="0"/>
    <x v="0"/>
    <x v="0"/>
    <x v="0"/>
    <x v="410"/>
    <x v="0"/>
    <x v="0"/>
  </r>
  <r>
    <x v="1892"/>
    <x v="1872"/>
    <x v="2"/>
    <x v="2"/>
    <x v="2"/>
    <x v="0"/>
    <x v="0"/>
    <x v="0"/>
    <x v="0"/>
    <x v="0"/>
    <x v="0"/>
    <x v="36"/>
    <x v="410"/>
    <x v="0"/>
    <x v="0"/>
  </r>
  <r>
    <x v="1893"/>
    <x v="1873"/>
    <x v="1"/>
    <x v="5"/>
    <x v="5"/>
    <x v="0"/>
    <x v="0"/>
    <x v="0"/>
    <x v="0"/>
    <x v="0"/>
    <x v="0"/>
    <x v="36"/>
    <x v="410"/>
    <x v="0"/>
    <x v="0"/>
  </r>
  <r>
    <x v="1894"/>
    <x v="1874"/>
    <x v="9"/>
    <x v="0"/>
    <x v="0"/>
    <x v="0"/>
    <x v="0"/>
    <x v="0"/>
    <x v="0"/>
    <x v="0"/>
    <x v="0"/>
    <x v="0"/>
    <x v="410"/>
    <x v="0"/>
    <x v="0"/>
  </r>
  <r>
    <x v="1895"/>
    <x v="1875"/>
    <x v="9"/>
    <x v="0"/>
    <x v="0"/>
    <x v="0"/>
    <x v="0"/>
    <x v="0"/>
    <x v="0"/>
    <x v="0"/>
    <x v="0"/>
    <x v="36"/>
    <x v="410"/>
    <x v="0"/>
    <x v="0"/>
  </r>
  <r>
    <x v="1896"/>
    <x v="1876"/>
    <x v="9"/>
    <x v="0"/>
    <x v="0"/>
    <x v="0"/>
    <x v="0"/>
    <x v="0"/>
    <x v="0"/>
    <x v="0"/>
    <x v="0"/>
    <x v="44"/>
    <x v="410"/>
    <x v="0"/>
    <x v="0"/>
  </r>
  <r>
    <x v="1897"/>
    <x v="1877"/>
    <x v="9"/>
    <x v="0"/>
    <x v="0"/>
    <x v="0"/>
    <x v="0"/>
    <x v="0"/>
    <x v="0"/>
    <x v="0"/>
    <x v="0"/>
    <x v="44"/>
    <x v="410"/>
    <x v="0"/>
    <x v="0"/>
  </r>
  <r>
    <x v="1898"/>
    <x v="1878"/>
    <x v="9"/>
    <x v="0"/>
    <x v="0"/>
    <x v="0"/>
    <x v="0"/>
    <x v="0"/>
    <x v="0"/>
    <x v="0"/>
    <x v="0"/>
    <x v="52"/>
    <x v="410"/>
    <x v="0"/>
    <x v="0"/>
  </r>
  <r>
    <x v="1899"/>
    <x v="1879"/>
    <x v="9"/>
    <x v="0"/>
    <x v="0"/>
    <x v="0"/>
    <x v="0"/>
    <x v="0"/>
    <x v="0"/>
    <x v="0"/>
    <x v="0"/>
    <x v="44"/>
    <x v="410"/>
    <x v="0"/>
    <x v="0"/>
  </r>
  <r>
    <x v="1900"/>
    <x v="1880"/>
    <x v="9"/>
    <x v="0"/>
    <x v="0"/>
    <x v="0"/>
    <x v="0"/>
    <x v="0"/>
    <x v="0"/>
    <x v="0"/>
    <x v="0"/>
    <x v="36"/>
    <x v="410"/>
    <x v="0"/>
    <x v="0"/>
  </r>
  <r>
    <x v="1901"/>
    <x v="1881"/>
    <x v="9"/>
    <x v="0"/>
    <x v="0"/>
    <x v="0"/>
    <x v="0"/>
    <x v="0"/>
    <x v="0"/>
    <x v="0"/>
    <x v="0"/>
    <x v="44"/>
    <x v="410"/>
    <x v="0"/>
    <x v="0"/>
  </r>
  <r>
    <x v="1902"/>
    <x v="1867"/>
    <x v="9"/>
    <x v="0"/>
    <x v="0"/>
    <x v="0"/>
    <x v="0"/>
    <x v="0"/>
    <x v="0"/>
    <x v="0"/>
    <x v="0"/>
    <x v="54"/>
    <x v="410"/>
    <x v="0"/>
    <x v="0"/>
  </r>
  <r>
    <x v="1903"/>
    <x v="1882"/>
    <x v="9"/>
    <x v="0"/>
    <x v="0"/>
    <x v="0"/>
    <x v="0"/>
    <x v="0"/>
    <x v="0"/>
    <x v="0"/>
    <x v="0"/>
    <x v="54"/>
    <x v="410"/>
    <x v="0"/>
    <x v="0"/>
  </r>
  <r>
    <x v="1904"/>
    <x v="1883"/>
    <x v="9"/>
    <x v="0"/>
    <x v="0"/>
    <x v="0"/>
    <x v="0"/>
    <x v="0"/>
    <x v="0"/>
    <x v="0"/>
    <x v="0"/>
    <x v="44"/>
    <x v="410"/>
    <x v="0"/>
    <x v="0"/>
  </r>
  <r>
    <x v="1905"/>
    <x v="1884"/>
    <x v="9"/>
    <x v="0"/>
    <x v="0"/>
    <x v="0"/>
    <x v="0"/>
    <x v="0"/>
    <x v="0"/>
    <x v="0"/>
    <x v="0"/>
    <x v="54"/>
    <x v="410"/>
    <x v="0"/>
    <x v="0"/>
  </r>
  <r>
    <x v="1906"/>
    <x v="1885"/>
    <x v="9"/>
    <x v="0"/>
    <x v="0"/>
    <x v="0"/>
    <x v="0"/>
    <x v="0"/>
    <x v="0"/>
    <x v="0"/>
    <x v="0"/>
    <x v="54"/>
    <x v="410"/>
    <x v="0"/>
    <x v="0"/>
  </r>
  <r>
    <x v="1907"/>
    <x v="1886"/>
    <x v="9"/>
    <x v="0"/>
    <x v="0"/>
    <x v="0"/>
    <x v="0"/>
    <x v="0"/>
    <x v="0"/>
    <x v="0"/>
    <x v="0"/>
    <x v="54"/>
    <x v="410"/>
    <x v="0"/>
    <x v="0"/>
  </r>
  <r>
    <x v="1908"/>
    <x v="1887"/>
    <x v="9"/>
    <x v="0"/>
    <x v="0"/>
    <x v="0"/>
    <x v="0"/>
    <x v="0"/>
    <x v="0"/>
    <x v="0"/>
    <x v="0"/>
    <x v="36"/>
    <x v="410"/>
    <x v="0"/>
    <x v="0"/>
  </r>
  <r>
    <x v="1909"/>
    <x v="1888"/>
    <x v="9"/>
    <x v="0"/>
    <x v="0"/>
    <x v="0"/>
    <x v="0"/>
    <x v="0"/>
    <x v="0"/>
    <x v="0"/>
    <x v="0"/>
    <x v="54"/>
    <x v="410"/>
    <x v="0"/>
    <x v="0"/>
  </r>
  <r>
    <x v="1910"/>
    <x v="1889"/>
    <x v="9"/>
    <x v="0"/>
    <x v="0"/>
    <x v="0"/>
    <x v="0"/>
    <x v="0"/>
    <x v="0"/>
    <x v="0"/>
    <x v="0"/>
    <x v="44"/>
    <x v="410"/>
    <x v="0"/>
    <x v="0"/>
  </r>
  <r>
    <x v="1911"/>
    <x v="1890"/>
    <x v="9"/>
    <x v="0"/>
    <x v="0"/>
    <x v="0"/>
    <x v="0"/>
    <x v="0"/>
    <x v="0"/>
    <x v="0"/>
    <x v="0"/>
    <x v="0"/>
    <x v="410"/>
    <x v="0"/>
    <x v="0"/>
  </r>
  <r>
    <x v="1912"/>
    <x v="1891"/>
    <x v="9"/>
    <x v="0"/>
    <x v="0"/>
    <x v="0"/>
    <x v="0"/>
    <x v="0"/>
    <x v="0"/>
    <x v="0"/>
    <x v="0"/>
    <x v="36"/>
    <x v="410"/>
    <x v="0"/>
    <x v="0"/>
  </r>
  <r>
    <x v="1913"/>
    <x v="1892"/>
    <x v="9"/>
    <x v="0"/>
    <x v="0"/>
    <x v="0"/>
    <x v="0"/>
    <x v="0"/>
    <x v="0"/>
    <x v="0"/>
    <x v="0"/>
    <x v="54"/>
    <x v="410"/>
    <x v="0"/>
    <x v="0"/>
  </r>
  <r>
    <x v="1914"/>
    <x v="1893"/>
    <x v="9"/>
    <x v="0"/>
    <x v="0"/>
    <x v="0"/>
    <x v="0"/>
    <x v="0"/>
    <x v="0"/>
    <x v="0"/>
    <x v="0"/>
    <x v="54"/>
    <x v="410"/>
    <x v="0"/>
    <x v="0"/>
  </r>
  <r>
    <x v="1915"/>
    <x v="1894"/>
    <x v="9"/>
    <x v="0"/>
    <x v="0"/>
    <x v="0"/>
    <x v="0"/>
    <x v="0"/>
    <x v="0"/>
    <x v="0"/>
    <x v="0"/>
    <x v="36"/>
    <x v="410"/>
    <x v="0"/>
    <x v="0"/>
  </r>
  <r>
    <x v="1916"/>
    <x v="1895"/>
    <x v="9"/>
    <x v="0"/>
    <x v="0"/>
    <x v="0"/>
    <x v="0"/>
    <x v="0"/>
    <x v="0"/>
    <x v="0"/>
    <x v="0"/>
    <x v="44"/>
    <x v="410"/>
    <x v="0"/>
    <x v="0"/>
  </r>
  <r>
    <x v="1917"/>
    <x v="1896"/>
    <x v="9"/>
    <x v="0"/>
    <x v="0"/>
    <x v="0"/>
    <x v="0"/>
    <x v="0"/>
    <x v="0"/>
    <x v="0"/>
    <x v="0"/>
    <x v="44"/>
    <x v="410"/>
    <x v="0"/>
    <x v="0"/>
  </r>
  <r>
    <x v="1918"/>
    <x v="1897"/>
    <x v="9"/>
    <x v="0"/>
    <x v="0"/>
    <x v="0"/>
    <x v="0"/>
    <x v="0"/>
    <x v="0"/>
    <x v="0"/>
    <x v="0"/>
    <x v="36"/>
    <x v="410"/>
    <x v="0"/>
    <x v="0"/>
  </r>
  <r>
    <x v="1919"/>
    <x v="1898"/>
    <x v="9"/>
    <x v="0"/>
    <x v="0"/>
    <x v="0"/>
    <x v="0"/>
    <x v="0"/>
    <x v="0"/>
    <x v="0"/>
    <x v="0"/>
    <x v="36"/>
    <x v="410"/>
    <x v="0"/>
    <x v="0"/>
  </r>
  <r>
    <x v="1920"/>
    <x v="1899"/>
    <x v="2"/>
    <x v="0"/>
    <x v="0"/>
    <x v="0"/>
    <x v="0"/>
    <x v="0"/>
    <x v="0"/>
    <x v="0"/>
    <x v="0"/>
    <x v="0"/>
    <x v="410"/>
    <x v="0"/>
    <x v="0"/>
  </r>
  <r>
    <x v="1921"/>
    <x v="1900"/>
    <x v="9"/>
    <x v="0"/>
    <x v="0"/>
    <x v="0"/>
    <x v="0"/>
    <x v="0"/>
    <x v="0"/>
    <x v="0"/>
    <x v="0"/>
    <x v="0"/>
    <x v="410"/>
    <x v="0"/>
    <x v="0"/>
  </r>
  <r>
    <x v="1922"/>
    <x v="1901"/>
    <x v="9"/>
    <x v="0"/>
    <x v="0"/>
    <x v="0"/>
    <x v="0"/>
    <x v="0"/>
    <x v="0"/>
    <x v="0"/>
    <x v="0"/>
    <x v="0"/>
    <x v="410"/>
    <x v="0"/>
    <x v="0"/>
  </r>
  <r>
    <x v="1923"/>
    <x v="1902"/>
    <x v="1"/>
    <x v="2"/>
    <x v="2"/>
    <x v="0"/>
    <x v="0"/>
    <x v="0"/>
    <x v="0"/>
    <x v="0"/>
    <x v="0"/>
    <x v="36"/>
    <x v="410"/>
    <x v="0"/>
    <x v="0"/>
  </r>
  <r>
    <x v="1924"/>
    <x v="1903"/>
    <x v="9"/>
    <x v="0"/>
    <x v="0"/>
    <x v="0"/>
    <x v="0"/>
    <x v="0"/>
    <x v="0"/>
    <x v="0"/>
    <x v="0"/>
    <x v="36"/>
    <x v="410"/>
    <x v="0"/>
    <x v="0"/>
  </r>
  <r>
    <x v="1925"/>
    <x v="1904"/>
    <x v="9"/>
    <x v="0"/>
    <x v="0"/>
    <x v="0"/>
    <x v="0"/>
    <x v="0"/>
    <x v="0"/>
    <x v="0"/>
    <x v="0"/>
    <x v="36"/>
    <x v="410"/>
    <x v="0"/>
    <x v="0"/>
  </r>
  <r>
    <x v="1926"/>
    <x v="1905"/>
    <x v="9"/>
    <x v="0"/>
    <x v="0"/>
    <x v="0"/>
    <x v="0"/>
    <x v="0"/>
    <x v="0"/>
    <x v="0"/>
    <x v="0"/>
    <x v="0"/>
    <x v="410"/>
    <x v="0"/>
    <x v="0"/>
  </r>
  <r>
    <x v="1927"/>
    <x v="1906"/>
    <x v="9"/>
    <x v="0"/>
    <x v="0"/>
    <x v="0"/>
    <x v="0"/>
    <x v="0"/>
    <x v="0"/>
    <x v="0"/>
    <x v="0"/>
    <x v="44"/>
    <x v="410"/>
    <x v="0"/>
    <x v="0"/>
  </r>
  <r>
    <x v="1928"/>
    <x v="1907"/>
    <x v="9"/>
    <x v="0"/>
    <x v="0"/>
    <x v="0"/>
    <x v="0"/>
    <x v="0"/>
    <x v="0"/>
    <x v="0"/>
    <x v="0"/>
    <x v="53"/>
    <x v="410"/>
    <x v="0"/>
    <x v="0"/>
  </r>
  <r>
    <x v="1929"/>
    <x v="1908"/>
    <x v="9"/>
    <x v="0"/>
    <x v="0"/>
    <x v="0"/>
    <x v="0"/>
    <x v="0"/>
    <x v="0"/>
    <x v="0"/>
    <x v="0"/>
    <x v="0"/>
    <x v="410"/>
    <x v="0"/>
    <x v="0"/>
  </r>
  <r>
    <x v="1930"/>
    <x v="1909"/>
    <x v="2"/>
    <x v="0"/>
    <x v="0"/>
    <x v="0"/>
    <x v="0"/>
    <x v="0"/>
    <x v="0"/>
    <x v="0"/>
    <x v="0"/>
    <x v="0"/>
    <x v="410"/>
    <x v="0"/>
    <x v="0"/>
  </r>
  <r>
    <x v="1931"/>
    <x v="1910"/>
    <x v="9"/>
    <x v="0"/>
    <x v="0"/>
    <x v="0"/>
    <x v="0"/>
    <x v="0"/>
    <x v="0"/>
    <x v="0"/>
    <x v="0"/>
    <x v="0"/>
    <x v="410"/>
    <x v="0"/>
    <x v="0"/>
  </r>
  <r>
    <x v="1932"/>
    <x v="1911"/>
    <x v="3"/>
    <x v="0"/>
    <x v="0"/>
    <x v="0"/>
    <x v="0"/>
    <x v="0"/>
    <x v="0"/>
    <x v="0"/>
    <x v="0"/>
    <x v="0"/>
    <x v="410"/>
    <x v="0"/>
    <x v="0"/>
  </r>
  <r>
    <x v="1933"/>
    <x v="1912"/>
    <x v="9"/>
    <x v="0"/>
    <x v="0"/>
    <x v="0"/>
    <x v="0"/>
    <x v="0"/>
    <x v="0"/>
    <x v="0"/>
    <x v="0"/>
    <x v="0"/>
    <x v="410"/>
    <x v="0"/>
    <x v="0"/>
  </r>
  <r>
    <x v="1934"/>
    <x v="1913"/>
    <x v="9"/>
    <x v="0"/>
    <x v="0"/>
    <x v="0"/>
    <x v="0"/>
    <x v="0"/>
    <x v="0"/>
    <x v="0"/>
    <x v="0"/>
    <x v="0"/>
    <x v="410"/>
    <x v="0"/>
    <x v="0"/>
  </r>
  <r>
    <x v="1935"/>
    <x v="1914"/>
    <x v="9"/>
    <x v="0"/>
    <x v="0"/>
    <x v="0"/>
    <x v="0"/>
    <x v="0"/>
    <x v="0"/>
    <x v="0"/>
    <x v="0"/>
    <x v="0"/>
    <x v="410"/>
    <x v="0"/>
    <x v="0"/>
  </r>
  <r>
    <x v="1936"/>
    <x v="1915"/>
    <x v="9"/>
    <x v="0"/>
    <x v="0"/>
    <x v="0"/>
    <x v="0"/>
    <x v="0"/>
    <x v="0"/>
    <x v="0"/>
    <x v="0"/>
    <x v="44"/>
    <x v="410"/>
    <x v="0"/>
    <x v="0"/>
  </r>
  <r>
    <x v="1937"/>
    <x v="1916"/>
    <x v="9"/>
    <x v="0"/>
    <x v="0"/>
    <x v="0"/>
    <x v="0"/>
    <x v="0"/>
    <x v="0"/>
    <x v="0"/>
    <x v="0"/>
    <x v="44"/>
    <x v="410"/>
    <x v="0"/>
    <x v="0"/>
  </r>
  <r>
    <x v="1938"/>
    <x v="1917"/>
    <x v="2"/>
    <x v="0"/>
    <x v="0"/>
    <x v="0"/>
    <x v="0"/>
    <x v="0"/>
    <x v="0"/>
    <x v="0"/>
    <x v="0"/>
    <x v="0"/>
    <x v="410"/>
    <x v="0"/>
    <x v="0"/>
  </r>
  <r>
    <x v="1939"/>
    <x v="1918"/>
    <x v="4"/>
    <x v="2"/>
    <x v="2"/>
    <x v="0"/>
    <x v="0"/>
    <x v="5"/>
    <x v="0"/>
    <x v="0"/>
    <x v="0"/>
    <x v="0"/>
    <x v="411"/>
    <x v="77"/>
    <x v="0"/>
  </r>
  <r>
    <x v="1940"/>
    <x v="1919"/>
    <x v="11"/>
    <x v="2"/>
    <x v="2"/>
    <x v="0"/>
    <x v="0"/>
    <x v="0"/>
    <x v="0"/>
    <x v="0"/>
    <x v="0"/>
    <x v="0"/>
    <x v="411"/>
    <x v="78"/>
    <x v="0"/>
  </r>
  <r>
    <x v="1941"/>
    <x v="1920"/>
    <x v="11"/>
    <x v="2"/>
    <x v="2"/>
    <x v="0"/>
    <x v="0"/>
    <x v="2"/>
    <x v="0"/>
    <x v="0"/>
    <x v="0"/>
    <x v="0"/>
    <x v="411"/>
    <x v="79"/>
    <x v="0"/>
  </r>
  <r>
    <x v="1942"/>
    <x v="1921"/>
    <x v="11"/>
    <x v="1"/>
    <x v="1"/>
    <x v="0"/>
    <x v="0"/>
    <x v="1"/>
    <x v="0"/>
    <x v="0"/>
    <x v="0"/>
    <x v="0"/>
    <x v="412"/>
    <x v="80"/>
    <x v="0"/>
  </r>
  <r>
    <x v="1943"/>
    <x v="1922"/>
    <x v="4"/>
    <x v="3"/>
    <x v="3"/>
    <x v="0"/>
    <x v="0"/>
    <x v="0"/>
    <x v="0"/>
    <x v="0"/>
    <x v="0"/>
    <x v="0"/>
    <x v="412"/>
    <x v="68"/>
    <x v="0"/>
  </r>
  <r>
    <x v="1944"/>
    <x v="1923"/>
    <x v="11"/>
    <x v="2"/>
    <x v="2"/>
    <x v="0"/>
    <x v="0"/>
    <x v="3"/>
    <x v="0"/>
    <x v="0"/>
    <x v="0"/>
    <x v="0"/>
    <x v="413"/>
    <x v="60"/>
    <x v="0"/>
  </r>
  <r>
    <x v="1945"/>
    <x v="1924"/>
    <x v="4"/>
    <x v="2"/>
    <x v="2"/>
    <x v="0"/>
    <x v="0"/>
    <x v="0"/>
    <x v="0"/>
    <x v="0"/>
    <x v="0"/>
    <x v="0"/>
    <x v="413"/>
    <x v="0"/>
    <x v="0"/>
  </r>
  <r>
    <x v="1946"/>
    <x v="1925"/>
    <x v="4"/>
    <x v="2"/>
    <x v="2"/>
    <x v="0"/>
    <x v="0"/>
    <x v="7"/>
    <x v="0"/>
    <x v="0"/>
    <x v="27"/>
    <x v="0"/>
    <x v="413"/>
    <x v="0"/>
    <x v="0"/>
  </r>
  <r>
    <x v="1947"/>
    <x v="1926"/>
    <x v="11"/>
    <x v="2"/>
    <x v="2"/>
    <x v="0"/>
    <x v="0"/>
    <x v="2"/>
    <x v="0"/>
    <x v="0"/>
    <x v="0"/>
    <x v="0"/>
    <x v="414"/>
    <x v="79"/>
    <x v="0"/>
  </r>
  <r>
    <x v="1948"/>
    <x v="1927"/>
    <x v="1"/>
    <x v="5"/>
    <x v="5"/>
    <x v="0"/>
    <x v="0"/>
    <x v="0"/>
    <x v="0"/>
    <x v="0"/>
    <x v="0"/>
    <x v="0"/>
    <x v="415"/>
    <x v="0"/>
    <x v="0"/>
  </r>
  <r>
    <x v="1949"/>
    <x v="1928"/>
    <x v="4"/>
    <x v="5"/>
    <x v="5"/>
    <x v="0"/>
    <x v="0"/>
    <x v="0"/>
    <x v="0"/>
    <x v="0"/>
    <x v="0"/>
    <x v="55"/>
    <x v="415"/>
    <x v="81"/>
    <x v="8"/>
  </r>
  <r>
    <x v="1950"/>
    <x v="1929"/>
    <x v="11"/>
    <x v="2"/>
    <x v="2"/>
    <x v="0"/>
    <x v="0"/>
    <x v="0"/>
    <x v="0"/>
    <x v="0"/>
    <x v="0"/>
    <x v="0"/>
    <x v="415"/>
    <x v="77"/>
    <x v="0"/>
  </r>
  <r>
    <x v="1951"/>
    <x v="1930"/>
    <x v="1"/>
    <x v="5"/>
    <x v="5"/>
    <x v="0"/>
    <x v="0"/>
    <x v="0"/>
    <x v="0"/>
    <x v="0"/>
    <x v="0"/>
    <x v="0"/>
    <x v="416"/>
    <x v="0"/>
    <x v="0"/>
  </r>
  <r>
    <x v="1952"/>
    <x v="1931"/>
    <x v="4"/>
    <x v="2"/>
    <x v="2"/>
    <x v="0"/>
    <x v="0"/>
    <x v="0"/>
    <x v="0"/>
    <x v="0"/>
    <x v="0"/>
    <x v="0"/>
    <x v="416"/>
    <x v="0"/>
    <x v="0"/>
  </r>
  <r>
    <x v="1953"/>
    <x v="1932"/>
    <x v="4"/>
    <x v="2"/>
    <x v="2"/>
    <x v="0"/>
    <x v="0"/>
    <x v="1"/>
    <x v="0"/>
    <x v="0"/>
    <x v="27"/>
    <x v="56"/>
    <x v="416"/>
    <x v="81"/>
    <x v="0"/>
  </r>
  <r>
    <x v="1954"/>
    <x v="1933"/>
    <x v="11"/>
    <x v="2"/>
    <x v="2"/>
    <x v="0"/>
    <x v="0"/>
    <x v="0"/>
    <x v="0"/>
    <x v="0"/>
    <x v="0"/>
    <x v="0"/>
    <x v="417"/>
    <x v="81"/>
    <x v="0"/>
  </r>
  <r>
    <x v="1955"/>
    <x v="1934"/>
    <x v="1"/>
    <x v="5"/>
    <x v="5"/>
    <x v="0"/>
    <x v="0"/>
    <x v="0"/>
    <x v="0"/>
    <x v="0"/>
    <x v="0"/>
    <x v="0"/>
    <x v="418"/>
    <x v="0"/>
    <x v="0"/>
  </r>
  <r>
    <x v="1956"/>
    <x v="1935"/>
    <x v="9"/>
    <x v="0"/>
    <x v="0"/>
    <x v="0"/>
    <x v="0"/>
    <x v="0"/>
    <x v="0"/>
    <x v="0"/>
    <x v="0"/>
    <x v="36"/>
    <x v="419"/>
    <x v="0"/>
    <x v="0"/>
  </r>
  <r>
    <x v="1957"/>
    <x v="1936"/>
    <x v="1"/>
    <x v="3"/>
    <x v="3"/>
    <x v="0"/>
    <x v="0"/>
    <x v="0"/>
    <x v="0"/>
    <x v="0"/>
    <x v="0"/>
    <x v="0"/>
    <x v="419"/>
    <x v="70"/>
    <x v="0"/>
  </r>
  <r>
    <x v="1958"/>
    <x v="1937"/>
    <x v="9"/>
    <x v="0"/>
    <x v="0"/>
    <x v="0"/>
    <x v="0"/>
    <x v="0"/>
    <x v="0"/>
    <x v="0"/>
    <x v="0"/>
    <x v="0"/>
    <x v="419"/>
    <x v="0"/>
    <x v="0"/>
  </r>
  <r>
    <x v="1959"/>
    <x v="1938"/>
    <x v="1"/>
    <x v="3"/>
    <x v="3"/>
    <x v="0"/>
    <x v="0"/>
    <x v="0"/>
    <x v="0"/>
    <x v="0"/>
    <x v="0"/>
    <x v="0"/>
    <x v="419"/>
    <x v="0"/>
    <x v="0"/>
  </r>
  <r>
    <x v="1960"/>
    <x v="1939"/>
    <x v="2"/>
    <x v="2"/>
    <x v="2"/>
    <x v="0"/>
    <x v="0"/>
    <x v="16"/>
    <x v="0"/>
    <x v="0"/>
    <x v="17"/>
    <x v="0"/>
    <x v="420"/>
    <x v="0"/>
    <x v="0"/>
  </r>
  <r>
    <x v="1961"/>
    <x v="1940"/>
    <x v="4"/>
    <x v="2"/>
    <x v="2"/>
    <x v="0"/>
    <x v="0"/>
    <x v="0"/>
    <x v="0"/>
    <x v="0"/>
    <x v="0"/>
    <x v="0"/>
    <x v="420"/>
    <x v="0"/>
    <x v="0"/>
  </r>
  <r>
    <x v="1962"/>
    <x v="1941"/>
    <x v="4"/>
    <x v="2"/>
    <x v="2"/>
    <x v="0"/>
    <x v="0"/>
    <x v="2"/>
    <x v="0"/>
    <x v="0"/>
    <x v="7"/>
    <x v="0"/>
    <x v="421"/>
    <x v="0"/>
    <x v="0"/>
  </r>
  <r>
    <x v="1963"/>
    <x v="1942"/>
    <x v="4"/>
    <x v="5"/>
    <x v="5"/>
    <x v="0"/>
    <x v="0"/>
    <x v="0"/>
    <x v="0"/>
    <x v="0"/>
    <x v="0"/>
    <x v="0"/>
    <x v="422"/>
    <x v="0"/>
    <x v="0"/>
  </r>
  <r>
    <x v="1964"/>
    <x v="1943"/>
    <x v="4"/>
    <x v="1"/>
    <x v="1"/>
    <x v="0"/>
    <x v="0"/>
    <x v="0"/>
    <x v="0"/>
    <x v="0"/>
    <x v="0"/>
    <x v="0"/>
    <x v="423"/>
    <x v="0"/>
    <x v="0"/>
  </r>
  <r>
    <x v="1965"/>
    <x v="1944"/>
    <x v="4"/>
    <x v="1"/>
    <x v="1"/>
    <x v="0"/>
    <x v="0"/>
    <x v="0"/>
    <x v="0"/>
    <x v="0"/>
    <x v="0"/>
    <x v="0"/>
    <x v="423"/>
    <x v="0"/>
    <x v="0"/>
  </r>
  <r>
    <x v="1966"/>
    <x v="1945"/>
    <x v="1"/>
    <x v="3"/>
    <x v="3"/>
    <x v="0"/>
    <x v="0"/>
    <x v="0"/>
    <x v="0"/>
    <x v="0"/>
    <x v="0"/>
    <x v="0"/>
    <x v="423"/>
    <x v="0"/>
    <x v="0"/>
  </r>
  <r>
    <x v="1967"/>
    <x v="1946"/>
    <x v="1"/>
    <x v="3"/>
    <x v="3"/>
    <x v="0"/>
    <x v="0"/>
    <x v="0"/>
    <x v="0"/>
    <x v="0"/>
    <x v="0"/>
    <x v="0"/>
    <x v="423"/>
    <x v="0"/>
    <x v="0"/>
  </r>
  <r>
    <x v="1968"/>
    <x v="1947"/>
    <x v="1"/>
    <x v="3"/>
    <x v="3"/>
    <x v="0"/>
    <x v="0"/>
    <x v="0"/>
    <x v="0"/>
    <x v="0"/>
    <x v="0"/>
    <x v="0"/>
    <x v="423"/>
    <x v="0"/>
    <x v="0"/>
  </r>
  <r>
    <x v="1969"/>
    <x v="1948"/>
    <x v="1"/>
    <x v="3"/>
    <x v="3"/>
    <x v="0"/>
    <x v="0"/>
    <x v="0"/>
    <x v="0"/>
    <x v="0"/>
    <x v="0"/>
    <x v="0"/>
    <x v="423"/>
    <x v="0"/>
    <x v="0"/>
  </r>
  <r>
    <x v="1970"/>
    <x v="1949"/>
    <x v="1"/>
    <x v="3"/>
    <x v="3"/>
    <x v="0"/>
    <x v="0"/>
    <x v="0"/>
    <x v="0"/>
    <x v="0"/>
    <x v="0"/>
    <x v="0"/>
    <x v="423"/>
    <x v="0"/>
    <x v="0"/>
  </r>
  <r>
    <x v="1971"/>
    <x v="1950"/>
    <x v="1"/>
    <x v="5"/>
    <x v="5"/>
    <x v="0"/>
    <x v="0"/>
    <x v="3"/>
    <x v="0"/>
    <x v="0"/>
    <x v="0"/>
    <x v="0"/>
    <x v="424"/>
    <x v="0"/>
    <x v="0"/>
  </r>
  <r>
    <x v="1972"/>
    <x v="1951"/>
    <x v="4"/>
    <x v="2"/>
    <x v="2"/>
    <x v="0"/>
    <x v="0"/>
    <x v="0"/>
    <x v="0"/>
    <x v="0"/>
    <x v="0"/>
    <x v="0"/>
    <x v="425"/>
    <x v="0"/>
    <x v="0"/>
  </r>
  <r>
    <x v="1973"/>
    <x v="1952"/>
    <x v="11"/>
    <x v="2"/>
    <x v="2"/>
    <x v="0"/>
    <x v="0"/>
    <x v="0"/>
    <x v="0"/>
    <x v="0"/>
    <x v="0"/>
    <x v="0"/>
    <x v="426"/>
    <x v="0"/>
    <x v="0"/>
  </r>
  <r>
    <x v="1974"/>
    <x v="1953"/>
    <x v="1"/>
    <x v="5"/>
    <x v="5"/>
    <x v="0"/>
    <x v="0"/>
    <x v="0"/>
    <x v="0"/>
    <x v="0"/>
    <x v="0"/>
    <x v="0"/>
    <x v="427"/>
    <x v="0"/>
    <x v="0"/>
  </r>
  <r>
    <x v="1975"/>
    <x v="1954"/>
    <x v="4"/>
    <x v="3"/>
    <x v="3"/>
    <x v="0"/>
    <x v="0"/>
    <x v="0"/>
    <x v="0"/>
    <x v="0"/>
    <x v="13"/>
    <x v="0"/>
    <x v="427"/>
    <x v="0"/>
    <x v="0"/>
  </r>
  <r>
    <x v="1976"/>
    <x v="1955"/>
    <x v="1"/>
    <x v="5"/>
    <x v="5"/>
    <x v="0"/>
    <x v="0"/>
    <x v="0"/>
    <x v="0"/>
    <x v="0"/>
    <x v="22"/>
    <x v="0"/>
    <x v="428"/>
    <x v="0"/>
    <x v="0"/>
  </r>
  <r>
    <x v="1977"/>
    <x v="1956"/>
    <x v="4"/>
    <x v="3"/>
    <x v="3"/>
    <x v="0"/>
    <x v="0"/>
    <x v="0"/>
    <x v="0"/>
    <x v="0"/>
    <x v="19"/>
    <x v="0"/>
    <x v="429"/>
    <x v="0"/>
    <x v="0"/>
  </r>
  <r>
    <x v="1978"/>
    <x v="1957"/>
    <x v="1"/>
    <x v="5"/>
    <x v="5"/>
    <x v="0"/>
    <x v="0"/>
    <x v="0"/>
    <x v="0"/>
    <x v="0"/>
    <x v="22"/>
    <x v="0"/>
    <x v="430"/>
    <x v="0"/>
    <x v="0"/>
  </r>
  <r>
    <x v="1979"/>
    <x v="1958"/>
    <x v="1"/>
    <x v="5"/>
    <x v="5"/>
    <x v="0"/>
    <x v="0"/>
    <x v="0"/>
    <x v="0"/>
    <x v="0"/>
    <x v="0"/>
    <x v="0"/>
    <x v="430"/>
    <x v="0"/>
    <x v="0"/>
  </r>
  <r>
    <x v="1980"/>
    <x v="1959"/>
    <x v="4"/>
    <x v="2"/>
    <x v="2"/>
    <x v="0"/>
    <x v="0"/>
    <x v="7"/>
    <x v="0"/>
    <x v="0"/>
    <x v="27"/>
    <x v="0"/>
    <x v="431"/>
    <x v="0"/>
    <x v="0"/>
  </r>
  <r>
    <x v="1981"/>
    <x v="1960"/>
    <x v="1"/>
    <x v="3"/>
    <x v="3"/>
    <x v="0"/>
    <x v="0"/>
    <x v="0"/>
    <x v="0"/>
    <x v="0"/>
    <x v="0"/>
    <x v="0"/>
    <x v="432"/>
    <x v="0"/>
    <x v="0"/>
  </r>
  <r>
    <x v="1982"/>
    <x v="1961"/>
    <x v="1"/>
    <x v="5"/>
    <x v="5"/>
    <x v="0"/>
    <x v="0"/>
    <x v="0"/>
    <x v="0"/>
    <x v="0"/>
    <x v="0"/>
    <x v="0"/>
    <x v="432"/>
    <x v="0"/>
    <x v="0"/>
  </r>
  <r>
    <x v="1983"/>
    <x v="1962"/>
    <x v="11"/>
    <x v="2"/>
    <x v="2"/>
    <x v="0"/>
    <x v="0"/>
    <x v="3"/>
    <x v="0"/>
    <x v="0"/>
    <x v="0"/>
    <x v="0"/>
    <x v="433"/>
    <x v="60"/>
    <x v="0"/>
  </r>
  <r>
    <x v="1984"/>
    <x v="1963"/>
    <x v="4"/>
    <x v="2"/>
    <x v="2"/>
    <x v="0"/>
    <x v="0"/>
    <x v="2"/>
    <x v="0"/>
    <x v="0"/>
    <x v="0"/>
    <x v="0"/>
    <x v="434"/>
    <x v="60"/>
    <x v="0"/>
  </r>
  <r>
    <x v="1985"/>
    <x v="1964"/>
    <x v="1"/>
    <x v="5"/>
    <x v="5"/>
    <x v="0"/>
    <x v="0"/>
    <x v="0"/>
    <x v="0"/>
    <x v="0"/>
    <x v="0"/>
    <x v="0"/>
    <x v="435"/>
    <x v="0"/>
    <x v="0"/>
  </r>
  <r>
    <x v="1986"/>
    <x v="1965"/>
    <x v="11"/>
    <x v="1"/>
    <x v="1"/>
    <x v="0"/>
    <x v="0"/>
    <x v="0"/>
    <x v="0"/>
    <x v="0"/>
    <x v="0"/>
    <x v="0"/>
    <x v="436"/>
    <x v="0"/>
    <x v="0"/>
  </r>
  <r>
    <x v="1987"/>
    <x v="1966"/>
    <x v="11"/>
    <x v="1"/>
    <x v="1"/>
    <x v="0"/>
    <x v="0"/>
    <x v="0"/>
    <x v="0"/>
    <x v="0"/>
    <x v="0"/>
    <x v="0"/>
    <x v="436"/>
    <x v="0"/>
    <x v="0"/>
  </r>
  <r>
    <x v="1988"/>
    <x v="1967"/>
    <x v="1"/>
    <x v="5"/>
    <x v="5"/>
    <x v="0"/>
    <x v="0"/>
    <x v="7"/>
    <x v="0"/>
    <x v="0"/>
    <x v="0"/>
    <x v="0"/>
    <x v="437"/>
    <x v="0"/>
    <x v="0"/>
  </r>
  <r>
    <x v="1989"/>
    <x v="1968"/>
    <x v="1"/>
    <x v="3"/>
    <x v="3"/>
    <x v="0"/>
    <x v="0"/>
    <x v="0"/>
    <x v="0"/>
    <x v="0"/>
    <x v="0"/>
    <x v="0"/>
    <x v="437"/>
    <x v="0"/>
    <x v="0"/>
  </r>
  <r>
    <x v="1990"/>
    <x v="1969"/>
    <x v="1"/>
    <x v="5"/>
    <x v="5"/>
    <x v="0"/>
    <x v="0"/>
    <x v="0"/>
    <x v="0"/>
    <x v="0"/>
    <x v="0"/>
    <x v="0"/>
    <x v="437"/>
    <x v="0"/>
    <x v="0"/>
  </r>
  <r>
    <x v="1991"/>
    <x v="1970"/>
    <x v="4"/>
    <x v="3"/>
    <x v="3"/>
    <x v="0"/>
    <x v="0"/>
    <x v="0"/>
    <x v="0"/>
    <x v="0"/>
    <x v="13"/>
    <x v="0"/>
    <x v="438"/>
    <x v="0"/>
    <x v="0"/>
  </r>
  <r>
    <x v="1992"/>
    <x v="1971"/>
    <x v="1"/>
    <x v="5"/>
    <x v="5"/>
    <x v="0"/>
    <x v="0"/>
    <x v="0"/>
    <x v="0"/>
    <x v="0"/>
    <x v="0"/>
    <x v="0"/>
    <x v="439"/>
    <x v="0"/>
    <x v="0"/>
  </r>
  <r>
    <x v="1993"/>
    <x v="1972"/>
    <x v="1"/>
    <x v="5"/>
    <x v="5"/>
    <x v="0"/>
    <x v="0"/>
    <x v="0"/>
    <x v="0"/>
    <x v="0"/>
    <x v="0"/>
    <x v="0"/>
    <x v="439"/>
    <x v="0"/>
    <x v="0"/>
  </r>
  <r>
    <x v="1994"/>
    <x v="1973"/>
    <x v="4"/>
    <x v="3"/>
    <x v="3"/>
    <x v="0"/>
    <x v="0"/>
    <x v="0"/>
    <x v="0"/>
    <x v="0"/>
    <x v="16"/>
    <x v="0"/>
    <x v="439"/>
    <x v="0"/>
    <x v="0"/>
  </r>
  <r>
    <x v="1995"/>
    <x v="1974"/>
    <x v="4"/>
    <x v="4"/>
    <x v="4"/>
    <x v="0"/>
    <x v="0"/>
    <x v="0"/>
    <x v="0"/>
    <x v="0"/>
    <x v="31"/>
    <x v="0"/>
    <x v="439"/>
    <x v="0"/>
    <x v="0"/>
  </r>
  <r>
    <x v="1996"/>
    <x v="1975"/>
    <x v="1"/>
    <x v="3"/>
    <x v="3"/>
    <x v="0"/>
    <x v="0"/>
    <x v="0"/>
    <x v="0"/>
    <x v="0"/>
    <x v="0"/>
    <x v="0"/>
    <x v="439"/>
    <x v="0"/>
    <x v="0"/>
  </r>
  <r>
    <x v="1997"/>
    <x v="1976"/>
    <x v="11"/>
    <x v="1"/>
    <x v="1"/>
    <x v="0"/>
    <x v="0"/>
    <x v="5"/>
    <x v="0"/>
    <x v="0"/>
    <x v="0"/>
    <x v="57"/>
    <x v="440"/>
    <x v="0"/>
    <x v="0"/>
  </r>
  <r>
    <x v="1998"/>
    <x v="1977"/>
    <x v="4"/>
    <x v="3"/>
    <x v="3"/>
    <x v="0"/>
    <x v="0"/>
    <x v="0"/>
    <x v="0"/>
    <x v="0"/>
    <x v="13"/>
    <x v="0"/>
    <x v="440"/>
    <x v="0"/>
    <x v="0"/>
  </r>
  <r>
    <x v="1999"/>
    <x v="1978"/>
    <x v="1"/>
    <x v="5"/>
    <x v="5"/>
    <x v="0"/>
    <x v="0"/>
    <x v="3"/>
    <x v="0"/>
    <x v="0"/>
    <x v="0"/>
    <x v="0"/>
    <x v="440"/>
    <x v="0"/>
    <x v="0"/>
  </r>
  <r>
    <x v="2000"/>
    <x v="1979"/>
    <x v="1"/>
    <x v="3"/>
    <x v="3"/>
    <x v="0"/>
    <x v="0"/>
    <x v="1"/>
    <x v="0"/>
    <x v="0"/>
    <x v="0"/>
    <x v="0"/>
    <x v="440"/>
    <x v="82"/>
    <x v="0"/>
  </r>
  <r>
    <x v="2001"/>
    <x v="1980"/>
    <x v="5"/>
    <x v="5"/>
    <x v="5"/>
    <x v="0"/>
    <x v="0"/>
    <x v="0"/>
    <x v="0"/>
    <x v="0"/>
    <x v="0"/>
    <x v="0"/>
    <x v="441"/>
    <x v="0"/>
    <x v="0"/>
  </r>
  <r>
    <x v="2002"/>
    <x v="1981"/>
    <x v="4"/>
    <x v="5"/>
    <x v="5"/>
    <x v="0"/>
    <x v="0"/>
    <x v="7"/>
    <x v="0"/>
    <x v="0"/>
    <x v="0"/>
    <x v="0"/>
    <x v="441"/>
    <x v="0"/>
    <x v="0"/>
  </r>
  <r>
    <x v="2003"/>
    <x v="1982"/>
    <x v="1"/>
    <x v="3"/>
    <x v="3"/>
    <x v="0"/>
    <x v="0"/>
    <x v="0"/>
    <x v="0"/>
    <x v="0"/>
    <x v="0"/>
    <x v="0"/>
    <x v="441"/>
    <x v="83"/>
    <x v="0"/>
  </r>
  <r>
    <x v="2004"/>
    <x v="1983"/>
    <x v="1"/>
    <x v="3"/>
    <x v="3"/>
    <x v="0"/>
    <x v="0"/>
    <x v="0"/>
    <x v="0"/>
    <x v="0"/>
    <x v="0"/>
    <x v="0"/>
    <x v="441"/>
    <x v="0"/>
    <x v="0"/>
  </r>
  <r>
    <x v="2005"/>
    <x v="1984"/>
    <x v="1"/>
    <x v="3"/>
    <x v="3"/>
    <x v="0"/>
    <x v="0"/>
    <x v="0"/>
    <x v="0"/>
    <x v="0"/>
    <x v="0"/>
    <x v="0"/>
    <x v="441"/>
    <x v="0"/>
    <x v="0"/>
  </r>
  <r>
    <x v="2006"/>
    <x v="1985"/>
    <x v="4"/>
    <x v="5"/>
    <x v="5"/>
    <x v="0"/>
    <x v="0"/>
    <x v="0"/>
    <x v="0"/>
    <x v="0"/>
    <x v="22"/>
    <x v="58"/>
    <x v="442"/>
    <x v="84"/>
    <x v="0"/>
  </r>
  <r>
    <x v="2007"/>
    <x v="1986"/>
    <x v="1"/>
    <x v="5"/>
    <x v="5"/>
    <x v="0"/>
    <x v="0"/>
    <x v="0"/>
    <x v="0"/>
    <x v="0"/>
    <x v="0"/>
    <x v="0"/>
    <x v="442"/>
    <x v="0"/>
    <x v="0"/>
  </r>
  <r>
    <x v="2008"/>
    <x v="1987"/>
    <x v="4"/>
    <x v="3"/>
    <x v="3"/>
    <x v="0"/>
    <x v="0"/>
    <x v="0"/>
    <x v="0"/>
    <x v="0"/>
    <x v="13"/>
    <x v="0"/>
    <x v="442"/>
    <x v="0"/>
    <x v="0"/>
  </r>
  <r>
    <x v="2009"/>
    <x v="1988"/>
    <x v="1"/>
    <x v="3"/>
    <x v="3"/>
    <x v="0"/>
    <x v="0"/>
    <x v="0"/>
    <x v="0"/>
    <x v="0"/>
    <x v="0"/>
    <x v="0"/>
    <x v="443"/>
    <x v="85"/>
    <x v="0"/>
  </r>
  <r>
    <x v="2010"/>
    <x v="1989"/>
    <x v="4"/>
    <x v="3"/>
    <x v="3"/>
    <x v="0"/>
    <x v="0"/>
    <x v="0"/>
    <x v="0"/>
    <x v="0"/>
    <x v="0"/>
    <x v="0"/>
    <x v="443"/>
    <x v="82"/>
    <x v="0"/>
  </r>
  <r>
    <x v="2011"/>
    <x v="1990"/>
    <x v="1"/>
    <x v="3"/>
    <x v="3"/>
    <x v="0"/>
    <x v="0"/>
    <x v="0"/>
    <x v="0"/>
    <x v="0"/>
    <x v="0"/>
    <x v="0"/>
    <x v="443"/>
    <x v="83"/>
    <x v="0"/>
  </r>
  <r>
    <x v="2012"/>
    <x v="1991"/>
    <x v="4"/>
    <x v="5"/>
    <x v="5"/>
    <x v="0"/>
    <x v="0"/>
    <x v="3"/>
    <x v="0"/>
    <x v="0"/>
    <x v="22"/>
    <x v="59"/>
    <x v="443"/>
    <x v="84"/>
    <x v="0"/>
  </r>
  <r>
    <x v="2013"/>
    <x v="1992"/>
    <x v="1"/>
    <x v="3"/>
    <x v="3"/>
    <x v="0"/>
    <x v="0"/>
    <x v="0"/>
    <x v="0"/>
    <x v="0"/>
    <x v="0"/>
    <x v="0"/>
    <x v="444"/>
    <x v="0"/>
    <x v="0"/>
  </r>
  <r>
    <x v="2014"/>
    <x v="1993"/>
    <x v="1"/>
    <x v="3"/>
    <x v="3"/>
    <x v="0"/>
    <x v="0"/>
    <x v="0"/>
    <x v="0"/>
    <x v="0"/>
    <x v="0"/>
    <x v="0"/>
    <x v="445"/>
    <x v="82"/>
    <x v="0"/>
  </r>
  <r>
    <x v="2015"/>
    <x v="1994"/>
    <x v="4"/>
    <x v="3"/>
    <x v="3"/>
    <x v="0"/>
    <x v="0"/>
    <x v="0"/>
    <x v="0"/>
    <x v="0"/>
    <x v="0"/>
    <x v="0"/>
    <x v="445"/>
    <x v="82"/>
    <x v="0"/>
  </r>
  <r>
    <x v="2016"/>
    <x v="1995"/>
    <x v="1"/>
    <x v="3"/>
    <x v="3"/>
    <x v="0"/>
    <x v="0"/>
    <x v="0"/>
    <x v="0"/>
    <x v="0"/>
    <x v="0"/>
    <x v="0"/>
    <x v="445"/>
    <x v="82"/>
    <x v="0"/>
  </r>
  <r>
    <x v="2017"/>
    <x v="1996"/>
    <x v="1"/>
    <x v="3"/>
    <x v="3"/>
    <x v="0"/>
    <x v="0"/>
    <x v="0"/>
    <x v="0"/>
    <x v="0"/>
    <x v="0"/>
    <x v="0"/>
    <x v="445"/>
    <x v="85"/>
    <x v="0"/>
  </r>
  <r>
    <x v="2018"/>
    <x v="1997"/>
    <x v="1"/>
    <x v="5"/>
    <x v="5"/>
    <x v="0"/>
    <x v="0"/>
    <x v="0"/>
    <x v="0"/>
    <x v="0"/>
    <x v="0"/>
    <x v="0"/>
    <x v="445"/>
    <x v="0"/>
    <x v="0"/>
  </r>
  <r>
    <x v="2019"/>
    <x v="1998"/>
    <x v="11"/>
    <x v="2"/>
    <x v="2"/>
    <x v="0"/>
    <x v="0"/>
    <x v="0"/>
    <x v="0"/>
    <x v="0"/>
    <x v="0"/>
    <x v="0"/>
    <x v="445"/>
    <x v="0"/>
    <x v="0"/>
  </r>
  <r>
    <x v="2020"/>
    <x v="1999"/>
    <x v="1"/>
    <x v="3"/>
    <x v="3"/>
    <x v="0"/>
    <x v="0"/>
    <x v="0"/>
    <x v="0"/>
    <x v="0"/>
    <x v="0"/>
    <x v="0"/>
    <x v="445"/>
    <x v="86"/>
    <x v="0"/>
  </r>
  <r>
    <x v="2021"/>
    <x v="2000"/>
    <x v="1"/>
    <x v="3"/>
    <x v="3"/>
    <x v="0"/>
    <x v="0"/>
    <x v="1"/>
    <x v="0"/>
    <x v="0"/>
    <x v="0"/>
    <x v="60"/>
    <x v="445"/>
    <x v="87"/>
    <x v="0"/>
  </r>
  <r>
    <x v="2022"/>
    <x v="2001"/>
    <x v="4"/>
    <x v="3"/>
    <x v="3"/>
    <x v="0"/>
    <x v="0"/>
    <x v="2"/>
    <x v="0"/>
    <x v="0"/>
    <x v="0"/>
    <x v="60"/>
    <x v="445"/>
    <x v="87"/>
    <x v="0"/>
  </r>
  <r>
    <x v="2023"/>
    <x v="2002"/>
    <x v="1"/>
    <x v="3"/>
    <x v="3"/>
    <x v="0"/>
    <x v="0"/>
    <x v="18"/>
    <x v="0"/>
    <x v="0"/>
    <x v="0"/>
    <x v="61"/>
    <x v="445"/>
    <x v="0"/>
    <x v="0"/>
  </r>
  <r>
    <x v="2024"/>
    <x v="2003"/>
    <x v="1"/>
    <x v="3"/>
    <x v="3"/>
    <x v="0"/>
    <x v="0"/>
    <x v="0"/>
    <x v="0"/>
    <x v="0"/>
    <x v="0"/>
    <x v="0"/>
    <x v="445"/>
    <x v="85"/>
    <x v="0"/>
  </r>
  <r>
    <x v="2025"/>
    <x v="2004"/>
    <x v="1"/>
    <x v="5"/>
    <x v="5"/>
    <x v="0"/>
    <x v="0"/>
    <x v="0"/>
    <x v="0"/>
    <x v="0"/>
    <x v="0"/>
    <x v="0"/>
    <x v="445"/>
    <x v="0"/>
    <x v="0"/>
  </r>
  <r>
    <x v="2026"/>
    <x v="2005"/>
    <x v="1"/>
    <x v="5"/>
    <x v="5"/>
    <x v="0"/>
    <x v="0"/>
    <x v="0"/>
    <x v="0"/>
    <x v="0"/>
    <x v="0"/>
    <x v="0"/>
    <x v="445"/>
    <x v="0"/>
    <x v="0"/>
  </r>
  <r>
    <x v="2027"/>
    <x v="2006"/>
    <x v="4"/>
    <x v="3"/>
    <x v="3"/>
    <x v="0"/>
    <x v="0"/>
    <x v="2"/>
    <x v="0"/>
    <x v="0"/>
    <x v="0"/>
    <x v="62"/>
    <x v="446"/>
    <x v="84"/>
    <x v="0"/>
  </r>
  <r>
    <x v="2028"/>
    <x v="2007"/>
    <x v="1"/>
    <x v="5"/>
    <x v="5"/>
    <x v="0"/>
    <x v="0"/>
    <x v="1"/>
    <x v="0"/>
    <x v="0"/>
    <x v="0"/>
    <x v="55"/>
    <x v="446"/>
    <x v="88"/>
    <x v="0"/>
  </r>
  <r>
    <x v="2029"/>
    <x v="2008"/>
    <x v="1"/>
    <x v="5"/>
    <x v="5"/>
    <x v="0"/>
    <x v="0"/>
    <x v="2"/>
    <x v="0"/>
    <x v="0"/>
    <x v="0"/>
    <x v="0"/>
    <x v="446"/>
    <x v="89"/>
    <x v="0"/>
  </r>
  <r>
    <x v="2030"/>
    <x v="2009"/>
    <x v="6"/>
    <x v="5"/>
    <x v="5"/>
    <x v="0"/>
    <x v="0"/>
    <x v="3"/>
    <x v="0"/>
    <x v="0"/>
    <x v="22"/>
    <x v="63"/>
    <x v="446"/>
    <x v="81"/>
    <x v="0"/>
  </r>
  <r>
    <x v="2031"/>
    <x v="2010"/>
    <x v="1"/>
    <x v="3"/>
    <x v="3"/>
    <x v="0"/>
    <x v="0"/>
    <x v="0"/>
    <x v="0"/>
    <x v="0"/>
    <x v="0"/>
    <x v="0"/>
    <x v="446"/>
    <x v="0"/>
    <x v="0"/>
  </r>
  <r>
    <x v="2032"/>
    <x v="2011"/>
    <x v="1"/>
    <x v="3"/>
    <x v="3"/>
    <x v="0"/>
    <x v="0"/>
    <x v="0"/>
    <x v="0"/>
    <x v="0"/>
    <x v="0"/>
    <x v="0"/>
    <x v="446"/>
    <x v="0"/>
    <x v="0"/>
  </r>
  <r>
    <x v="2033"/>
    <x v="2012"/>
    <x v="4"/>
    <x v="5"/>
    <x v="5"/>
    <x v="0"/>
    <x v="0"/>
    <x v="1"/>
    <x v="0"/>
    <x v="0"/>
    <x v="0"/>
    <x v="64"/>
    <x v="446"/>
    <x v="90"/>
    <x v="0"/>
  </r>
  <r>
    <x v="2034"/>
    <x v="2013"/>
    <x v="4"/>
    <x v="2"/>
    <x v="2"/>
    <x v="0"/>
    <x v="0"/>
    <x v="3"/>
    <x v="0"/>
    <x v="0"/>
    <x v="0"/>
    <x v="0"/>
    <x v="447"/>
    <x v="0"/>
    <x v="0"/>
  </r>
  <r>
    <x v="2035"/>
    <x v="2014"/>
    <x v="1"/>
    <x v="5"/>
    <x v="5"/>
    <x v="0"/>
    <x v="0"/>
    <x v="0"/>
    <x v="0"/>
    <x v="0"/>
    <x v="22"/>
    <x v="0"/>
    <x v="448"/>
    <x v="0"/>
    <x v="0"/>
  </r>
  <r>
    <x v="2036"/>
    <x v="2015"/>
    <x v="1"/>
    <x v="5"/>
    <x v="5"/>
    <x v="0"/>
    <x v="0"/>
    <x v="0"/>
    <x v="0"/>
    <x v="0"/>
    <x v="22"/>
    <x v="0"/>
    <x v="448"/>
    <x v="0"/>
    <x v="0"/>
  </r>
  <r>
    <x v="2037"/>
    <x v="2016"/>
    <x v="2"/>
    <x v="5"/>
    <x v="5"/>
    <x v="0"/>
    <x v="0"/>
    <x v="20"/>
    <x v="0"/>
    <x v="0"/>
    <x v="0"/>
    <x v="0"/>
    <x v="449"/>
    <x v="0"/>
    <x v="0"/>
  </r>
  <r>
    <x v="2038"/>
    <x v="2017"/>
    <x v="2"/>
    <x v="5"/>
    <x v="5"/>
    <x v="0"/>
    <x v="0"/>
    <x v="0"/>
    <x v="0"/>
    <x v="0"/>
    <x v="22"/>
    <x v="0"/>
    <x v="449"/>
    <x v="0"/>
    <x v="0"/>
  </r>
  <r>
    <x v="2039"/>
    <x v="2018"/>
    <x v="4"/>
    <x v="3"/>
    <x v="3"/>
    <x v="0"/>
    <x v="0"/>
    <x v="0"/>
    <x v="0"/>
    <x v="0"/>
    <x v="19"/>
    <x v="0"/>
    <x v="450"/>
    <x v="0"/>
    <x v="0"/>
  </r>
  <r>
    <x v="2040"/>
    <x v="2019"/>
    <x v="4"/>
    <x v="5"/>
    <x v="5"/>
    <x v="0"/>
    <x v="0"/>
    <x v="0"/>
    <x v="0"/>
    <x v="0"/>
    <x v="22"/>
    <x v="0"/>
    <x v="450"/>
    <x v="0"/>
    <x v="0"/>
  </r>
  <r>
    <x v="2041"/>
    <x v="2020"/>
    <x v="1"/>
    <x v="5"/>
    <x v="5"/>
    <x v="0"/>
    <x v="0"/>
    <x v="0"/>
    <x v="0"/>
    <x v="0"/>
    <x v="0"/>
    <x v="0"/>
    <x v="451"/>
    <x v="0"/>
    <x v="0"/>
  </r>
  <r>
    <x v="2042"/>
    <x v="2021"/>
    <x v="1"/>
    <x v="5"/>
    <x v="5"/>
    <x v="0"/>
    <x v="0"/>
    <x v="0"/>
    <x v="0"/>
    <x v="0"/>
    <x v="0"/>
    <x v="0"/>
    <x v="452"/>
    <x v="0"/>
    <x v="0"/>
  </r>
  <r>
    <x v="2043"/>
    <x v="2022"/>
    <x v="4"/>
    <x v="2"/>
    <x v="2"/>
    <x v="0"/>
    <x v="0"/>
    <x v="7"/>
    <x v="0"/>
    <x v="0"/>
    <x v="27"/>
    <x v="65"/>
    <x v="453"/>
    <x v="91"/>
    <x v="0"/>
  </r>
  <r>
    <x v="2044"/>
    <x v="2023"/>
    <x v="11"/>
    <x v="2"/>
    <x v="2"/>
    <x v="0"/>
    <x v="0"/>
    <x v="0"/>
    <x v="0"/>
    <x v="0"/>
    <x v="0"/>
    <x v="0"/>
    <x v="454"/>
    <x v="0"/>
    <x v="0"/>
  </r>
  <r>
    <x v="2045"/>
    <x v="2024"/>
    <x v="11"/>
    <x v="2"/>
    <x v="2"/>
    <x v="0"/>
    <x v="0"/>
    <x v="0"/>
    <x v="0"/>
    <x v="0"/>
    <x v="0"/>
    <x v="0"/>
    <x v="454"/>
    <x v="0"/>
    <x v="0"/>
  </r>
  <r>
    <x v="2046"/>
    <x v="2025"/>
    <x v="11"/>
    <x v="2"/>
    <x v="2"/>
    <x v="0"/>
    <x v="0"/>
    <x v="0"/>
    <x v="0"/>
    <x v="0"/>
    <x v="0"/>
    <x v="0"/>
    <x v="454"/>
    <x v="0"/>
    <x v="0"/>
  </r>
  <r>
    <x v="2047"/>
    <x v="2026"/>
    <x v="11"/>
    <x v="2"/>
    <x v="2"/>
    <x v="0"/>
    <x v="0"/>
    <x v="0"/>
    <x v="0"/>
    <x v="0"/>
    <x v="0"/>
    <x v="0"/>
    <x v="454"/>
    <x v="0"/>
    <x v="0"/>
  </r>
  <r>
    <x v="2048"/>
    <x v="2027"/>
    <x v="11"/>
    <x v="2"/>
    <x v="2"/>
    <x v="0"/>
    <x v="0"/>
    <x v="0"/>
    <x v="0"/>
    <x v="0"/>
    <x v="0"/>
    <x v="0"/>
    <x v="454"/>
    <x v="0"/>
    <x v="0"/>
  </r>
  <r>
    <x v="2049"/>
    <x v="2028"/>
    <x v="11"/>
    <x v="2"/>
    <x v="2"/>
    <x v="0"/>
    <x v="0"/>
    <x v="0"/>
    <x v="0"/>
    <x v="0"/>
    <x v="0"/>
    <x v="0"/>
    <x v="454"/>
    <x v="0"/>
    <x v="0"/>
  </r>
  <r>
    <x v="2050"/>
    <x v="2029"/>
    <x v="1"/>
    <x v="2"/>
    <x v="2"/>
    <x v="0"/>
    <x v="0"/>
    <x v="0"/>
    <x v="0"/>
    <x v="0"/>
    <x v="0"/>
    <x v="0"/>
    <x v="454"/>
    <x v="0"/>
    <x v="0"/>
  </r>
  <r>
    <x v="2051"/>
    <x v="2030"/>
    <x v="11"/>
    <x v="2"/>
    <x v="2"/>
    <x v="0"/>
    <x v="0"/>
    <x v="0"/>
    <x v="0"/>
    <x v="0"/>
    <x v="0"/>
    <x v="0"/>
    <x v="454"/>
    <x v="0"/>
    <x v="0"/>
  </r>
  <r>
    <x v="2052"/>
    <x v="2031"/>
    <x v="11"/>
    <x v="2"/>
    <x v="2"/>
    <x v="0"/>
    <x v="0"/>
    <x v="0"/>
    <x v="0"/>
    <x v="0"/>
    <x v="0"/>
    <x v="0"/>
    <x v="454"/>
    <x v="0"/>
    <x v="0"/>
  </r>
  <r>
    <x v="2053"/>
    <x v="2032"/>
    <x v="11"/>
    <x v="2"/>
    <x v="2"/>
    <x v="0"/>
    <x v="0"/>
    <x v="0"/>
    <x v="0"/>
    <x v="0"/>
    <x v="0"/>
    <x v="0"/>
    <x v="454"/>
    <x v="0"/>
    <x v="0"/>
  </r>
  <r>
    <x v="2054"/>
    <x v="2033"/>
    <x v="11"/>
    <x v="2"/>
    <x v="2"/>
    <x v="0"/>
    <x v="0"/>
    <x v="0"/>
    <x v="0"/>
    <x v="0"/>
    <x v="0"/>
    <x v="0"/>
    <x v="454"/>
    <x v="0"/>
    <x v="0"/>
  </r>
  <r>
    <x v="2055"/>
    <x v="2034"/>
    <x v="1"/>
    <x v="2"/>
    <x v="2"/>
    <x v="0"/>
    <x v="0"/>
    <x v="0"/>
    <x v="0"/>
    <x v="0"/>
    <x v="0"/>
    <x v="0"/>
    <x v="454"/>
    <x v="0"/>
    <x v="0"/>
  </r>
  <r>
    <x v="2056"/>
    <x v="2035"/>
    <x v="11"/>
    <x v="2"/>
    <x v="2"/>
    <x v="0"/>
    <x v="0"/>
    <x v="0"/>
    <x v="0"/>
    <x v="0"/>
    <x v="0"/>
    <x v="0"/>
    <x v="454"/>
    <x v="0"/>
    <x v="0"/>
  </r>
  <r>
    <x v="2057"/>
    <x v="2036"/>
    <x v="1"/>
    <x v="5"/>
    <x v="5"/>
    <x v="0"/>
    <x v="0"/>
    <x v="0"/>
    <x v="0"/>
    <x v="0"/>
    <x v="0"/>
    <x v="0"/>
    <x v="455"/>
    <x v="0"/>
    <x v="0"/>
  </r>
  <r>
    <x v="2058"/>
    <x v="2037"/>
    <x v="1"/>
    <x v="5"/>
    <x v="5"/>
    <x v="0"/>
    <x v="0"/>
    <x v="0"/>
    <x v="0"/>
    <x v="0"/>
    <x v="22"/>
    <x v="0"/>
    <x v="455"/>
    <x v="0"/>
    <x v="0"/>
  </r>
  <r>
    <x v="2059"/>
    <x v="2038"/>
    <x v="1"/>
    <x v="5"/>
    <x v="5"/>
    <x v="0"/>
    <x v="0"/>
    <x v="0"/>
    <x v="0"/>
    <x v="0"/>
    <x v="0"/>
    <x v="0"/>
    <x v="456"/>
    <x v="0"/>
    <x v="0"/>
  </r>
  <r>
    <x v="2060"/>
    <x v="2039"/>
    <x v="14"/>
    <x v="0"/>
    <x v="0"/>
    <x v="0"/>
    <x v="0"/>
    <x v="0"/>
    <x v="0"/>
    <x v="0"/>
    <x v="0"/>
    <x v="0"/>
    <x v="456"/>
    <x v="0"/>
    <x v="0"/>
  </r>
  <r>
    <x v="2061"/>
    <x v="2040"/>
    <x v="1"/>
    <x v="3"/>
    <x v="3"/>
    <x v="0"/>
    <x v="0"/>
    <x v="1"/>
    <x v="0"/>
    <x v="0"/>
    <x v="0"/>
    <x v="0"/>
    <x v="457"/>
    <x v="92"/>
    <x v="0"/>
  </r>
  <r>
    <x v="2062"/>
    <x v="2041"/>
    <x v="1"/>
    <x v="5"/>
    <x v="5"/>
    <x v="0"/>
    <x v="0"/>
    <x v="0"/>
    <x v="0"/>
    <x v="0"/>
    <x v="0"/>
    <x v="0"/>
    <x v="458"/>
    <x v="0"/>
    <x v="0"/>
  </r>
  <r>
    <x v="2063"/>
    <x v="2042"/>
    <x v="4"/>
    <x v="3"/>
    <x v="3"/>
    <x v="0"/>
    <x v="0"/>
    <x v="5"/>
    <x v="0"/>
    <x v="0"/>
    <x v="0"/>
    <x v="0"/>
    <x v="459"/>
    <x v="82"/>
    <x v="0"/>
  </r>
  <r>
    <x v="2064"/>
    <x v="2043"/>
    <x v="1"/>
    <x v="5"/>
    <x v="5"/>
    <x v="0"/>
    <x v="0"/>
    <x v="0"/>
    <x v="0"/>
    <x v="0"/>
    <x v="22"/>
    <x v="0"/>
    <x v="460"/>
    <x v="0"/>
    <x v="0"/>
  </r>
  <r>
    <x v="2065"/>
    <x v="2044"/>
    <x v="4"/>
    <x v="5"/>
    <x v="5"/>
    <x v="0"/>
    <x v="0"/>
    <x v="1"/>
    <x v="0"/>
    <x v="0"/>
    <x v="22"/>
    <x v="66"/>
    <x v="461"/>
    <x v="93"/>
    <x v="0"/>
  </r>
  <r>
    <x v="2066"/>
    <x v="2045"/>
    <x v="4"/>
    <x v="5"/>
    <x v="5"/>
    <x v="0"/>
    <x v="0"/>
    <x v="0"/>
    <x v="0"/>
    <x v="0"/>
    <x v="30"/>
    <x v="67"/>
    <x v="462"/>
    <x v="93"/>
    <x v="0"/>
  </r>
  <r>
    <x v="2067"/>
    <x v="2046"/>
    <x v="1"/>
    <x v="3"/>
    <x v="3"/>
    <x v="0"/>
    <x v="0"/>
    <x v="2"/>
    <x v="0"/>
    <x v="0"/>
    <x v="13"/>
    <x v="67"/>
    <x v="463"/>
    <x v="93"/>
    <x v="0"/>
  </r>
  <r>
    <x v="2068"/>
    <x v="2047"/>
    <x v="1"/>
    <x v="5"/>
    <x v="5"/>
    <x v="0"/>
    <x v="0"/>
    <x v="0"/>
    <x v="0"/>
    <x v="0"/>
    <x v="0"/>
    <x v="0"/>
    <x v="463"/>
    <x v="0"/>
    <x v="0"/>
  </r>
  <r>
    <x v="2069"/>
    <x v="2048"/>
    <x v="1"/>
    <x v="5"/>
    <x v="5"/>
    <x v="0"/>
    <x v="0"/>
    <x v="0"/>
    <x v="0"/>
    <x v="0"/>
    <x v="0"/>
    <x v="0"/>
    <x v="463"/>
    <x v="75"/>
    <x v="0"/>
  </r>
  <r>
    <x v="2070"/>
    <x v="2049"/>
    <x v="1"/>
    <x v="5"/>
    <x v="5"/>
    <x v="0"/>
    <x v="0"/>
    <x v="0"/>
    <x v="0"/>
    <x v="0"/>
    <x v="0"/>
    <x v="0"/>
    <x v="464"/>
    <x v="0"/>
    <x v="0"/>
  </r>
  <r>
    <x v="2071"/>
    <x v="2050"/>
    <x v="1"/>
    <x v="5"/>
    <x v="5"/>
    <x v="0"/>
    <x v="0"/>
    <x v="20"/>
    <x v="0"/>
    <x v="0"/>
    <x v="0"/>
    <x v="0"/>
    <x v="465"/>
    <x v="0"/>
    <x v="0"/>
  </r>
  <r>
    <x v="2072"/>
    <x v="2051"/>
    <x v="1"/>
    <x v="3"/>
    <x v="3"/>
    <x v="0"/>
    <x v="0"/>
    <x v="0"/>
    <x v="0"/>
    <x v="0"/>
    <x v="0"/>
    <x v="0"/>
    <x v="466"/>
    <x v="0"/>
    <x v="0"/>
  </r>
  <r>
    <x v="2073"/>
    <x v="2052"/>
    <x v="1"/>
    <x v="5"/>
    <x v="5"/>
    <x v="0"/>
    <x v="0"/>
    <x v="0"/>
    <x v="0"/>
    <x v="0"/>
    <x v="0"/>
    <x v="0"/>
    <x v="466"/>
    <x v="0"/>
    <x v="0"/>
  </r>
  <r>
    <x v="2074"/>
    <x v="2053"/>
    <x v="4"/>
    <x v="5"/>
    <x v="5"/>
    <x v="0"/>
    <x v="0"/>
    <x v="1"/>
    <x v="0"/>
    <x v="0"/>
    <x v="22"/>
    <x v="68"/>
    <x v="467"/>
    <x v="93"/>
    <x v="0"/>
  </r>
  <r>
    <x v="2075"/>
    <x v="2054"/>
    <x v="11"/>
    <x v="2"/>
    <x v="2"/>
    <x v="0"/>
    <x v="0"/>
    <x v="0"/>
    <x v="0"/>
    <x v="0"/>
    <x v="0"/>
    <x v="0"/>
    <x v="468"/>
    <x v="0"/>
    <x v="0"/>
  </r>
  <r>
    <x v="2076"/>
    <x v="2055"/>
    <x v="4"/>
    <x v="3"/>
    <x v="3"/>
    <x v="0"/>
    <x v="0"/>
    <x v="0"/>
    <x v="0"/>
    <x v="0"/>
    <x v="31"/>
    <x v="0"/>
    <x v="469"/>
    <x v="94"/>
    <x v="0"/>
  </r>
  <r>
    <x v="2077"/>
    <x v="2056"/>
    <x v="1"/>
    <x v="3"/>
    <x v="3"/>
    <x v="0"/>
    <x v="0"/>
    <x v="0"/>
    <x v="0"/>
    <x v="0"/>
    <x v="0"/>
    <x v="0"/>
    <x v="470"/>
    <x v="95"/>
    <x v="0"/>
  </r>
  <r>
    <x v="2078"/>
    <x v="2057"/>
    <x v="4"/>
    <x v="5"/>
    <x v="5"/>
    <x v="0"/>
    <x v="0"/>
    <x v="0"/>
    <x v="0"/>
    <x v="0"/>
    <x v="35"/>
    <x v="69"/>
    <x v="471"/>
    <x v="96"/>
    <x v="0"/>
  </r>
  <r>
    <x v="2079"/>
    <x v="2058"/>
    <x v="4"/>
    <x v="5"/>
    <x v="5"/>
    <x v="0"/>
    <x v="0"/>
    <x v="0"/>
    <x v="0"/>
    <x v="0"/>
    <x v="23"/>
    <x v="0"/>
    <x v="471"/>
    <x v="97"/>
    <x v="0"/>
  </r>
  <r>
    <x v="2080"/>
    <x v="2059"/>
    <x v="4"/>
    <x v="5"/>
    <x v="5"/>
    <x v="0"/>
    <x v="0"/>
    <x v="0"/>
    <x v="0"/>
    <x v="0"/>
    <x v="0"/>
    <x v="59"/>
    <x v="472"/>
    <x v="0"/>
    <x v="0"/>
  </r>
  <r>
    <x v="2081"/>
    <x v="2060"/>
    <x v="4"/>
    <x v="5"/>
    <x v="5"/>
    <x v="0"/>
    <x v="0"/>
    <x v="7"/>
    <x v="0"/>
    <x v="0"/>
    <x v="23"/>
    <x v="58"/>
    <x v="472"/>
    <x v="98"/>
    <x v="0"/>
  </r>
  <r>
    <x v="2082"/>
    <x v="2061"/>
    <x v="2"/>
    <x v="3"/>
    <x v="3"/>
    <x v="0"/>
    <x v="0"/>
    <x v="0"/>
    <x v="0"/>
    <x v="0"/>
    <x v="13"/>
    <x v="70"/>
    <x v="473"/>
    <x v="99"/>
    <x v="0"/>
  </r>
  <r>
    <x v="2083"/>
    <x v="2062"/>
    <x v="1"/>
    <x v="3"/>
    <x v="3"/>
    <x v="0"/>
    <x v="0"/>
    <x v="0"/>
    <x v="0"/>
    <x v="0"/>
    <x v="13"/>
    <x v="70"/>
    <x v="473"/>
    <x v="99"/>
    <x v="0"/>
  </r>
  <r>
    <x v="2084"/>
    <x v="2063"/>
    <x v="1"/>
    <x v="3"/>
    <x v="3"/>
    <x v="0"/>
    <x v="0"/>
    <x v="0"/>
    <x v="0"/>
    <x v="0"/>
    <x v="0"/>
    <x v="70"/>
    <x v="473"/>
    <x v="99"/>
    <x v="0"/>
  </r>
  <r>
    <x v="2085"/>
    <x v="2064"/>
    <x v="1"/>
    <x v="3"/>
    <x v="3"/>
    <x v="0"/>
    <x v="0"/>
    <x v="0"/>
    <x v="0"/>
    <x v="0"/>
    <x v="0"/>
    <x v="70"/>
    <x v="473"/>
    <x v="99"/>
    <x v="0"/>
  </r>
  <r>
    <x v="2086"/>
    <x v="2065"/>
    <x v="2"/>
    <x v="3"/>
    <x v="3"/>
    <x v="0"/>
    <x v="0"/>
    <x v="0"/>
    <x v="0"/>
    <x v="0"/>
    <x v="16"/>
    <x v="70"/>
    <x v="473"/>
    <x v="99"/>
    <x v="0"/>
  </r>
  <r>
    <x v="2087"/>
    <x v="2066"/>
    <x v="4"/>
    <x v="5"/>
    <x v="5"/>
    <x v="0"/>
    <x v="0"/>
    <x v="7"/>
    <x v="0"/>
    <x v="0"/>
    <x v="22"/>
    <x v="0"/>
    <x v="473"/>
    <x v="0"/>
    <x v="0"/>
  </r>
  <r>
    <x v="2088"/>
    <x v="2067"/>
    <x v="2"/>
    <x v="3"/>
    <x v="3"/>
    <x v="0"/>
    <x v="0"/>
    <x v="15"/>
    <x v="0"/>
    <x v="0"/>
    <x v="0"/>
    <x v="0"/>
    <x v="474"/>
    <x v="0"/>
    <x v="0"/>
  </r>
  <r>
    <x v="2089"/>
    <x v="2068"/>
    <x v="11"/>
    <x v="2"/>
    <x v="2"/>
    <x v="0"/>
    <x v="0"/>
    <x v="0"/>
    <x v="0"/>
    <x v="0"/>
    <x v="0"/>
    <x v="0"/>
    <x v="474"/>
    <x v="96"/>
    <x v="0"/>
  </r>
  <r>
    <x v="2090"/>
    <x v="2069"/>
    <x v="4"/>
    <x v="5"/>
    <x v="5"/>
    <x v="0"/>
    <x v="0"/>
    <x v="0"/>
    <x v="0"/>
    <x v="0"/>
    <x v="23"/>
    <x v="0"/>
    <x v="475"/>
    <x v="0"/>
    <x v="0"/>
  </r>
  <r>
    <x v="2091"/>
    <x v="2070"/>
    <x v="1"/>
    <x v="5"/>
    <x v="5"/>
    <x v="0"/>
    <x v="0"/>
    <x v="3"/>
    <x v="0"/>
    <x v="0"/>
    <x v="0"/>
    <x v="58"/>
    <x v="475"/>
    <x v="100"/>
    <x v="0"/>
  </r>
  <r>
    <x v="2092"/>
    <x v="2071"/>
    <x v="1"/>
    <x v="5"/>
    <x v="5"/>
    <x v="0"/>
    <x v="0"/>
    <x v="0"/>
    <x v="0"/>
    <x v="0"/>
    <x v="0"/>
    <x v="0"/>
    <x v="476"/>
    <x v="0"/>
    <x v="0"/>
  </r>
  <r>
    <x v="2093"/>
    <x v="2072"/>
    <x v="1"/>
    <x v="3"/>
    <x v="3"/>
    <x v="0"/>
    <x v="0"/>
    <x v="0"/>
    <x v="0"/>
    <x v="0"/>
    <x v="0"/>
    <x v="0"/>
    <x v="476"/>
    <x v="84"/>
    <x v="0"/>
  </r>
  <r>
    <x v="2094"/>
    <x v="2073"/>
    <x v="1"/>
    <x v="3"/>
    <x v="3"/>
    <x v="0"/>
    <x v="0"/>
    <x v="15"/>
    <x v="0"/>
    <x v="0"/>
    <x v="0"/>
    <x v="0"/>
    <x v="476"/>
    <x v="0"/>
    <x v="0"/>
  </r>
  <r>
    <x v="2095"/>
    <x v="2074"/>
    <x v="1"/>
    <x v="3"/>
    <x v="3"/>
    <x v="0"/>
    <x v="0"/>
    <x v="0"/>
    <x v="0"/>
    <x v="0"/>
    <x v="0"/>
    <x v="0"/>
    <x v="477"/>
    <x v="0"/>
    <x v="0"/>
  </r>
  <r>
    <x v="2096"/>
    <x v="2075"/>
    <x v="1"/>
    <x v="3"/>
    <x v="3"/>
    <x v="0"/>
    <x v="0"/>
    <x v="0"/>
    <x v="0"/>
    <x v="0"/>
    <x v="0"/>
    <x v="0"/>
    <x v="478"/>
    <x v="0"/>
    <x v="0"/>
  </r>
  <r>
    <x v="2097"/>
    <x v="2076"/>
    <x v="1"/>
    <x v="3"/>
    <x v="3"/>
    <x v="0"/>
    <x v="0"/>
    <x v="0"/>
    <x v="0"/>
    <x v="0"/>
    <x v="0"/>
    <x v="0"/>
    <x v="478"/>
    <x v="92"/>
    <x v="0"/>
  </r>
  <r>
    <x v="2098"/>
    <x v="2077"/>
    <x v="1"/>
    <x v="3"/>
    <x v="3"/>
    <x v="0"/>
    <x v="0"/>
    <x v="0"/>
    <x v="0"/>
    <x v="0"/>
    <x v="0"/>
    <x v="0"/>
    <x v="478"/>
    <x v="92"/>
    <x v="0"/>
  </r>
  <r>
    <x v="2099"/>
    <x v="2078"/>
    <x v="11"/>
    <x v="2"/>
    <x v="2"/>
    <x v="0"/>
    <x v="0"/>
    <x v="3"/>
    <x v="0"/>
    <x v="0"/>
    <x v="0"/>
    <x v="0"/>
    <x v="478"/>
    <x v="77"/>
    <x v="0"/>
  </r>
  <r>
    <x v="2100"/>
    <x v="2079"/>
    <x v="1"/>
    <x v="3"/>
    <x v="3"/>
    <x v="0"/>
    <x v="0"/>
    <x v="0"/>
    <x v="0"/>
    <x v="0"/>
    <x v="0"/>
    <x v="0"/>
    <x v="478"/>
    <x v="92"/>
    <x v="0"/>
  </r>
  <r>
    <x v="2101"/>
    <x v="2080"/>
    <x v="1"/>
    <x v="3"/>
    <x v="3"/>
    <x v="0"/>
    <x v="0"/>
    <x v="0"/>
    <x v="0"/>
    <x v="0"/>
    <x v="0"/>
    <x v="0"/>
    <x v="478"/>
    <x v="92"/>
    <x v="0"/>
  </r>
  <r>
    <x v="2102"/>
    <x v="2081"/>
    <x v="1"/>
    <x v="3"/>
    <x v="3"/>
    <x v="0"/>
    <x v="0"/>
    <x v="0"/>
    <x v="0"/>
    <x v="0"/>
    <x v="0"/>
    <x v="0"/>
    <x v="478"/>
    <x v="92"/>
    <x v="0"/>
  </r>
  <r>
    <x v="2103"/>
    <x v="2082"/>
    <x v="11"/>
    <x v="2"/>
    <x v="2"/>
    <x v="0"/>
    <x v="0"/>
    <x v="3"/>
    <x v="0"/>
    <x v="0"/>
    <x v="0"/>
    <x v="0"/>
    <x v="478"/>
    <x v="77"/>
    <x v="0"/>
  </r>
  <r>
    <x v="2104"/>
    <x v="2083"/>
    <x v="1"/>
    <x v="3"/>
    <x v="3"/>
    <x v="0"/>
    <x v="0"/>
    <x v="0"/>
    <x v="0"/>
    <x v="0"/>
    <x v="0"/>
    <x v="0"/>
    <x v="478"/>
    <x v="92"/>
    <x v="0"/>
  </r>
  <r>
    <x v="2105"/>
    <x v="2084"/>
    <x v="1"/>
    <x v="3"/>
    <x v="3"/>
    <x v="0"/>
    <x v="0"/>
    <x v="0"/>
    <x v="0"/>
    <x v="0"/>
    <x v="0"/>
    <x v="0"/>
    <x v="478"/>
    <x v="92"/>
    <x v="0"/>
  </r>
  <r>
    <x v="2106"/>
    <x v="2085"/>
    <x v="1"/>
    <x v="3"/>
    <x v="3"/>
    <x v="0"/>
    <x v="0"/>
    <x v="0"/>
    <x v="0"/>
    <x v="0"/>
    <x v="0"/>
    <x v="0"/>
    <x v="478"/>
    <x v="92"/>
    <x v="0"/>
  </r>
  <r>
    <x v="2107"/>
    <x v="2086"/>
    <x v="1"/>
    <x v="3"/>
    <x v="3"/>
    <x v="0"/>
    <x v="0"/>
    <x v="4"/>
    <x v="0"/>
    <x v="0"/>
    <x v="0"/>
    <x v="0"/>
    <x v="478"/>
    <x v="0"/>
    <x v="0"/>
  </r>
  <r>
    <x v="2108"/>
    <x v="2087"/>
    <x v="1"/>
    <x v="3"/>
    <x v="3"/>
    <x v="0"/>
    <x v="0"/>
    <x v="0"/>
    <x v="0"/>
    <x v="0"/>
    <x v="0"/>
    <x v="0"/>
    <x v="478"/>
    <x v="0"/>
    <x v="0"/>
  </r>
  <r>
    <x v="2109"/>
    <x v="2088"/>
    <x v="1"/>
    <x v="3"/>
    <x v="3"/>
    <x v="0"/>
    <x v="0"/>
    <x v="0"/>
    <x v="0"/>
    <x v="0"/>
    <x v="0"/>
    <x v="0"/>
    <x v="478"/>
    <x v="0"/>
    <x v="0"/>
  </r>
  <r>
    <x v="2110"/>
    <x v="2089"/>
    <x v="1"/>
    <x v="3"/>
    <x v="3"/>
    <x v="0"/>
    <x v="0"/>
    <x v="2"/>
    <x v="0"/>
    <x v="0"/>
    <x v="0"/>
    <x v="70"/>
    <x v="478"/>
    <x v="99"/>
    <x v="0"/>
  </r>
  <r>
    <x v="2111"/>
    <x v="2090"/>
    <x v="1"/>
    <x v="5"/>
    <x v="5"/>
    <x v="0"/>
    <x v="0"/>
    <x v="0"/>
    <x v="0"/>
    <x v="0"/>
    <x v="0"/>
    <x v="0"/>
    <x v="479"/>
    <x v="0"/>
    <x v="0"/>
  </r>
  <r>
    <x v="2112"/>
    <x v="2091"/>
    <x v="4"/>
    <x v="5"/>
    <x v="5"/>
    <x v="0"/>
    <x v="0"/>
    <x v="7"/>
    <x v="0"/>
    <x v="0"/>
    <x v="36"/>
    <x v="71"/>
    <x v="479"/>
    <x v="101"/>
    <x v="0"/>
  </r>
  <r>
    <x v="2113"/>
    <x v="2092"/>
    <x v="4"/>
    <x v="5"/>
    <x v="5"/>
    <x v="0"/>
    <x v="0"/>
    <x v="0"/>
    <x v="0"/>
    <x v="0"/>
    <x v="36"/>
    <x v="71"/>
    <x v="479"/>
    <x v="101"/>
    <x v="0"/>
  </r>
  <r>
    <x v="2114"/>
    <x v="2093"/>
    <x v="4"/>
    <x v="5"/>
    <x v="5"/>
    <x v="0"/>
    <x v="0"/>
    <x v="0"/>
    <x v="0"/>
    <x v="0"/>
    <x v="22"/>
    <x v="71"/>
    <x v="480"/>
    <x v="101"/>
    <x v="0"/>
  </r>
  <r>
    <x v="2115"/>
    <x v="2094"/>
    <x v="4"/>
    <x v="5"/>
    <x v="5"/>
    <x v="0"/>
    <x v="0"/>
    <x v="0"/>
    <x v="0"/>
    <x v="0"/>
    <x v="35"/>
    <x v="72"/>
    <x v="481"/>
    <x v="101"/>
    <x v="0"/>
  </r>
  <r>
    <x v="2116"/>
    <x v="2095"/>
    <x v="1"/>
    <x v="5"/>
    <x v="5"/>
    <x v="0"/>
    <x v="0"/>
    <x v="0"/>
    <x v="0"/>
    <x v="0"/>
    <x v="0"/>
    <x v="0"/>
    <x v="482"/>
    <x v="0"/>
    <x v="0"/>
  </r>
  <r>
    <x v="2117"/>
    <x v="2096"/>
    <x v="4"/>
    <x v="5"/>
    <x v="5"/>
    <x v="0"/>
    <x v="0"/>
    <x v="0"/>
    <x v="0"/>
    <x v="0"/>
    <x v="35"/>
    <x v="0"/>
    <x v="482"/>
    <x v="0"/>
    <x v="0"/>
  </r>
  <r>
    <x v="2118"/>
    <x v="2097"/>
    <x v="1"/>
    <x v="5"/>
    <x v="5"/>
    <x v="0"/>
    <x v="0"/>
    <x v="0"/>
    <x v="0"/>
    <x v="0"/>
    <x v="0"/>
    <x v="0"/>
    <x v="483"/>
    <x v="102"/>
    <x v="0"/>
  </r>
  <r>
    <x v="2119"/>
    <x v="2098"/>
    <x v="1"/>
    <x v="5"/>
    <x v="5"/>
    <x v="0"/>
    <x v="0"/>
    <x v="0"/>
    <x v="0"/>
    <x v="0"/>
    <x v="0"/>
    <x v="0"/>
    <x v="483"/>
    <x v="102"/>
    <x v="0"/>
  </r>
  <r>
    <x v="2120"/>
    <x v="2099"/>
    <x v="4"/>
    <x v="5"/>
    <x v="5"/>
    <x v="0"/>
    <x v="0"/>
    <x v="0"/>
    <x v="0"/>
    <x v="0"/>
    <x v="36"/>
    <x v="0"/>
    <x v="483"/>
    <x v="102"/>
    <x v="0"/>
  </r>
  <r>
    <x v="2121"/>
    <x v="2100"/>
    <x v="1"/>
    <x v="5"/>
    <x v="5"/>
    <x v="0"/>
    <x v="0"/>
    <x v="0"/>
    <x v="0"/>
    <x v="0"/>
    <x v="0"/>
    <x v="0"/>
    <x v="483"/>
    <x v="102"/>
    <x v="0"/>
  </r>
  <r>
    <x v="2122"/>
    <x v="2101"/>
    <x v="1"/>
    <x v="3"/>
    <x v="3"/>
    <x v="0"/>
    <x v="0"/>
    <x v="0"/>
    <x v="0"/>
    <x v="0"/>
    <x v="0"/>
    <x v="0"/>
    <x v="484"/>
    <x v="0"/>
    <x v="0"/>
  </r>
  <r>
    <x v="2123"/>
    <x v="2102"/>
    <x v="1"/>
    <x v="5"/>
    <x v="5"/>
    <x v="0"/>
    <x v="0"/>
    <x v="0"/>
    <x v="0"/>
    <x v="0"/>
    <x v="0"/>
    <x v="0"/>
    <x v="484"/>
    <x v="0"/>
    <x v="0"/>
  </r>
  <r>
    <x v="2124"/>
    <x v="2103"/>
    <x v="1"/>
    <x v="5"/>
    <x v="5"/>
    <x v="0"/>
    <x v="0"/>
    <x v="0"/>
    <x v="0"/>
    <x v="0"/>
    <x v="0"/>
    <x v="0"/>
    <x v="485"/>
    <x v="0"/>
    <x v="0"/>
  </r>
  <r>
    <x v="2125"/>
    <x v="2104"/>
    <x v="1"/>
    <x v="3"/>
    <x v="3"/>
    <x v="0"/>
    <x v="0"/>
    <x v="28"/>
    <x v="0"/>
    <x v="0"/>
    <x v="0"/>
    <x v="0"/>
    <x v="485"/>
    <x v="0"/>
    <x v="0"/>
  </r>
  <r>
    <x v="2126"/>
    <x v="2105"/>
    <x v="1"/>
    <x v="3"/>
    <x v="3"/>
    <x v="0"/>
    <x v="0"/>
    <x v="0"/>
    <x v="0"/>
    <x v="0"/>
    <x v="0"/>
    <x v="0"/>
    <x v="485"/>
    <x v="0"/>
    <x v="0"/>
  </r>
  <r>
    <x v="2127"/>
    <x v="2106"/>
    <x v="1"/>
    <x v="3"/>
    <x v="3"/>
    <x v="0"/>
    <x v="0"/>
    <x v="19"/>
    <x v="0"/>
    <x v="0"/>
    <x v="0"/>
    <x v="0"/>
    <x v="485"/>
    <x v="0"/>
    <x v="0"/>
  </r>
  <r>
    <x v="2128"/>
    <x v="2107"/>
    <x v="1"/>
    <x v="3"/>
    <x v="3"/>
    <x v="0"/>
    <x v="0"/>
    <x v="0"/>
    <x v="0"/>
    <x v="0"/>
    <x v="0"/>
    <x v="0"/>
    <x v="485"/>
    <x v="0"/>
    <x v="0"/>
  </r>
  <r>
    <x v="2129"/>
    <x v="2108"/>
    <x v="1"/>
    <x v="3"/>
    <x v="3"/>
    <x v="0"/>
    <x v="0"/>
    <x v="0"/>
    <x v="0"/>
    <x v="0"/>
    <x v="0"/>
    <x v="0"/>
    <x v="485"/>
    <x v="0"/>
    <x v="0"/>
  </r>
  <r>
    <x v="2130"/>
    <x v="2109"/>
    <x v="1"/>
    <x v="3"/>
    <x v="3"/>
    <x v="0"/>
    <x v="0"/>
    <x v="0"/>
    <x v="0"/>
    <x v="0"/>
    <x v="0"/>
    <x v="0"/>
    <x v="485"/>
    <x v="0"/>
    <x v="0"/>
  </r>
  <r>
    <x v="2131"/>
    <x v="2110"/>
    <x v="1"/>
    <x v="3"/>
    <x v="3"/>
    <x v="0"/>
    <x v="0"/>
    <x v="0"/>
    <x v="0"/>
    <x v="0"/>
    <x v="0"/>
    <x v="0"/>
    <x v="485"/>
    <x v="0"/>
    <x v="0"/>
  </r>
  <r>
    <x v="2132"/>
    <x v="2111"/>
    <x v="1"/>
    <x v="3"/>
    <x v="3"/>
    <x v="0"/>
    <x v="0"/>
    <x v="0"/>
    <x v="0"/>
    <x v="0"/>
    <x v="0"/>
    <x v="0"/>
    <x v="485"/>
    <x v="0"/>
    <x v="0"/>
  </r>
  <r>
    <x v="2133"/>
    <x v="2112"/>
    <x v="1"/>
    <x v="3"/>
    <x v="3"/>
    <x v="0"/>
    <x v="0"/>
    <x v="5"/>
    <x v="0"/>
    <x v="0"/>
    <x v="0"/>
    <x v="0"/>
    <x v="485"/>
    <x v="0"/>
    <x v="0"/>
  </r>
  <r>
    <x v="2134"/>
    <x v="2113"/>
    <x v="1"/>
    <x v="3"/>
    <x v="3"/>
    <x v="0"/>
    <x v="0"/>
    <x v="21"/>
    <x v="0"/>
    <x v="0"/>
    <x v="0"/>
    <x v="0"/>
    <x v="485"/>
    <x v="0"/>
    <x v="0"/>
  </r>
  <r>
    <x v="2135"/>
    <x v="2114"/>
    <x v="4"/>
    <x v="5"/>
    <x v="5"/>
    <x v="0"/>
    <x v="0"/>
    <x v="0"/>
    <x v="0"/>
    <x v="0"/>
    <x v="36"/>
    <x v="72"/>
    <x v="486"/>
    <x v="102"/>
    <x v="0"/>
  </r>
  <r>
    <x v="2136"/>
    <x v="2115"/>
    <x v="11"/>
    <x v="2"/>
    <x v="2"/>
    <x v="0"/>
    <x v="0"/>
    <x v="0"/>
    <x v="0"/>
    <x v="0"/>
    <x v="0"/>
    <x v="0"/>
    <x v="486"/>
    <x v="0"/>
    <x v="0"/>
  </r>
  <r>
    <x v="2137"/>
    <x v="2116"/>
    <x v="0"/>
    <x v="0"/>
    <x v="0"/>
    <x v="0"/>
    <x v="0"/>
    <x v="0"/>
    <x v="0"/>
    <x v="0"/>
    <x v="0"/>
    <x v="0"/>
    <x v="487"/>
    <x v="0"/>
    <x v="0"/>
  </r>
  <r>
    <x v="2138"/>
    <x v="2117"/>
    <x v="1"/>
    <x v="5"/>
    <x v="5"/>
    <x v="0"/>
    <x v="0"/>
    <x v="0"/>
    <x v="0"/>
    <x v="0"/>
    <x v="23"/>
    <x v="71"/>
    <x v="488"/>
    <x v="103"/>
    <x v="0"/>
  </r>
  <r>
    <x v="2139"/>
    <x v="2118"/>
    <x v="9"/>
    <x v="0"/>
    <x v="0"/>
    <x v="0"/>
    <x v="0"/>
    <x v="15"/>
    <x v="0"/>
    <x v="0"/>
    <x v="0"/>
    <x v="0"/>
    <x v="489"/>
    <x v="0"/>
    <x v="0"/>
  </r>
  <r>
    <x v="2140"/>
    <x v="2119"/>
    <x v="9"/>
    <x v="0"/>
    <x v="0"/>
    <x v="0"/>
    <x v="0"/>
    <x v="15"/>
    <x v="0"/>
    <x v="0"/>
    <x v="0"/>
    <x v="0"/>
    <x v="489"/>
    <x v="0"/>
    <x v="0"/>
  </r>
  <r>
    <x v="2141"/>
    <x v="2120"/>
    <x v="9"/>
    <x v="0"/>
    <x v="0"/>
    <x v="0"/>
    <x v="0"/>
    <x v="15"/>
    <x v="0"/>
    <x v="0"/>
    <x v="0"/>
    <x v="0"/>
    <x v="489"/>
    <x v="0"/>
    <x v="0"/>
  </r>
  <r>
    <x v="2142"/>
    <x v="2121"/>
    <x v="9"/>
    <x v="0"/>
    <x v="0"/>
    <x v="0"/>
    <x v="0"/>
    <x v="29"/>
    <x v="0"/>
    <x v="0"/>
    <x v="0"/>
    <x v="0"/>
    <x v="489"/>
    <x v="0"/>
    <x v="0"/>
  </r>
  <r>
    <x v="2143"/>
    <x v="2122"/>
    <x v="9"/>
    <x v="0"/>
    <x v="0"/>
    <x v="0"/>
    <x v="0"/>
    <x v="15"/>
    <x v="0"/>
    <x v="0"/>
    <x v="0"/>
    <x v="0"/>
    <x v="489"/>
    <x v="0"/>
    <x v="0"/>
  </r>
  <r>
    <x v="2144"/>
    <x v="2123"/>
    <x v="1"/>
    <x v="5"/>
    <x v="5"/>
    <x v="0"/>
    <x v="0"/>
    <x v="30"/>
    <x v="0"/>
    <x v="0"/>
    <x v="0"/>
    <x v="0"/>
    <x v="490"/>
    <x v="0"/>
    <x v="0"/>
  </r>
  <r>
    <x v="2145"/>
    <x v="2124"/>
    <x v="1"/>
    <x v="5"/>
    <x v="5"/>
    <x v="0"/>
    <x v="0"/>
    <x v="0"/>
    <x v="0"/>
    <x v="0"/>
    <x v="0"/>
    <x v="0"/>
    <x v="490"/>
    <x v="0"/>
    <x v="0"/>
  </r>
  <r>
    <x v="2146"/>
    <x v="2125"/>
    <x v="1"/>
    <x v="5"/>
    <x v="5"/>
    <x v="0"/>
    <x v="0"/>
    <x v="0"/>
    <x v="0"/>
    <x v="0"/>
    <x v="0"/>
    <x v="0"/>
    <x v="490"/>
    <x v="0"/>
    <x v="0"/>
  </r>
  <r>
    <x v="2147"/>
    <x v="2126"/>
    <x v="1"/>
    <x v="5"/>
    <x v="5"/>
    <x v="0"/>
    <x v="0"/>
    <x v="0"/>
    <x v="0"/>
    <x v="0"/>
    <x v="0"/>
    <x v="0"/>
    <x v="490"/>
    <x v="0"/>
    <x v="0"/>
  </r>
  <r>
    <x v="2148"/>
    <x v="2127"/>
    <x v="1"/>
    <x v="3"/>
    <x v="3"/>
    <x v="0"/>
    <x v="0"/>
    <x v="15"/>
    <x v="0"/>
    <x v="0"/>
    <x v="19"/>
    <x v="0"/>
    <x v="491"/>
    <x v="0"/>
    <x v="0"/>
  </r>
  <r>
    <x v="2149"/>
    <x v="2128"/>
    <x v="1"/>
    <x v="5"/>
    <x v="5"/>
    <x v="0"/>
    <x v="0"/>
    <x v="0"/>
    <x v="0"/>
    <x v="0"/>
    <x v="0"/>
    <x v="0"/>
    <x v="492"/>
    <x v="103"/>
    <x v="0"/>
  </r>
  <r>
    <x v="2150"/>
    <x v="2129"/>
    <x v="9"/>
    <x v="0"/>
    <x v="0"/>
    <x v="0"/>
    <x v="0"/>
    <x v="15"/>
    <x v="0"/>
    <x v="0"/>
    <x v="17"/>
    <x v="0"/>
    <x v="493"/>
    <x v="0"/>
    <x v="0"/>
  </r>
  <r>
    <x v="2151"/>
    <x v="2130"/>
    <x v="9"/>
    <x v="0"/>
    <x v="0"/>
    <x v="0"/>
    <x v="0"/>
    <x v="31"/>
    <x v="0"/>
    <x v="0"/>
    <x v="0"/>
    <x v="0"/>
    <x v="493"/>
    <x v="0"/>
    <x v="0"/>
  </r>
  <r>
    <x v="2152"/>
    <x v="2131"/>
    <x v="9"/>
    <x v="0"/>
    <x v="0"/>
    <x v="0"/>
    <x v="0"/>
    <x v="32"/>
    <x v="0"/>
    <x v="0"/>
    <x v="0"/>
    <x v="0"/>
    <x v="493"/>
    <x v="0"/>
    <x v="0"/>
  </r>
  <r>
    <x v="2153"/>
    <x v="2132"/>
    <x v="1"/>
    <x v="5"/>
    <x v="5"/>
    <x v="0"/>
    <x v="0"/>
    <x v="0"/>
    <x v="0"/>
    <x v="0"/>
    <x v="0"/>
    <x v="0"/>
    <x v="493"/>
    <x v="103"/>
    <x v="0"/>
  </r>
  <r>
    <x v="2154"/>
    <x v="2133"/>
    <x v="1"/>
    <x v="3"/>
    <x v="3"/>
    <x v="0"/>
    <x v="0"/>
    <x v="0"/>
    <x v="0"/>
    <x v="0"/>
    <x v="0"/>
    <x v="0"/>
    <x v="493"/>
    <x v="0"/>
    <x v="0"/>
  </r>
  <r>
    <x v="2155"/>
    <x v="2134"/>
    <x v="1"/>
    <x v="3"/>
    <x v="3"/>
    <x v="0"/>
    <x v="0"/>
    <x v="33"/>
    <x v="0"/>
    <x v="0"/>
    <x v="19"/>
    <x v="0"/>
    <x v="493"/>
    <x v="0"/>
    <x v="0"/>
  </r>
  <r>
    <x v="2156"/>
    <x v="2135"/>
    <x v="9"/>
    <x v="0"/>
    <x v="0"/>
    <x v="0"/>
    <x v="0"/>
    <x v="15"/>
    <x v="0"/>
    <x v="0"/>
    <x v="31"/>
    <x v="0"/>
    <x v="493"/>
    <x v="0"/>
    <x v="0"/>
  </r>
  <r>
    <x v="2157"/>
    <x v="2136"/>
    <x v="1"/>
    <x v="5"/>
    <x v="5"/>
    <x v="0"/>
    <x v="0"/>
    <x v="0"/>
    <x v="0"/>
    <x v="0"/>
    <x v="23"/>
    <x v="0"/>
    <x v="494"/>
    <x v="103"/>
    <x v="0"/>
  </r>
  <r>
    <x v="2158"/>
    <x v="2137"/>
    <x v="1"/>
    <x v="5"/>
    <x v="5"/>
    <x v="0"/>
    <x v="0"/>
    <x v="0"/>
    <x v="0"/>
    <x v="0"/>
    <x v="0"/>
    <x v="0"/>
    <x v="494"/>
    <x v="0"/>
    <x v="0"/>
  </r>
  <r>
    <x v="2159"/>
    <x v="2138"/>
    <x v="1"/>
    <x v="5"/>
    <x v="5"/>
    <x v="0"/>
    <x v="0"/>
    <x v="0"/>
    <x v="0"/>
    <x v="0"/>
    <x v="0"/>
    <x v="0"/>
    <x v="494"/>
    <x v="0"/>
    <x v="0"/>
  </r>
  <r>
    <x v="2160"/>
    <x v="2139"/>
    <x v="1"/>
    <x v="5"/>
    <x v="5"/>
    <x v="0"/>
    <x v="0"/>
    <x v="0"/>
    <x v="0"/>
    <x v="0"/>
    <x v="0"/>
    <x v="0"/>
    <x v="494"/>
    <x v="0"/>
    <x v="0"/>
  </r>
  <r>
    <x v="2161"/>
    <x v="2140"/>
    <x v="1"/>
    <x v="5"/>
    <x v="5"/>
    <x v="0"/>
    <x v="0"/>
    <x v="2"/>
    <x v="0"/>
    <x v="0"/>
    <x v="22"/>
    <x v="0"/>
    <x v="494"/>
    <x v="101"/>
    <x v="0"/>
  </r>
  <r>
    <x v="2162"/>
    <x v="2141"/>
    <x v="0"/>
    <x v="0"/>
    <x v="0"/>
    <x v="0"/>
    <x v="0"/>
    <x v="0"/>
    <x v="0"/>
    <x v="0"/>
    <x v="0"/>
    <x v="0"/>
    <x v="494"/>
    <x v="0"/>
    <x v="0"/>
  </r>
  <r>
    <x v="2163"/>
    <x v="2142"/>
    <x v="0"/>
    <x v="0"/>
    <x v="0"/>
    <x v="0"/>
    <x v="0"/>
    <x v="0"/>
    <x v="0"/>
    <x v="0"/>
    <x v="0"/>
    <x v="0"/>
    <x v="494"/>
    <x v="0"/>
    <x v="0"/>
  </r>
  <r>
    <x v="2164"/>
    <x v="2143"/>
    <x v="11"/>
    <x v="2"/>
    <x v="2"/>
    <x v="0"/>
    <x v="0"/>
    <x v="0"/>
    <x v="0"/>
    <x v="0"/>
    <x v="0"/>
    <x v="0"/>
    <x v="495"/>
    <x v="0"/>
    <x v="0"/>
  </r>
  <r>
    <x v="2165"/>
    <x v="2144"/>
    <x v="1"/>
    <x v="5"/>
    <x v="5"/>
    <x v="0"/>
    <x v="0"/>
    <x v="0"/>
    <x v="0"/>
    <x v="0"/>
    <x v="0"/>
    <x v="0"/>
    <x v="495"/>
    <x v="0"/>
    <x v="0"/>
  </r>
  <r>
    <x v="2166"/>
    <x v="2145"/>
    <x v="1"/>
    <x v="5"/>
    <x v="5"/>
    <x v="0"/>
    <x v="0"/>
    <x v="0"/>
    <x v="0"/>
    <x v="0"/>
    <x v="0"/>
    <x v="0"/>
    <x v="495"/>
    <x v="0"/>
    <x v="0"/>
  </r>
  <r>
    <x v="2167"/>
    <x v="2146"/>
    <x v="1"/>
    <x v="5"/>
    <x v="5"/>
    <x v="0"/>
    <x v="0"/>
    <x v="0"/>
    <x v="0"/>
    <x v="0"/>
    <x v="0"/>
    <x v="0"/>
    <x v="495"/>
    <x v="0"/>
    <x v="0"/>
  </r>
  <r>
    <x v="2168"/>
    <x v="2147"/>
    <x v="1"/>
    <x v="5"/>
    <x v="5"/>
    <x v="0"/>
    <x v="0"/>
    <x v="0"/>
    <x v="0"/>
    <x v="0"/>
    <x v="0"/>
    <x v="0"/>
    <x v="495"/>
    <x v="0"/>
    <x v="0"/>
  </r>
  <r>
    <x v="2169"/>
    <x v="2148"/>
    <x v="1"/>
    <x v="5"/>
    <x v="5"/>
    <x v="0"/>
    <x v="0"/>
    <x v="0"/>
    <x v="0"/>
    <x v="0"/>
    <x v="0"/>
    <x v="0"/>
    <x v="495"/>
    <x v="0"/>
    <x v="0"/>
  </r>
  <r>
    <x v="2170"/>
    <x v="2149"/>
    <x v="1"/>
    <x v="5"/>
    <x v="5"/>
    <x v="0"/>
    <x v="0"/>
    <x v="3"/>
    <x v="0"/>
    <x v="0"/>
    <x v="0"/>
    <x v="0"/>
    <x v="495"/>
    <x v="0"/>
    <x v="0"/>
  </r>
  <r>
    <x v="2171"/>
    <x v="1881"/>
    <x v="4"/>
    <x v="2"/>
    <x v="2"/>
    <x v="0"/>
    <x v="0"/>
    <x v="2"/>
    <x v="0"/>
    <x v="0"/>
    <x v="17"/>
    <x v="0"/>
    <x v="496"/>
    <x v="0"/>
    <x v="0"/>
  </r>
  <r>
    <x v="2172"/>
    <x v="2150"/>
    <x v="11"/>
    <x v="2"/>
    <x v="2"/>
    <x v="0"/>
    <x v="0"/>
    <x v="0"/>
    <x v="0"/>
    <x v="0"/>
    <x v="0"/>
    <x v="0"/>
    <x v="497"/>
    <x v="0"/>
    <x v="0"/>
  </r>
  <r>
    <x v="2173"/>
    <x v="2151"/>
    <x v="1"/>
    <x v="5"/>
    <x v="5"/>
    <x v="0"/>
    <x v="0"/>
    <x v="0"/>
    <x v="0"/>
    <x v="0"/>
    <x v="0"/>
    <x v="0"/>
    <x v="498"/>
    <x v="0"/>
    <x v="0"/>
  </r>
  <r>
    <x v="2174"/>
    <x v="2136"/>
    <x v="1"/>
    <x v="5"/>
    <x v="5"/>
    <x v="0"/>
    <x v="0"/>
    <x v="2"/>
    <x v="0"/>
    <x v="0"/>
    <x v="23"/>
    <x v="0"/>
    <x v="498"/>
    <x v="103"/>
    <x v="0"/>
  </r>
  <r>
    <x v="2175"/>
    <x v="2152"/>
    <x v="4"/>
    <x v="5"/>
    <x v="5"/>
    <x v="0"/>
    <x v="0"/>
    <x v="1"/>
    <x v="0"/>
    <x v="0"/>
    <x v="23"/>
    <x v="71"/>
    <x v="499"/>
    <x v="101"/>
    <x v="0"/>
  </r>
  <r>
    <x v="2176"/>
    <x v="2153"/>
    <x v="4"/>
    <x v="5"/>
    <x v="5"/>
    <x v="0"/>
    <x v="0"/>
    <x v="7"/>
    <x v="0"/>
    <x v="0"/>
    <x v="30"/>
    <x v="71"/>
    <x v="499"/>
    <x v="104"/>
    <x v="0"/>
  </r>
  <r>
    <x v="2177"/>
    <x v="2154"/>
    <x v="1"/>
    <x v="3"/>
    <x v="3"/>
    <x v="0"/>
    <x v="0"/>
    <x v="0"/>
    <x v="0"/>
    <x v="0"/>
    <x v="0"/>
    <x v="0"/>
    <x v="499"/>
    <x v="105"/>
    <x v="0"/>
  </r>
  <r>
    <x v="2178"/>
    <x v="2155"/>
    <x v="4"/>
    <x v="5"/>
    <x v="5"/>
    <x v="0"/>
    <x v="0"/>
    <x v="0"/>
    <x v="0"/>
    <x v="0"/>
    <x v="30"/>
    <x v="73"/>
    <x v="499"/>
    <x v="106"/>
    <x v="0"/>
  </r>
  <r>
    <x v="2179"/>
    <x v="2156"/>
    <x v="2"/>
    <x v="0"/>
    <x v="0"/>
    <x v="0"/>
    <x v="0"/>
    <x v="15"/>
    <x v="0"/>
    <x v="0"/>
    <x v="0"/>
    <x v="0"/>
    <x v="499"/>
    <x v="0"/>
    <x v="0"/>
  </r>
  <r>
    <x v="2180"/>
    <x v="2157"/>
    <x v="4"/>
    <x v="1"/>
    <x v="1"/>
    <x v="0"/>
    <x v="0"/>
    <x v="1"/>
    <x v="0"/>
    <x v="0"/>
    <x v="0"/>
    <x v="74"/>
    <x v="499"/>
    <x v="102"/>
    <x v="0"/>
  </r>
  <r>
    <x v="2181"/>
    <x v="2158"/>
    <x v="6"/>
    <x v="5"/>
    <x v="5"/>
    <x v="0"/>
    <x v="0"/>
    <x v="2"/>
    <x v="0"/>
    <x v="0"/>
    <x v="0"/>
    <x v="0"/>
    <x v="499"/>
    <x v="0"/>
    <x v="0"/>
  </r>
  <r>
    <x v="2182"/>
    <x v="2159"/>
    <x v="1"/>
    <x v="3"/>
    <x v="3"/>
    <x v="0"/>
    <x v="0"/>
    <x v="15"/>
    <x v="0"/>
    <x v="0"/>
    <x v="0"/>
    <x v="0"/>
    <x v="499"/>
    <x v="0"/>
    <x v="0"/>
  </r>
  <r>
    <x v="2183"/>
    <x v="2160"/>
    <x v="1"/>
    <x v="5"/>
    <x v="5"/>
    <x v="0"/>
    <x v="0"/>
    <x v="0"/>
    <x v="0"/>
    <x v="0"/>
    <x v="0"/>
    <x v="0"/>
    <x v="500"/>
    <x v="0"/>
    <x v="0"/>
  </r>
  <r>
    <x v="2184"/>
    <x v="2161"/>
    <x v="9"/>
    <x v="0"/>
    <x v="0"/>
    <x v="0"/>
    <x v="0"/>
    <x v="15"/>
    <x v="0"/>
    <x v="0"/>
    <x v="0"/>
    <x v="0"/>
    <x v="500"/>
    <x v="0"/>
    <x v="0"/>
  </r>
  <r>
    <x v="2185"/>
    <x v="2162"/>
    <x v="4"/>
    <x v="5"/>
    <x v="5"/>
    <x v="0"/>
    <x v="0"/>
    <x v="0"/>
    <x v="0"/>
    <x v="0"/>
    <x v="36"/>
    <x v="0"/>
    <x v="501"/>
    <x v="106"/>
    <x v="0"/>
  </r>
  <r>
    <x v="2186"/>
    <x v="2163"/>
    <x v="2"/>
    <x v="0"/>
    <x v="0"/>
    <x v="0"/>
    <x v="0"/>
    <x v="0"/>
    <x v="0"/>
    <x v="0"/>
    <x v="0"/>
    <x v="0"/>
    <x v="502"/>
    <x v="0"/>
    <x v="0"/>
  </r>
  <r>
    <x v="2187"/>
    <x v="2164"/>
    <x v="4"/>
    <x v="5"/>
    <x v="5"/>
    <x v="0"/>
    <x v="0"/>
    <x v="7"/>
    <x v="0"/>
    <x v="0"/>
    <x v="30"/>
    <x v="73"/>
    <x v="502"/>
    <x v="106"/>
    <x v="0"/>
  </r>
  <r>
    <x v="2188"/>
    <x v="2165"/>
    <x v="1"/>
    <x v="5"/>
    <x v="5"/>
    <x v="0"/>
    <x v="0"/>
    <x v="0"/>
    <x v="0"/>
    <x v="0"/>
    <x v="0"/>
    <x v="0"/>
    <x v="502"/>
    <x v="102"/>
    <x v="0"/>
  </r>
  <r>
    <x v="2189"/>
    <x v="2166"/>
    <x v="0"/>
    <x v="0"/>
    <x v="0"/>
    <x v="0"/>
    <x v="0"/>
    <x v="0"/>
    <x v="0"/>
    <x v="0"/>
    <x v="0"/>
    <x v="0"/>
    <x v="502"/>
    <x v="0"/>
    <x v="0"/>
  </r>
  <r>
    <x v="2190"/>
    <x v="2167"/>
    <x v="0"/>
    <x v="0"/>
    <x v="0"/>
    <x v="0"/>
    <x v="0"/>
    <x v="0"/>
    <x v="0"/>
    <x v="0"/>
    <x v="0"/>
    <x v="0"/>
    <x v="502"/>
    <x v="0"/>
    <x v="0"/>
  </r>
  <r>
    <x v="2191"/>
    <x v="2168"/>
    <x v="0"/>
    <x v="0"/>
    <x v="0"/>
    <x v="0"/>
    <x v="0"/>
    <x v="0"/>
    <x v="0"/>
    <x v="0"/>
    <x v="0"/>
    <x v="0"/>
    <x v="502"/>
    <x v="0"/>
    <x v="0"/>
  </r>
  <r>
    <x v="2192"/>
    <x v="2169"/>
    <x v="0"/>
    <x v="0"/>
    <x v="0"/>
    <x v="0"/>
    <x v="0"/>
    <x v="0"/>
    <x v="0"/>
    <x v="0"/>
    <x v="0"/>
    <x v="0"/>
    <x v="502"/>
    <x v="0"/>
    <x v="0"/>
  </r>
  <r>
    <x v="2193"/>
    <x v="2170"/>
    <x v="0"/>
    <x v="0"/>
    <x v="0"/>
    <x v="0"/>
    <x v="0"/>
    <x v="0"/>
    <x v="0"/>
    <x v="0"/>
    <x v="0"/>
    <x v="0"/>
    <x v="502"/>
    <x v="0"/>
    <x v="0"/>
  </r>
  <r>
    <x v="2194"/>
    <x v="2171"/>
    <x v="0"/>
    <x v="0"/>
    <x v="0"/>
    <x v="0"/>
    <x v="0"/>
    <x v="0"/>
    <x v="0"/>
    <x v="0"/>
    <x v="0"/>
    <x v="0"/>
    <x v="502"/>
    <x v="0"/>
    <x v="0"/>
  </r>
  <r>
    <x v="2195"/>
    <x v="2172"/>
    <x v="5"/>
    <x v="3"/>
    <x v="3"/>
    <x v="0"/>
    <x v="0"/>
    <x v="0"/>
    <x v="0"/>
    <x v="0"/>
    <x v="4"/>
    <x v="75"/>
    <x v="503"/>
    <x v="107"/>
    <x v="0"/>
  </r>
  <r>
    <x v="2196"/>
    <x v="2173"/>
    <x v="4"/>
    <x v="5"/>
    <x v="5"/>
    <x v="0"/>
    <x v="0"/>
    <x v="0"/>
    <x v="0"/>
    <x v="0"/>
    <x v="30"/>
    <x v="73"/>
    <x v="504"/>
    <x v="106"/>
    <x v="0"/>
  </r>
  <r>
    <x v="2197"/>
    <x v="2174"/>
    <x v="4"/>
    <x v="5"/>
    <x v="5"/>
    <x v="0"/>
    <x v="0"/>
    <x v="0"/>
    <x v="0"/>
    <x v="0"/>
    <x v="30"/>
    <x v="73"/>
    <x v="504"/>
    <x v="106"/>
    <x v="0"/>
  </r>
  <r>
    <x v="2198"/>
    <x v="2175"/>
    <x v="4"/>
    <x v="3"/>
    <x v="3"/>
    <x v="0"/>
    <x v="0"/>
    <x v="18"/>
    <x v="0"/>
    <x v="0"/>
    <x v="0"/>
    <x v="0"/>
    <x v="504"/>
    <x v="0"/>
    <x v="0"/>
  </r>
  <r>
    <x v="2199"/>
    <x v="2176"/>
    <x v="11"/>
    <x v="5"/>
    <x v="5"/>
    <x v="0"/>
    <x v="0"/>
    <x v="3"/>
    <x v="0"/>
    <x v="0"/>
    <x v="0"/>
    <x v="0"/>
    <x v="505"/>
    <x v="0"/>
    <x v="0"/>
  </r>
  <r>
    <x v="2200"/>
    <x v="2177"/>
    <x v="1"/>
    <x v="3"/>
    <x v="3"/>
    <x v="0"/>
    <x v="0"/>
    <x v="3"/>
    <x v="0"/>
    <x v="0"/>
    <x v="0"/>
    <x v="0"/>
    <x v="505"/>
    <x v="108"/>
    <x v="0"/>
  </r>
  <r>
    <x v="2201"/>
    <x v="2178"/>
    <x v="4"/>
    <x v="5"/>
    <x v="5"/>
    <x v="0"/>
    <x v="0"/>
    <x v="7"/>
    <x v="0"/>
    <x v="0"/>
    <x v="30"/>
    <x v="73"/>
    <x v="505"/>
    <x v="106"/>
    <x v="0"/>
  </r>
  <r>
    <x v="2202"/>
    <x v="2179"/>
    <x v="1"/>
    <x v="5"/>
    <x v="5"/>
    <x v="0"/>
    <x v="0"/>
    <x v="0"/>
    <x v="0"/>
    <x v="0"/>
    <x v="22"/>
    <x v="0"/>
    <x v="506"/>
    <x v="0"/>
    <x v="0"/>
  </r>
  <r>
    <x v="2203"/>
    <x v="2180"/>
    <x v="0"/>
    <x v="0"/>
    <x v="0"/>
    <x v="0"/>
    <x v="0"/>
    <x v="0"/>
    <x v="0"/>
    <x v="0"/>
    <x v="0"/>
    <x v="0"/>
    <x v="507"/>
    <x v="0"/>
    <x v="0"/>
  </r>
  <r>
    <x v="2204"/>
    <x v="2181"/>
    <x v="0"/>
    <x v="0"/>
    <x v="0"/>
    <x v="0"/>
    <x v="0"/>
    <x v="0"/>
    <x v="0"/>
    <x v="0"/>
    <x v="0"/>
    <x v="0"/>
    <x v="507"/>
    <x v="0"/>
    <x v="0"/>
  </r>
  <r>
    <x v="2205"/>
    <x v="2182"/>
    <x v="0"/>
    <x v="0"/>
    <x v="0"/>
    <x v="0"/>
    <x v="0"/>
    <x v="0"/>
    <x v="0"/>
    <x v="0"/>
    <x v="0"/>
    <x v="0"/>
    <x v="507"/>
    <x v="0"/>
    <x v="0"/>
  </r>
  <r>
    <x v="2206"/>
    <x v="2183"/>
    <x v="0"/>
    <x v="0"/>
    <x v="0"/>
    <x v="0"/>
    <x v="0"/>
    <x v="0"/>
    <x v="0"/>
    <x v="0"/>
    <x v="0"/>
    <x v="0"/>
    <x v="507"/>
    <x v="0"/>
    <x v="0"/>
  </r>
  <r>
    <x v="2207"/>
    <x v="2184"/>
    <x v="0"/>
    <x v="0"/>
    <x v="0"/>
    <x v="0"/>
    <x v="0"/>
    <x v="0"/>
    <x v="0"/>
    <x v="0"/>
    <x v="0"/>
    <x v="0"/>
    <x v="507"/>
    <x v="0"/>
    <x v="0"/>
  </r>
  <r>
    <x v="2208"/>
    <x v="2185"/>
    <x v="0"/>
    <x v="0"/>
    <x v="0"/>
    <x v="0"/>
    <x v="0"/>
    <x v="0"/>
    <x v="0"/>
    <x v="0"/>
    <x v="0"/>
    <x v="0"/>
    <x v="507"/>
    <x v="0"/>
    <x v="0"/>
  </r>
  <r>
    <x v="2209"/>
    <x v="2186"/>
    <x v="0"/>
    <x v="0"/>
    <x v="0"/>
    <x v="0"/>
    <x v="0"/>
    <x v="0"/>
    <x v="0"/>
    <x v="0"/>
    <x v="0"/>
    <x v="0"/>
    <x v="507"/>
    <x v="0"/>
    <x v="0"/>
  </r>
  <r>
    <x v="2210"/>
    <x v="2187"/>
    <x v="0"/>
    <x v="0"/>
    <x v="0"/>
    <x v="0"/>
    <x v="0"/>
    <x v="0"/>
    <x v="0"/>
    <x v="0"/>
    <x v="0"/>
    <x v="0"/>
    <x v="507"/>
    <x v="0"/>
    <x v="0"/>
  </r>
  <r>
    <x v="2211"/>
    <x v="2188"/>
    <x v="0"/>
    <x v="0"/>
    <x v="0"/>
    <x v="0"/>
    <x v="0"/>
    <x v="0"/>
    <x v="0"/>
    <x v="0"/>
    <x v="0"/>
    <x v="0"/>
    <x v="507"/>
    <x v="0"/>
    <x v="0"/>
  </r>
  <r>
    <x v="2212"/>
    <x v="2189"/>
    <x v="0"/>
    <x v="0"/>
    <x v="0"/>
    <x v="0"/>
    <x v="0"/>
    <x v="0"/>
    <x v="0"/>
    <x v="0"/>
    <x v="0"/>
    <x v="0"/>
    <x v="507"/>
    <x v="0"/>
    <x v="0"/>
  </r>
  <r>
    <x v="2213"/>
    <x v="2190"/>
    <x v="8"/>
    <x v="0"/>
    <x v="0"/>
    <x v="0"/>
    <x v="0"/>
    <x v="0"/>
    <x v="0"/>
    <x v="0"/>
    <x v="0"/>
    <x v="0"/>
    <x v="507"/>
    <x v="104"/>
    <x v="0"/>
  </r>
  <r>
    <x v="2214"/>
    <x v="2191"/>
    <x v="0"/>
    <x v="0"/>
    <x v="0"/>
    <x v="0"/>
    <x v="0"/>
    <x v="0"/>
    <x v="0"/>
    <x v="0"/>
    <x v="0"/>
    <x v="0"/>
    <x v="507"/>
    <x v="0"/>
    <x v="0"/>
  </r>
  <r>
    <x v="2215"/>
    <x v="2192"/>
    <x v="0"/>
    <x v="0"/>
    <x v="0"/>
    <x v="0"/>
    <x v="0"/>
    <x v="0"/>
    <x v="0"/>
    <x v="0"/>
    <x v="0"/>
    <x v="0"/>
    <x v="507"/>
    <x v="0"/>
    <x v="0"/>
  </r>
  <r>
    <x v="2216"/>
    <x v="2193"/>
    <x v="0"/>
    <x v="0"/>
    <x v="0"/>
    <x v="0"/>
    <x v="0"/>
    <x v="0"/>
    <x v="0"/>
    <x v="0"/>
    <x v="0"/>
    <x v="0"/>
    <x v="507"/>
    <x v="0"/>
    <x v="0"/>
  </r>
  <r>
    <x v="2217"/>
    <x v="2194"/>
    <x v="0"/>
    <x v="0"/>
    <x v="0"/>
    <x v="0"/>
    <x v="0"/>
    <x v="0"/>
    <x v="0"/>
    <x v="0"/>
    <x v="0"/>
    <x v="0"/>
    <x v="507"/>
    <x v="109"/>
    <x v="0"/>
  </r>
  <r>
    <x v="2218"/>
    <x v="2193"/>
    <x v="0"/>
    <x v="0"/>
    <x v="0"/>
    <x v="0"/>
    <x v="0"/>
    <x v="0"/>
    <x v="0"/>
    <x v="0"/>
    <x v="0"/>
    <x v="0"/>
    <x v="507"/>
    <x v="0"/>
    <x v="0"/>
  </r>
  <r>
    <x v="2219"/>
    <x v="2195"/>
    <x v="0"/>
    <x v="0"/>
    <x v="0"/>
    <x v="0"/>
    <x v="0"/>
    <x v="0"/>
    <x v="0"/>
    <x v="0"/>
    <x v="0"/>
    <x v="0"/>
    <x v="507"/>
    <x v="0"/>
    <x v="0"/>
  </r>
  <r>
    <x v="2220"/>
    <x v="2196"/>
    <x v="9"/>
    <x v="0"/>
    <x v="0"/>
    <x v="0"/>
    <x v="0"/>
    <x v="19"/>
    <x v="0"/>
    <x v="0"/>
    <x v="0"/>
    <x v="0"/>
    <x v="507"/>
    <x v="0"/>
    <x v="0"/>
  </r>
  <r>
    <x v="2221"/>
    <x v="2197"/>
    <x v="9"/>
    <x v="0"/>
    <x v="0"/>
    <x v="0"/>
    <x v="0"/>
    <x v="34"/>
    <x v="0"/>
    <x v="0"/>
    <x v="0"/>
    <x v="0"/>
    <x v="507"/>
    <x v="0"/>
    <x v="0"/>
  </r>
  <r>
    <x v="2222"/>
    <x v="2198"/>
    <x v="2"/>
    <x v="0"/>
    <x v="0"/>
    <x v="0"/>
    <x v="0"/>
    <x v="35"/>
    <x v="0"/>
    <x v="0"/>
    <x v="0"/>
    <x v="0"/>
    <x v="507"/>
    <x v="0"/>
    <x v="0"/>
  </r>
  <r>
    <x v="2223"/>
    <x v="2199"/>
    <x v="2"/>
    <x v="0"/>
    <x v="0"/>
    <x v="0"/>
    <x v="0"/>
    <x v="36"/>
    <x v="0"/>
    <x v="0"/>
    <x v="0"/>
    <x v="0"/>
    <x v="507"/>
    <x v="0"/>
    <x v="0"/>
  </r>
  <r>
    <x v="2224"/>
    <x v="2200"/>
    <x v="1"/>
    <x v="5"/>
    <x v="5"/>
    <x v="0"/>
    <x v="0"/>
    <x v="1"/>
    <x v="0"/>
    <x v="0"/>
    <x v="0"/>
    <x v="0"/>
    <x v="507"/>
    <x v="104"/>
    <x v="0"/>
  </r>
  <r>
    <x v="2225"/>
    <x v="2201"/>
    <x v="1"/>
    <x v="5"/>
    <x v="5"/>
    <x v="0"/>
    <x v="0"/>
    <x v="5"/>
    <x v="0"/>
    <x v="0"/>
    <x v="0"/>
    <x v="0"/>
    <x v="507"/>
    <x v="103"/>
    <x v="0"/>
  </r>
  <r>
    <x v="2226"/>
    <x v="2202"/>
    <x v="6"/>
    <x v="5"/>
    <x v="5"/>
    <x v="0"/>
    <x v="0"/>
    <x v="3"/>
    <x v="0"/>
    <x v="0"/>
    <x v="37"/>
    <x v="0"/>
    <x v="507"/>
    <x v="110"/>
    <x v="0"/>
  </r>
  <r>
    <x v="2227"/>
    <x v="2203"/>
    <x v="6"/>
    <x v="5"/>
    <x v="5"/>
    <x v="0"/>
    <x v="0"/>
    <x v="3"/>
    <x v="0"/>
    <x v="0"/>
    <x v="0"/>
    <x v="0"/>
    <x v="507"/>
    <x v="104"/>
    <x v="0"/>
  </r>
  <r>
    <x v="2228"/>
    <x v="2204"/>
    <x v="1"/>
    <x v="5"/>
    <x v="5"/>
    <x v="0"/>
    <x v="0"/>
    <x v="3"/>
    <x v="0"/>
    <x v="0"/>
    <x v="0"/>
    <x v="0"/>
    <x v="507"/>
    <x v="106"/>
    <x v="0"/>
  </r>
  <r>
    <x v="2229"/>
    <x v="2205"/>
    <x v="11"/>
    <x v="2"/>
    <x v="2"/>
    <x v="0"/>
    <x v="0"/>
    <x v="0"/>
    <x v="0"/>
    <x v="0"/>
    <x v="0"/>
    <x v="0"/>
    <x v="508"/>
    <x v="0"/>
    <x v="0"/>
  </r>
  <r>
    <x v="2230"/>
    <x v="2206"/>
    <x v="9"/>
    <x v="0"/>
    <x v="0"/>
    <x v="0"/>
    <x v="0"/>
    <x v="15"/>
    <x v="0"/>
    <x v="0"/>
    <x v="0"/>
    <x v="0"/>
    <x v="508"/>
    <x v="0"/>
    <x v="0"/>
  </r>
  <r>
    <x v="2231"/>
    <x v="2207"/>
    <x v="4"/>
    <x v="3"/>
    <x v="3"/>
    <x v="0"/>
    <x v="0"/>
    <x v="0"/>
    <x v="0"/>
    <x v="0"/>
    <x v="4"/>
    <x v="76"/>
    <x v="509"/>
    <x v="110"/>
    <x v="0"/>
  </r>
  <r>
    <x v="2232"/>
    <x v="2208"/>
    <x v="1"/>
    <x v="5"/>
    <x v="5"/>
    <x v="0"/>
    <x v="0"/>
    <x v="2"/>
    <x v="0"/>
    <x v="0"/>
    <x v="0"/>
    <x v="0"/>
    <x v="510"/>
    <x v="0"/>
    <x v="0"/>
  </r>
  <r>
    <x v="2233"/>
    <x v="2209"/>
    <x v="4"/>
    <x v="5"/>
    <x v="5"/>
    <x v="0"/>
    <x v="0"/>
    <x v="1"/>
    <x v="0"/>
    <x v="0"/>
    <x v="0"/>
    <x v="0"/>
    <x v="510"/>
    <x v="0"/>
    <x v="0"/>
  </r>
  <r>
    <x v="2234"/>
    <x v="2210"/>
    <x v="9"/>
    <x v="0"/>
    <x v="0"/>
    <x v="0"/>
    <x v="0"/>
    <x v="15"/>
    <x v="0"/>
    <x v="0"/>
    <x v="0"/>
    <x v="0"/>
    <x v="511"/>
    <x v="0"/>
    <x v="0"/>
  </r>
  <r>
    <x v="2235"/>
    <x v="2211"/>
    <x v="2"/>
    <x v="0"/>
    <x v="0"/>
    <x v="0"/>
    <x v="0"/>
    <x v="37"/>
    <x v="0"/>
    <x v="0"/>
    <x v="0"/>
    <x v="0"/>
    <x v="511"/>
    <x v="0"/>
    <x v="0"/>
  </r>
  <r>
    <x v="2236"/>
    <x v="2212"/>
    <x v="2"/>
    <x v="1"/>
    <x v="1"/>
    <x v="0"/>
    <x v="0"/>
    <x v="13"/>
    <x v="0"/>
    <x v="0"/>
    <x v="17"/>
    <x v="0"/>
    <x v="511"/>
    <x v="0"/>
    <x v="0"/>
  </r>
  <r>
    <x v="2237"/>
    <x v="2193"/>
    <x v="0"/>
    <x v="0"/>
    <x v="0"/>
    <x v="0"/>
    <x v="0"/>
    <x v="0"/>
    <x v="0"/>
    <x v="0"/>
    <x v="0"/>
    <x v="0"/>
    <x v="512"/>
    <x v="0"/>
    <x v="0"/>
  </r>
  <r>
    <x v="2238"/>
    <x v="2213"/>
    <x v="0"/>
    <x v="0"/>
    <x v="0"/>
    <x v="0"/>
    <x v="0"/>
    <x v="0"/>
    <x v="0"/>
    <x v="0"/>
    <x v="0"/>
    <x v="0"/>
    <x v="512"/>
    <x v="0"/>
    <x v="0"/>
  </r>
  <r>
    <x v="2239"/>
    <x v="2214"/>
    <x v="9"/>
    <x v="0"/>
    <x v="0"/>
    <x v="0"/>
    <x v="0"/>
    <x v="15"/>
    <x v="0"/>
    <x v="0"/>
    <x v="0"/>
    <x v="0"/>
    <x v="513"/>
    <x v="0"/>
    <x v="0"/>
  </r>
  <r>
    <x v="2240"/>
    <x v="2215"/>
    <x v="9"/>
    <x v="0"/>
    <x v="0"/>
    <x v="0"/>
    <x v="0"/>
    <x v="38"/>
    <x v="0"/>
    <x v="0"/>
    <x v="0"/>
    <x v="0"/>
    <x v="513"/>
    <x v="0"/>
    <x v="0"/>
  </r>
  <r>
    <x v="2241"/>
    <x v="2216"/>
    <x v="1"/>
    <x v="3"/>
    <x v="3"/>
    <x v="0"/>
    <x v="0"/>
    <x v="0"/>
    <x v="0"/>
    <x v="0"/>
    <x v="0"/>
    <x v="0"/>
    <x v="514"/>
    <x v="0"/>
    <x v="0"/>
  </r>
  <r>
    <x v="2242"/>
    <x v="2217"/>
    <x v="1"/>
    <x v="3"/>
    <x v="3"/>
    <x v="0"/>
    <x v="0"/>
    <x v="0"/>
    <x v="0"/>
    <x v="0"/>
    <x v="0"/>
    <x v="0"/>
    <x v="514"/>
    <x v="0"/>
    <x v="0"/>
  </r>
  <r>
    <x v="2243"/>
    <x v="2218"/>
    <x v="11"/>
    <x v="2"/>
    <x v="2"/>
    <x v="0"/>
    <x v="0"/>
    <x v="0"/>
    <x v="0"/>
    <x v="0"/>
    <x v="0"/>
    <x v="0"/>
    <x v="514"/>
    <x v="0"/>
    <x v="0"/>
  </r>
  <r>
    <x v="2244"/>
    <x v="2219"/>
    <x v="1"/>
    <x v="3"/>
    <x v="3"/>
    <x v="0"/>
    <x v="0"/>
    <x v="0"/>
    <x v="0"/>
    <x v="0"/>
    <x v="0"/>
    <x v="0"/>
    <x v="515"/>
    <x v="0"/>
    <x v="0"/>
  </r>
  <r>
    <x v="2245"/>
    <x v="2220"/>
    <x v="2"/>
    <x v="3"/>
    <x v="3"/>
    <x v="0"/>
    <x v="0"/>
    <x v="39"/>
    <x v="0"/>
    <x v="0"/>
    <x v="0"/>
    <x v="0"/>
    <x v="515"/>
    <x v="0"/>
    <x v="0"/>
  </r>
  <r>
    <x v="2246"/>
    <x v="2221"/>
    <x v="1"/>
    <x v="5"/>
    <x v="5"/>
    <x v="0"/>
    <x v="0"/>
    <x v="0"/>
    <x v="0"/>
    <x v="0"/>
    <x v="0"/>
    <x v="0"/>
    <x v="515"/>
    <x v="111"/>
    <x v="0"/>
  </r>
  <r>
    <x v="2247"/>
    <x v="2222"/>
    <x v="1"/>
    <x v="5"/>
    <x v="5"/>
    <x v="0"/>
    <x v="0"/>
    <x v="0"/>
    <x v="0"/>
    <x v="0"/>
    <x v="0"/>
    <x v="0"/>
    <x v="515"/>
    <x v="111"/>
    <x v="0"/>
  </r>
  <r>
    <x v="2248"/>
    <x v="2223"/>
    <x v="4"/>
    <x v="3"/>
    <x v="3"/>
    <x v="0"/>
    <x v="0"/>
    <x v="5"/>
    <x v="0"/>
    <x v="0"/>
    <x v="0"/>
    <x v="75"/>
    <x v="515"/>
    <x v="107"/>
    <x v="0"/>
  </r>
  <r>
    <x v="2249"/>
    <x v="2224"/>
    <x v="1"/>
    <x v="3"/>
    <x v="3"/>
    <x v="0"/>
    <x v="0"/>
    <x v="6"/>
    <x v="0"/>
    <x v="0"/>
    <x v="0"/>
    <x v="0"/>
    <x v="515"/>
    <x v="99"/>
    <x v="0"/>
  </r>
  <r>
    <x v="2250"/>
    <x v="2225"/>
    <x v="4"/>
    <x v="3"/>
    <x v="3"/>
    <x v="0"/>
    <x v="0"/>
    <x v="5"/>
    <x v="0"/>
    <x v="0"/>
    <x v="0"/>
    <x v="0"/>
    <x v="515"/>
    <x v="112"/>
    <x v="0"/>
  </r>
  <r>
    <x v="2251"/>
    <x v="2226"/>
    <x v="4"/>
    <x v="3"/>
    <x v="3"/>
    <x v="0"/>
    <x v="0"/>
    <x v="6"/>
    <x v="0"/>
    <x v="0"/>
    <x v="0"/>
    <x v="0"/>
    <x v="515"/>
    <x v="99"/>
    <x v="0"/>
  </r>
  <r>
    <x v="2252"/>
    <x v="2227"/>
    <x v="6"/>
    <x v="3"/>
    <x v="3"/>
    <x v="0"/>
    <x v="0"/>
    <x v="5"/>
    <x v="0"/>
    <x v="0"/>
    <x v="13"/>
    <x v="2"/>
    <x v="515"/>
    <x v="0"/>
    <x v="0"/>
  </r>
  <r>
    <x v="2253"/>
    <x v="2228"/>
    <x v="1"/>
    <x v="3"/>
    <x v="3"/>
    <x v="0"/>
    <x v="0"/>
    <x v="2"/>
    <x v="0"/>
    <x v="0"/>
    <x v="0"/>
    <x v="70"/>
    <x v="515"/>
    <x v="99"/>
    <x v="0"/>
  </r>
  <r>
    <x v="2254"/>
    <x v="2229"/>
    <x v="4"/>
    <x v="3"/>
    <x v="3"/>
    <x v="0"/>
    <x v="0"/>
    <x v="20"/>
    <x v="0"/>
    <x v="0"/>
    <x v="0"/>
    <x v="0"/>
    <x v="515"/>
    <x v="99"/>
    <x v="0"/>
  </r>
  <r>
    <x v="2255"/>
    <x v="2230"/>
    <x v="1"/>
    <x v="3"/>
    <x v="3"/>
    <x v="0"/>
    <x v="0"/>
    <x v="2"/>
    <x v="0"/>
    <x v="0"/>
    <x v="0"/>
    <x v="0"/>
    <x v="515"/>
    <x v="0"/>
    <x v="0"/>
  </r>
  <r>
    <x v="2256"/>
    <x v="2231"/>
    <x v="1"/>
    <x v="3"/>
    <x v="3"/>
    <x v="0"/>
    <x v="0"/>
    <x v="2"/>
    <x v="0"/>
    <x v="0"/>
    <x v="0"/>
    <x v="0"/>
    <x v="515"/>
    <x v="84"/>
    <x v="0"/>
  </r>
  <r>
    <x v="2257"/>
    <x v="2232"/>
    <x v="1"/>
    <x v="3"/>
    <x v="3"/>
    <x v="0"/>
    <x v="0"/>
    <x v="2"/>
    <x v="0"/>
    <x v="0"/>
    <x v="0"/>
    <x v="0"/>
    <x v="515"/>
    <x v="84"/>
    <x v="0"/>
  </r>
  <r>
    <x v="2258"/>
    <x v="2233"/>
    <x v="1"/>
    <x v="3"/>
    <x v="3"/>
    <x v="0"/>
    <x v="0"/>
    <x v="5"/>
    <x v="0"/>
    <x v="0"/>
    <x v="0"/>
    <x v="0"/>
    <x v="515"/>
    <x v="84"/>
    <x v="0"/>
  </r>
  <r>
    <x v="2259"/>
    <x v="2234"/>
    <x v="1"/>
    <x v="3"/>
    <x v="3"/>
    <x v="0"/>
    <x v="0"/>
    <x v="5"/>
    <x v="0"/>
    <x v="0"/>
    <x v="0"/>
    <x v="0"/>
    <x v="515"/>
    <x v="84"/>
    <x v="0"/>
  </r>
  <r>
    <x v="2260"/>
    <x v="2235"/>
    <x v="1"/>
    <x v="3"/>
    <x v="3"/>
    <x v="0"/>
    <x v="0"/>
    <x v="0"/>
    <x v="0"/>
    <x v="0"/>
    <x v="0"/>
    <x v="0"/>
    <x v="515"/>
    <x v="108"/>
    <x v="0"/>
  </r>
  <r>
    <x v="2261"/>
    <x v="2236"/>
    <x v="9"/>
    <x v="0"/>
    <x v="0"/>
    <x v="0"/>
    <x v="0"/>
    <x v="1"/>
    <x v="0"/>
    <x v="0"/>
    <x v="0"/>
    <x v="0"/>
    <x v="515"/>
    <x v="0"/>
    <x v="0"/>
  </r>
  <r>
    <x v="2262"/>
    <x v="2237"/>
    <x v="1"/>
    <x v="5"/>
    <x v="5"/>
    <x v="0"/>
    <x v="0"/>
    <x v="0"/>
    <x v="0"/>
    <x v="0"/>
    <x v="0"/>
    <x v="0"/>
    <x v="515"/>
    <x v="0"/>
    <x v="0"/>
  </r>
  <r>
    <x v="2263"/>
    <x v="2238"/>
    <x v="1"/>
    <x v="5"/>
    <x v="5"/>
    <x v="0"/>
    <x v="0"/>
    <x v="3"/>
    <x v="0"/>
    <x v="0"/>
    <x v="0"/>
    <x v="0"/>
    <x v="515"/>
    <x v="101"/>
    <x v="0"/>
  </r>
  <r>
    <x v="2264"/>
    <x v="2239"/>
    <x v="1"/>
    <x v="5"/>
    <x v="5"/>
    <x v="0"/>
    <x v="0"/>
    <x v="5"/>
    <x v="0"/>
    <x v="0"/>
    <x v="0"/>
    <x v="71"/>
    <x v="515"/>
    <x v="101"/>
    <x v="0"/>
  </r>
  <r>
    <x v="2265"/>
    <x v="2240"/>
    <x v="2"/>
    <x v="5"/>
    <x v="5"/>
    <x v="0"/>
    <x v="0"/>
    <x v="40"/>
    <x v="0"/>
    <x v="0"/>
    <x v="0"/>
    <x v="0"/>
    <x v="515"/>
    <x v="0"/>
    <x v="0"/>
  </r>
  <r>
    <x v="2266"/>
    <x v="2241"/>
    <x v="4"/>
    <x v="5"/>
    <x v="5"/>
    <x v="0"/>
    <x v="0"/>
    <x v="5"/>
    <x v="0"/>
    <x v="0"/>
    <x v="0"/>
    <x v="0"/>
    <x v="515"/>
    <x v="81"/>
    <x v="0"/>
  </r>
  <r>
    <x v="2267"/>
    <x v="2242"/>
    <x v="1"/>
    <x v="3"/>
    <x v="3"/>
    <x v="0"/>
    <x v="0"/>
    <x v="41"/>
    <x v="0"/>
    <x v="0"/>
    <x v="0"/>
    <x v="0"/>
    <x v="515"/>
    <x v="0"/>
    <x v="0"/>
  </r>
  <r>
    <x v="2268"/>
    <x v="2243"/>
    <x v="2"/>
    <x v="0"/>
    <x v="0"/>
    <x v="0"/>
    <x v="0"/>
    <x v="42"/>
    <x v="0"/>
    <x v="0"/>
    <x v="0"/>
    <x v="0"/>
    <x v="516"/>
    <x v="0"/>
    <x v="0"/>
  </r>
  <r>
    <x v="2269"/>
    <x v="2244"/>
    <x v="1"/>
    <x v="5"/>
    <x v="5"/>
    <x v="0"/>
    <x v="0"/>
    <x v="1"/>
    <x v="0"/>
    <x v="0"/>
    <x v="0"/>
    <x v="0"/>
    <x v="516"/>
    <x v="75"/>
    <x v="0"/>
  </r>
  <r>
    <x v="2270"/>
    <x v="2245"/>
    <x v="1"/>
    <x v="5"/>
    <x v="5"/>
    <x v="0"/>
    <x v="0"/>
    <x v="3"/>
    <x v="0"/>
    <x v="0"/>
    <x v="0"/>
    <x v="0"/>
    <x v="516"/>
    <x v="75"/>
    <x v="0"/>
  </r>
  <r>
    <x v="2271"/>
    <x v="2246"/>
    <x v="1"/>
    <x v="5"/>
    <x v="5"/>
    <x v="0"/>
    <x v="0"/>
    <x v="1"/>
    <x v="0"/>
    <x v="0"/>
    <x v="0"/>
    <x v="0"/>
    <x v="516"/>
    <x v="75"/>
    <x v="0"/>
  </r>
  <r>
    <x v="2272"/>
    <x v="2247"/>
    <x v="1"/>
    <x v="5"/>
    <x v="5"/>
    <x v="0"/>
    <x v="0"/>
    <x v="1"/>
    <x v="0"/>
    <x v="0"/>
    <x v="0"/>
    <x v="0"/>
    <x v="516"/>
    <x v="75"/>
    <x v="0"/>
  </r>
  <r>
    <x v="2273"/>
    <x v="2248"/>
    <x v="1"/>
    <x v="5"/>
    <x v="5"/>
    <x v="0"/>
    <x v="0"/>
    <x v="3"/>
    <x v="0"/>
    <x v="0"/>
    <x v="0"/>
    <x v="0"/>
    <x v="516"/>
    <x v="75"/>
    <x v="0"/>
  </r>
  <r>
    <x v="2274"/>
    <x v="2249"/>
    <x v="1"/>
    <x v="5"/>
    <x v="5"/>
    <x v="0"/>
    <x v="0"/>
    <x v="43"/>
    <x v="0"/>
    <x v="0"/>
    <x v="0"/>
    <x v="0"/>
    <x v="516"/>
    <x v="0"/>
    <x v="0"/>
  </r>
  <r>
    <x v="2275"/>
    <x v="2250"/>
    <x v="11"/>
    <x v="5"/>
    <x v="5"/>
    <x v="0"/>
    <x v="0"/>
    <x v="5"/>
    <x v="0"/>
    <x v="0"/>
    <x v="0"/>
    <x v="0"/>
    <x v="516"/>
    <x v="102"/>
    <x v="0"/>
  </r>
  <r>
    <x v="2276"/>
    <x v="2251"/>
    <x v="11"/>
    <x v="5"/>
    <x v="5"/>
    <x v="0"/>
    <x v="0"/>
    <x v="1"/>
    <x v="0"/>
    <x v="0"/>
    <x v="0"/>
    <x v="0"/>
    <x v="516"/>
    <x v="102"/>
    <x v="0"/>
  </r>
  <r>
    <x v="2277"/>
    <x v="2252"/>
    <x v="11"/>
    <x v="5"/>
    <x v="5"/>
    <x v="0"/>
    <x v="0"/>
    <x v="1"/>
    <x v="0"/>
    <x v="0"/>
    <x v="0"/>
    <x v="0"/>
    <x v="516"/>
    <x v="102"/>
    <x v="0"/>
  </r>
  <r>
    <x v="2278"/>
    <x v="2253"/>
    <x v="11"/>
    <x v="5"/>
    <x v="5"/>
    <x v="0"/>
    <x v="0"/>
    <x v="1"/>
    <x v="0"/>
    <x v="0"/>
    <x v="0"/>
    <x v="0"/>
    <x v="516"/>
    <x v="102"/>
    <x v="0"/>
  </r>
  <r>
    <x v="2279"/>
    <x v="2254"/>
    <x v="2"/>
    <x v="3"/>
    <x v="3"/>
    <x v="0"/>
    <x v="0"/>
    <x v="8"/>
    <x v="0"/>
    <x v="0"/>
    <x v="0"/>
    <x v="0"/>
    <x v="516"/>
    <x v="0"/>
    <x v="0"/>
  </r>
  <r>
    <x v="2280"/>
    <x v="2255"/>
    <x v="1"/>
    <x v="5"/>
    <x v="5"/>
    <x v="0"/>
    <x v="0"/>
    <x v="1"/>
    <x v="0"/>
    <x v="0"/>
    <x v="0"/>
    <x v="0"/>
    <x v="516"/>
    <x v="104"/>
    <x v="0"/>
  </r>
  <r>
    <x v="2281"/>
    <x v="2256"/>
    <x v="4"/>
    <x v="5"/>
    <x v="5"/>
    <x v="0"/>
    <x v="0"/>
    <x v="1"/>
    <x v="0"/>
    <x v="0"/>
    <x v="30"/>
    <x v="73"/>
    <x v="516"/>
    <x v="106"/>
    <x v="0"/>
  </r>
  <r>
    <x v="2282"/>
    <x v="2257"/>
    <x v="1"/>
    <x v="5"/>
    <x v="5"/>
    <x v="0"/>
    <x v="0"/>
    <x v="1"/>
    <x v="0"/>
    <x v="0"/>
    <x v="0"/>
    <x v="0"/>
    <x v="516"/>
    <x v="104"/>
    <x v="0"/>
  </r>
  <r>
    <x v="2283"/>
    <x v="2258"/>
    <x v="1"/>
    <x v="5"/>
    <x v="5"/>
    <x v="0"/>
    <x v="0"/>
    <x v="3"/>
    <x v="0"/>
    <x v="0"/>
    <x v="0"/>
    <x v="0"/>
    <x v="516"/>
    <x v="102"/>
    <x v="0"/>
  </r>
  <r>
    <x v="2284"/>
    <x v="2259"/>
    <x v="1"/>
    <x v="5"/>
    <x v="5"/>
    <x v="0"/>
    <x v="0"/>
    <x v="3"/>
    <x v="0"/>
    <x v="0"/>
    <x v="0"/>
    <x v="0"/>
    <x v="516"/>
    <x v="102"/>
    <x v="0"/>
  </r>
  <r>
    <x v="2285"/>
    <x v="2260"/>
    <x v="9"/>
    <x v="0"/>
    <x v="0"/>
    <x v="0"/>
    <x v="0"/>
    <x v="15"/>
    <x v="0"/>
    <x v="0"/>
    <x v="0"/>
    <x v="0"/>
    <x v="516"/>
    <x v="0"/>
    <x v="0"/>
  </r>
  <r>
    <x v="2286"/>
    <x v="2261"/>
    <x v="9"/>
    <x v="0"/>
    <x v="0"/>
    <x v="0"/>
    <x v="0"/>
    <x v="15"/>
    <x v="0"/>
    <x v="0"/>
    <x v="0"/>
    <x v="0"/>
    <x v="516"/>
    <x v="0"/>
    <x v="0"/>
  </r>
  <r>
    <x v="2287"/>
    <x v="2262"/>
    <x v="9"/>
    <x v="0"/>
    <x v="0"/>
    <x v="0"/>
    <x v="0"/>
    <x v="15"/>
    <x v="0"/>
    <x v="0"/>
    <x v="0"/>
    <x v="0"/>
    <x v="516"/>
    <x v="0"/>
    <x v="0"/>
  </r>
  <r>
    <x v="2288"/>
    <x v="2263"/>
    <x v="9"/>
    <x v="0"/>
    <x v="0"/>
    <x v="0"/>
    <x v="0"/>
    <x v="44"/>
    <x v="0"/>
    <x v="0"/>
    <x v="0"/>
    <x v="0"/>
    <x v="516"/>
    <x v="0"/>
    <x v="0"/>
  </r>
  <r>
    <x v="2289"/>
    <x v="2264"/>
    <x v="1"/>
    <x v="3"/>
    <x v="3"/>
    <x v="0"/>
    <x v="0"/>
    <x v="45"/>
    <x v="0"/>
    <x v="0"/>
    <x v="0"/>
    <x v="0"/>
    <x v="517"/>
    <x v="0"/>
    <x v="0"/>
  </r>
  <r>
    <x v="2290"/>
    <x v="2265"/>
    <x v="4"/>
    <x v="3"/>
    <x v="3"/>
    <x v="0"/>
    <x v="0"/>
    <x v="1"/>
    <x v="0"/>
    <x v="0"/>
    <x v="0"/>
    <x v="0"/>
    <x v="518"/>
    <x v="113"/>
    <x v="0"/>
  </r>
  <r>
    <x v="2291"/>
    <x v="2266"/>
    <x v="4"/>
    <x v="3"/>
    <x v="3"/>
    <x v="0"/>
    <x v="0"/>
    <x v="0"/>
    <x v="0"/>
    <x v="0"/>
    <x v="0"/>
    <x v="0"/>
    <x v="519"/>
    <x v="114"/>
    <x v="0"/>
  </r>
  <r>
    <x v="2292"/>
    <x v="2267"/>
    <x v="4"/>
    <x v="5"/>
    <x v="5"/>
    <x v="0"/>
    <x v="0"/>
    <x v="0"/>
    <x v="0"/>
    <x v="0"/>
    <x v="36"/>
    <x v="77"/>
    <x v="520"/>
    <x v="115"/>
    <x v="0"/>
  </r>
  <r>
    <x v="2293"/>
    <x v="2268"/>
    <x v="9"/>
    <x v="0"/>
    <x v="0"/>
    <x v="0"/>
    <x v="0"/>
    <x v="15"/>
    <x v="0"/>
    <x v="0"/>
    <x v="0"/>
    <x v="0"/>
    <x v="520"/>
    <x v="0"/>
    <x v="0"/>
  </r>
  <r>
    <x v="2294"/>
    <x v="2269"/>
    <x v="1"/>
    <x v="5"/>
    <x v="5"/>
    <x v="0"/>
    <x v="0"/>
    <x v="0"/>
    <x v="0"/>
    <x v="0"/>
    <x v="0"/>
    <x v="0"/>
    <x v="521"/>
    <x v="115"/>
    <x v="0"/>
  </r>
  <r>
    <x v="2295"/>
    <x v="2270"/>
    <x v="1"/>
    <x v="5"/>
    <x v="5"/>
    <x v="0"/>
    <x v="0"/>
    <x v="3"/>
    <x v="0"/>
    <x v="0"/>
    <x v="23"/>
    <x v="0"/>
    <x v="521"/>
    <x v="104"/>
    <x v="0"/>
  </r>
  <r>
    <x v="2296"/>
    <x v="2271"/>
    <x v="1"/>
    <x v="5"/>
    <x v="5"/>
    <x v="0"/>
    <x v="0"/>
    <x v="3"/>
    <x v="0"/>
    <x v="0"/>
    <x v="23"/>
    <x v="0"/>
    <x v="521"/>
    <x v="106"/>
    <x v="0"/>
  </r>
  <r>
    <x v="2297"/>
    <x v="2272"/>
    <x v="1"/>
    <x v="5"/>
    <x v="5"/>
    <x v="0"/>
    <x v="0"/>
    <x v="3"/>
    <x v="0"/>
    <x v="0"/>
    <x v="0"/>
    <x v="0"/>
    <x v="521"/>
    <x v="103"/>
    <x v="0"/>
  </r>
  <r>
    <x v="2298"/>
    <x v="2273"/>
    <x v="1"/>
    <x v="3"/>
    <x v="3"/>
    <x v="0"/>
    <x v="0"/>
    <x v="0"/>
    <x v="0"/>
    <x v="0"/>
    <x v="0"/>
    <x v="0"/>
    <x v="522"/>
    <x v="0"/>
    <x v="0"/>
  </r>
  <r>
    <x v="2299"/>
    <x v="2274"/>
    <x v="4"/>
    <x v="5"/>
    <x v="5"/>
    <x v="0"/>
    <x v="0"/>
    <x v="0"/>
    <x v="0"/>
    <x v="0"/>
    <x v="36"/>
    <x v="78"/>
    <x v="523"/>
    <x v="116"/>
    <x v="0"/>
  </r>
  <r>
    <x v="2300"/>
    <x v="2275"/>
    <x v="4"/>
    <x v="5"/>
    <x v="5"/>
    <x v="0"/>
    <x v="0"/>
    <x v="0"/>
    <x v="0"/>
    <x v="0"/>
    <x v="36"/>
    <x v="78"/>
    <x v="523"/>
    <x v="116"/>
    <x v="0"/>
  </r>
  <r>
    <x v="2301"/>
    <x v="2276"/>
    <x v="4"/>
    <x v="2"/>
    <x v="2"/>
    <x v="0"/>
    <x v="0"/>
    <x v="7"/>
    <x v="0"/>
    <x v="0"/>
    <x v="28"/>
    <x v="0"/>
    <x v="523"/>
    <x v="81"/>
    <x v="0"/>
  </r>
  <r>
    <x v="2302"/>
    <x v="2277"/>
    <x v="1"/>
    <x v="3"/>
    <x v="3"/>
    <x v="0"/>
    <x v="0"/>
    <x v="3"/>
    <x v="0"/>
    <x v="0"/>
    <x v="0"/>
    <x v="0"/>
    <x v="524"/>
    <x v="99"/>
    <x v="0"/>
  </r>
  <r>
    <x v="2303"/>
    <x v="2278"/>
    <x v="4"/>
    <x v="2"/>
    <x v="2"/>
    <x v="0"/>
    <x v="0"/>
    <x v="0"/>
    <x v="0"/>
    <x v="0"/>
    <x v="24"/>
    <x v="0"/>
    <x v="525"/>
    <x v="115"/>
    <x v="0"/>
  </r>
  <r>
    <x v="2304"/>
    <x v="2279"/>
    <x v="4"/>
    <x v="2"/>
    <x v="2"/>
    <x v="0"/>
    <x v="0"/>
    <x v="0"/>
    <x v="0"/>
    <x v="0"/>
    <x v="24"/>
    <x v="0"/>
    <x v="525"/>
    <x v="115"/>
    <x v="0"/>
  </r>
  <r>
    <x v="2305"/>
    <x v="2280"/>
    <x v="1"/>
    <x v="3"/>
    <x v="3"/>
    <x v="0"/>
    <x v="0"/>
    <x v="0"/>
    <x v="0"/>
    <x v="0"/>
    <x v="0"/>
    <x v="0"/>
    <x v="525"/>
    <x v="0"/>
    <x v="0"/>
  </r>
  <r>
    <x v="2306"/>
    <x v="2281"/>
    <x v="1"/>
    <x v="3"/>
    <x v="3"/>
    <x v="0"/>
    <x v="0"/>
    <x v="5"/>
    <x v="0"/>
    <x v="0"/>
    <x v="0"/>
    <x v="0"/>
    <x v="525"/>
    <x v="0"/>
    <x v="0"/>
  </r>
  <r>
    <x v="2307"/>
    <x v="2282"/>
    <x v="4"/>
    <x v="5"/>
    <x v="5"/>
    <x v="0"/>
    <x v="0"/>
    <x v="2"/>
    <x v="0"/>
    <x v="0"/>
    <x v="36"/>
    <x v="79"/>
    <x v="525"/>
    <x v="104"/>
    <x v="0"/>
  </r>
  <r>
    <x v="2308"/>
    <x v="2283"/>
    <x v="1"/>
    <x v="5"/>
    <x v="5"/>
    <x v="0"/>
    <x v="0"/>
    <x v="9"/>
    <x v="0"/>
    <x v="0"/>
    <x v="0"/>
    <x v="0"/>
    <x v="526"/>
    <x v="0"/>
    <x v="0"/>
  </r>
  <r>
    <x v="2309"/>
    <x v="2284"/>
    <x v="4"/>
    <x v="5"/>
    <x v="5"/>
    <x v="0"/>
    <x v="0"/>
    <x v="0"/>
    <x v="0"/>
    <x v="0"/>
    <x v="36"/>
    <x v="78"/>
    <x v="527"/>
    <x v="116"/>
    <x v="0"/>
  </r>
  <r>
    <x v="2310"/>
    <x v="2285"/>
    <x v="1"/>
    <x v="5"/>
    <x v="5"/>
    <x v="0"/>
    <x v="0"/>
    <x v="21"/>
    <x v="0"/>
    <x v="0"/>
    <x v="0"/>
    <x v="0"/>
    <x v="528"/>
    <x v="0"/>
    <x v="0"/>
  </r>
  <r>
    <x v="2311"/>
    <x v="2286"/>
    <x v="1"/>
    <x v="3"/>
    <x v="3"/>
    <x v="0"/>
    <x v="0"/>
    <x v="0"/>
    <x v="0"/>
    <x v="0"/>
    <x v="0"/>
    <x v="0"/>
    <x v="529"/>
    <x v="0"/>
    <x v="0"/>
  </r>
  <r>
    <x v="2312"/>
    <x v="2287"/>
    <x v="1"/>
    <x v="3"/>
    <x v="3"/>
    <x v="0"/>
    <x v="0"/>
    <x v="0"/>
    <x v="0"/>
    <x v="0"/>
    <x v="0"/>
    <x v="0"/>
    <x v="529"/>
    <x v="0"/>
    <x v="0"/>
  </r>
  <r>
    <x v="2313"/>
    <x v="2288"/>
    <x v="1"/>
    <x v="3"/>
    <x v="3"/>
    <x v="0"/>
    <x v="0"/>
    <x v="0"/>
    <x v="0"/>
    <x v="0"/>
    <x v="0"/>
    <x v="0"/>
    <x v="529"/>
    <x v="0"/>
    <x v="0"/>
  </r>
  <r>
    <x v="2314"/>
    <x v="2289"/>
    <x v="1"/>
    <x v="3"/>
    <x v="3"/>
    <x v="0"/>
    <x v="0"/>
    <x v="0"/>
    <x v="0"/>
    <x v="0"/>
    <x v="0"/>
    <x v="0"/>
    <x v="529"/>
    <x v="0"/>
    <x v="0"/>
  </r>
  <r>
    <x v="2315"/>
    <x v="2290"/>
    <x v="4"/>
    <x v="1"/>
    <x v="1"/>
    <x v="0"/>
    <x v="0"/>
    <x v="0"/>
    <x v="0"/>
    <x v="0"/>
    <x v="0"/>
    <x v="0"/>
    <x v="530"/>
    <x v="0"/>
    <x v="0"/>
  </r>
  <r>
    <x v="2316"/>
    <x v="2291"/>
    <x v="11"/>
    <x v="2"/>
    <x v="2"/>
    <x v="0"/>
    <x v="0"/>
    <x v="0"/>
    <x v="0"/>
    <x v="0"/>
    <x v="0"/>
    <x v="0"/>
    <x v="531"/>
    <x v="0"/>
    <x v="0"/>
  </r>
  <r>
    <x v="2317"/>
    <x v="2292"/>
    <x v="9"/>
    <x v="0"/>
    <x v="0"/>
    <x v="0"/>
    <x v="0"/>
    <x v="15"/>
    <x v="0"/>
    <x v="0"/>
    <x v="0"/>
    <x v="0"/>
    <x v="532"/>
    <x v="0"/>
    <x v="0"/>
  </r>
  <r>
    <x v="2318"/>
    <x v="2293"/>
    <x v="9"/>
    <x v="0"/>
    <x v="0"/>
    <x v="0"/>
    <x v="0"/>
    <x v="40"/>
    <x v="0"/>
    <x v="0"/>
    <x v="0"/>
    <x v="0"/>
    <x v="533"/>
    <x v="102"/>
    <x v="0"/>
  </r>
  <r>
    <x v="2319"/>
    <x v="2294"/>
    <x v="2"/>
    <x v="0"/>
    <x v="0"/>
    <x v="0"/>
    <x v="0"/>
    <x v="46"/>
    <x v="0"/>
    <x v="0"/>
    <x v="0"/>
    <x v="0"/>
    <x v="533"/>
    <x v="102"/>
    <x v="0"/>
  </r>
  <r>
    <x v="2320"/>
    <x v="2295"/>
    <x v="4"/>
    <x v="3"/>
    <x v="3"/>
    <x v="0"/>
    <x v="0"/>
    <x v="3"/>
    <x v="0"/>
    <x v="0"/>
    <x v="13"/>
    <x v="0"/>
    <x v="533"/>
    <x v="117"/>
    <x v="0"/>
  </r>
  <r>
    <x v="2321"/>
    <x v="2296"/>
    <x v="4"/>
    <x v="5"/>
    <x v="5"/>
    <x v="0"/>
    <x v="0"/>
    <x v="0"/>
    <x v="0"/>
    <x v="0"/>
    <x v="36"/>
    <x v="80"/>
    <x v="533"/>
    <x v="118"/>
    <x v="0"/>
  </r>
  <r>
    <x v="2322"/>
    <x v="2297"/>
    <x v="1"/>
    <x v="3"/>
    <x v="3"/>
    <x v="0"/>
    <x v="0"/>
    <x v="3"/>
    <x v="0"/>
    <x v="0"/>
    <x v="0"/>
    <x v="0"/>
    <x v="533"/>
    <x v="114"/>
    <x v="0"/>
  </r>
  <r>
    <x v="2323"/>
    <x v="2298"/>
    <x v="1"/>
    <x v="3"/>
    <x v="3"/>
    <x v="0"/>
    <x v="0"/>
    <x v="0"/>
    <x v="0"/>
    <x v="0"/>
    <x v="0"/>
    <x v="0"/>
    <x v="534"/>
    <x v="0"/>
    <x v="0"/>
  </r>
  <r>
    <x v="2324"/>
    <x v="2299"/>
    <x v="1"/>
    <x v="3"/>
    <x v="3"/>
    <x v="0"/>
    <x v="0"/>
    <x v="0"/>
    <x v="0"/>
    <x v="0"/>
    <x v="0"/>
    <x v="0"/>
    <x v="535"/>
    <x v="0"/>
    <x v="0"/>
  </r>
  <r>
    <x v="2325"/>
    <x v="2300"/>
    <x v="1"/>
    <x v="3"/>
    <x v="3"/>
    <x v="0"/>
    <x v="0"/>
    <x v="0"/>
    <x v="0"/>
    <x v="0"/>
    <x v="0"/>
    <x v="0"/>
    <x v="535"/>
    <x v="0"/>
    <x v="0"/>
  </r>
  <r>
    <x v="2326"/>
    <x v="2301"/>
    <x v="1"/>
    <x v="3"/>
    <x v="3"/>
    <x v="0"/>
    <x v="0"/>
    <x v="0"/>
    <x v="0"/>
    <x v="0"/>
    <x v="0"/>
    <x v="0"/>
    <x v="535"/>
    <x v="0"/>
    <x v="0"/>
  </r>
  <r>
    <x v="2327"/>
    <x v="2302"/>
    <x v="2"/>
    <x v="2"/>
    <x v="2"/>
    <x v="0"/>
    <x v="0"/>
    <x v="47"/>
    <x v="0"/>
    <x v="0"/>
    <x v="17"/>
    <x v="0"/>
    <x v="536"/>
    <x v="0"/>
    <x v="0"/>
  </r>
  <r>
    <x v="2328"/>
    <x v="2303"/>
    <x v="1"/>
    <x v="5"/>
    <x v="5"/>
    <x v="0"/>
    <x v="0"/>
    <x v="15"/>
    <x v="0"/>
    <x v="0"/>
    <x v="0"/>
    <x v="0"/>
    <x v="536"/>
    <x v="0"/>
    <x v="0"/>
  </r>
  <r>
    <x v="2329"/>
    <x v="2304"/>
    <x v="1"/>
    <x v="5"/>
    <x v="5"/>
    <x v="0"/>
    <x v="0"/>
    <x v="0"/>
    <x v="0"/>
    <x v="0"/>
    <x v="0"/>
    <x v="0"/>
    <x v="537"/>
    <x v="0"/>
    <x v="0"/>
  </r>
  <r>
    <x v="2330"/>
    <x v="2305"/>
    <x v="1"/>
    <x v="5"/>
    <x v="5"/>
    <x v="0"/>
    <x v="0"/>
    <x v="0"/>
    <x v="0"/>
    <x v="0"/>
    <x v="0"/>
    <x v="0"/>
    <x v="537"/>
    <x v="0"/>
    <x v="0"/>
  </r>
  <r>
    <x v="2331"/>
    <x v="2306"/>
    <x v="1"/>
    <x v="5"/>
    <x v="5"/>
    <x v="0"/>
    <x v="0"/>
    <x v="0"/>
    <x v="0"/>
    <x v="0"/>
    <x v="0"/>
    <x v="0"/>
    <x v="538"/>
    <x v="103"/>
    <x v="0"/>
  </r>
  <r>
    <x v="2332"/>
    <x v="2307"/>
    <x v="4"/>
    <x v="2"/>
    <x v="2"/>
    <x v="0"/>
    <x v="0"/>
    <x v="0"/>
    <x v="0"/>
    <x v="0"/>
    <x v="0"/>
    <x v="0"/>
    <x v="538"/>
    <x v="0"/>
    <x v="0"/>
  </r>
  <r>
    <x v="2333"/>
    <x v="2308"/>
    <x v="1"/>
    <x v="3"/>
    <x v="3"/>
    <x v="0"/>
    <x v="0"/>
    <x v="0"/>
    <x v="0"/>
    <x v="0"/>
    <x v="0"/>
    <x v="0"/>
    <x v="539"/>
    <x v="0"/>
    <x v="0"/>
  </r>
  <r>
    <x v="2334"/>
    <x v="2309"/>
    <x v="1"/>
    <x v="3"/>
    <x v="3"/>
    <x v="0"/>
    <x v="0"/>
    <x v="0"/>
    <x v="0"/>
    <x v="0"/>
    <x v="0"/>
    <x v="0"/>
    <x v="540"/>
    <x v="0"/>
    <x v="0"/>
  </r>
  <r>
    <x v="2335"/>
    <x v="2310"/>
    <x v="1"/>
    <x v="3"/>
    <x v="3"/>
    <x v="0"/>
    <x v="0"/>
    <x v="0"/>
    <x v="0"/>
    <x v="0"/>
    <x v="0"/>
    <x v="0"/>
    <x v="540"/>
    <x v="0"/>
    <x v="0"/>
  </r>
  <r>
    <x v="2336"/>
    <x v="2311"/>
    <x v="11"/>
    <x v="1"/>
    <x v="1"/>
    <x v="0"/>
    <x v="0"/>
    <x v="0"/>
    <x v="0"/>
    <x v="0"/>
    <x v="0"/>
    <x v="0"/>
    <x v="541"/>
    <x v="0"/>
    <x v="0"/>
  </r>
  <r>
    <x v="2337"/>
    <x v="2312"/>
    <x v="4"/>
    <x v="5"/>
    <x v="5"/>
    <x v="0"/>
    <x v="0"/>
    <x v="0"/>
    <x v="0"/>
    <x v="0"/>
    <x v="36"/>
    <x v="81"/>
    <x v="542"/>
    <x v="119"/>
    <x v="0"/>
  </r>
  <r>
    <x v="2338"/>
    <x v="2313"/>
    <x v="4"/>
    <x v="5"/>
    <x v="5"/>
    <x v="0"/>
    <x v="0"/>
    <x v="0"/>
    <x v="0"/>
    <x v="0"/>
    <x v="36"/>
    <x v="81"/>
    <x v="542"/>
    <x v="119"/>
    <x v="0"/>
  </r>
  <r>
    <x v="2339"/>
    <x v="2314"/>
    <x v="11"/>
    <x v="1"/>
    <x v="1"/>
    <x v="0"/>
    <x v="0"/>
    <x v="0"/>
    <x v="0"/>
    <x v="0"/>
    <x v="0"/>
    <x v="0"/>
    <x v="543"/>
    <x v="0"/>
    <x v="0"/>
  </r>
  <r>
    <x v="2340"/>
    <x v="2315"/>
    <x v="4"/>
    <x v="5"/>
    <x v="5"/>
    <x v="0"/>
    <x v="0"/>
    <x v="0"/>
    <x v="0"/>
    <x v="0"/>
    <x v="22"/>
    <x v="80"/>
    <x v="543"/>
    <x v="119"/>
    <x v="0"/>
  </r>
  <r>
    <x v="2341"/>
    <x v="2316"/>
    <x v="1"/>
    <x v="5"/>
    <x v="5"/>
    <x v="0"/>
    <x v="0"/>
    <x v="5"/>
    <x v="0"/>
    <x v="0"/>
    <x v="0"/>
    <x v="0"/>
    <x v="543"/>
    <x v="103"/>
    <x v="0"/>
  </r>
  <r>
    <x v="2342"/>
    <x v="2317"/>
    <x v="4"/>
    <x v="5"/>
    <x v="5"/>
    <x v="0"/>
    <x v="0"/>
    <x v="0"/>
    <x v="0"/>
    <x v="0"/>
    <x v="0"/>
    <x v="0"/>
    <x v="544"/>
    <x v="119"/>
    <x v="0"/>
  </r>
  <r>
    <x v="2343"/>
    <x v="2318"/>
    <x v="4"/>
    <x v="5"/>
    <x v="5"/>
    <x v="0"/>
    <x v="0"/>
    <x v="3"/>
    <x v="0"/>
    <x v="0"/>
    <x v="36"/>
    <x v="0"/>
    <x v="544"/>
    <x v="0"/>
    <x v="0"/>
  </r>
  <r>
    <x v="2344"/>
    <x v="2319"/>
    <x v="1"/>
    <x v="3"/>
    <x v="3"/>
    <x v="0"/>
    <x v="0"/>
    <x v="0"/>
    <x v="0"/>
    <x v="0"/>
    <x v="0"/>
    <x v="0"/>
    <x v="544"/>
    <x v="0"/>
    <x v="0"/>
  </r>
  <r>
    <x v="2345"/>
    <x v="2320"/>
    <x v="4"/>
    <x v="5"/>
    <x v="5"/>
    <x v="0"/>
    <x v="0"/>
    <x v="0"/>
    <x v="0"/>
    <x v="0"/>
    <x v="22"/>
    <x v="80"/>
    <x v="545"/>
    <x v="0"/>
    <x v="0"/>
  </r>
  <r>
    <x v="2346"/>
    <x v="2321"/>
    <x v="1"/>
    <x v="3"/>
    <x v="3"/>
    <x v="0"/>
    <x v="0"/>
    <x v="0"/>
    <x v="0"/>
    <x v="0"/>
    <x v="0"/>
    <x v="0"/>
    <x v="545"/>
    <x v="0"/>
    <x v="0"/>
  </r>
  <r>
    <x v="2347"/>
    <x v="2322"/>
    <x v="4"/>
    <x v="5"/>
    <x v="5"/>
    <x v="0"/>
    <x v="0"/>
    <x v="0"/>
    <x v="0"/>
    <x v="0"/>
    <x v="22"/>
    <x v="0"/>
    <x v="546"/>
    <x v="0"/>
    <x v="0"/>
  </r>
  <r>
    <x v="2348"/>
    <x v="2323"/>
    <x v="11"/>
    <x v="2"/>
    <x v="2"/>
    <x v="0"/>
    <x v="0"/>
    <x v="0"/>
    <x v="0"/>
    <x v="0"/>
    <x v="0"/>
    <x v="0"/>
    <x v="547"/>
    <x v="0"/>
    <x v="0"/>
  </r>
  <r>
    <x v="2349"/>
    <x v="2324"/>
    <x v="11"/>
    <x v="2"/>
    <x v="2"/>
    <x v="0"/>
    <x v="0"/>
    <x v="0"/>
    <x v="0"/>
    <x v="0"/>
    <x v="0"/>
    <x v="0"/>
    <x v="547"/>
    <x v="0"/>
    <x v="0"/>
  </r>
  <r>
    <x v="2350"/>
    <x v="2325"/>
    <x v="11"/>
    <x v="2"/>
    <x v="2"/>
    <x v="0"/>
    <x v="0"/>
    <x v="0"/>
    <x v="0"/>
    <x v="0"/>
    <x v="0"/>
    <x v="0"/>
    <x v="547"/>
    <x v="0"/>
    <x v="0"/>
  </r>
  <r>
    <x v="2351"/>
    <x v="2326"/>
    <x v="4"/>
    <x v="2"/>
    <x v="2"/>
    <x v="0"/>
    <x v="0"/>
    <x v="0"/>
    <x v="0"/>
    <x v="0"/>
    <x v="0"/>
    <x v="0"/>
    <x v="547"/>
    <x v="0"/>
    <x v="0"/>
  </r>
  <r>
    <x v="2352"/>
    <x v="2327"/>
    <x v="11"/>
    <x v="2"/>
    <x v="2"/>
    <x v="0"/>
    <x v="0"/>
    <x v="0"/>
    <x v="0"/>
    <x v="0"/>
    <x v="0"/>
    <x v="0"/>
    <x v="547"/>
    <x v="0"/>
    <x v="0"/>
  </r>
  <r>
    <x v="2353"/>
    <x v="2328"/>
    <x v="1"/>
    <x v="3"/>
    <x v="3"/>
    <x v="0"/>
    <x v="0"/>
    <x v="0"/>
    <x v="0"/>
    <x v="0"/>
    <x v="0"/>
    <x v="0"/>
    <x v="548"/>
    <x v="120"/>
    <x v="0"/>
  </r>
  <r>
    <x v="2354"/>
    <x v="2329"/>
    <x v="1"/>
    <x v="3"/>
    <x v="3"/>
    <x v="0"/>
    <x v="0"/>
    <x v="0"/>
    <x v="0"/>
    <x v="0"/>
    <x v="0"/>
    <x v="0"/>
    <x v="548"/>
    <x v="120"/>
    <x v="0"/>
  </r>
  <r>
    <x v="2355"/>
    <x v="2330"/>
    <x v="4"/>
    <x v="5"/>
    <x v="5"/>
    <x v="0"/>
    <x v="0"/>
    <x v="7"/>
    <x v="0"/>
    <x v="0"/>
    <x v="36"/>
    <x v="82"/>
    <x v="549"/>
    <x v="0"/>
    <x v="0"/>
  </r>
  <r>
    <x v="2356"/>
    <x v="2331"/>
    <x v="1"/>
    <x v="3"/>
    <x v="3"/>
    <x v="0"/>
    <x v="0"/>
    <x v="0"/>
    <x v="0"/>
    <x v="0"/>
    <x v="0"/>
    <x v="0"/>
    <x v="549"/>
    <x v="0"/>
    <x v="0"/>
  </r>
  <r>
    <x v="2357"/>
    <x v="2332"/>
    <x v="1"/>
    <x v="3"/>
    <x v="3"/>
    <x v="0"/>
    <x v="0"/>
    <x v="0"/>
    <x v="0"/>
    <x v="0"/>
    <x v="0"/>
    <x v="0"/>
    <x v="549"/>
    <x v="0"/>
    <x v="0"/>
  </r>
  <r>
    <x v="2358"/>
    <x v="2333"/>
    <x v="1"/>
    <x v="5"/>
    <x v="5"/>
    <x v="0"/>
    <x v="0"/>
    <x v="10"/>
    <x v="0"/>
    <x v="0"/>
    <x v="0"/>
    <x v="0"/>
    <x v="550"/>
    <x v="0"/>
    <x v="0"/>
  </r>
  <r>
    <x v="2359"/>
    <x v="2334"/>
    <x v="1"/>
    <x v="5"/>
    <x v="5"/>
    <x v="0"/>
    <x v="0"/>
    <x v="2"/>
    <x v="0"/>
    <x v="0"/>
    <x v="0"/>
    <x v="0"/>
    <x v="550"/>
    <x v="0"/>
    <x v="0"/>
  </r>
  <r>
    <x v="2360"/>
    <x v="2335"/>
    <x v="4"/>
    <x v="5"/>
    <x v="5"/>
    <x v="0"/>
    <x v="0"/>
    <x v="2"/>
    <x v="0"/>
    <x v="0"/>
    <x v="37"/>
    <x v="0"/>
    <x v="550"/>
    <x v="0"/>
    <x v="0"/>
  </r>
  <r>
    <x v="2361"/>
    <x v="2336"/>
    <x v="4"/>
    <x v="5"/>
    <x v="5"/>
    <x v="0"/>
    <x v="0"/>
    <x v="5"/>
    <x v="0"/>
    <x v="0"/>
    <x v="35"/>
    <x v="83"/>
    <x v="550"/>
    <x v="121"/>
    <x v="0"/>
  </r>
  <r>
    <x v="2362"/>
    <x v="2337"/>
    <x v="4"/>
    <x v="5"/>
    <x v="5"/>
    <x v="0"/>
    <x v="0"/>
    <x v="0"/>
    <x v="0"/>
    <x v="0"/>
    <x v="36"/>
    <x v="83"/>
    <x v="551"/>
    <x v="121"/>
    <x v="0"/>
  </r>
  <r>
    <x v="2363"/>
    <x v="2338"/>
    <x v="11"/>
    <x v="2"/>
    <x v="2"/>
    <x v="0"/>
    <x v="0"/>
    <x v="0"/>
    <x v="0"/>
    <x v="0"/>
    <x v="0"/>
    <x v="0"/>
    <x v="551"/>
    <x v="0"/>
    <x v="0"/>
  </r>
  <r>
    <x v="2364"/>
    <x v="2339"/>
    <x v="4"/>
    <x v="5"/>
    <x v="5"/>
    <x v="0"/>
    <x v="0"/>
    <x v="0"/>
    <x v="0"/>
    <x v="0"/>
    <x v="36"/>
    <x v="83"/>
    <x v="551"/>
    <x v="122"/>
    <x v="0"/>
  </r>
  <r>
    <x v="2365"/>
    <x v="2340"/>
    <x v="0"/>
    <x v="0"/>
    <x v="0"/>
    <x v="0"/>
    <x v="0"/>
    <x v="0"/>
    <x v="0"/>
    <x v="0"/>
    <x v="0"/>
    <x v="0"/>
    <x v="552"/>
    <x v="0"/>
    <x v="0"/>
  </r>
  <r>
    <x v="2366"/>
    <x v="2341"/>
    <x v="1"/>
    <x v="3"/>
    <x v="3"/>
    <x v="0"/>
    <x v="0"/>
    <x v="27"/>
    <x v="0"/>
    <x v="0"/>
    <x v="16"/>
    <x v="0"/>
    <x v="552"/>
    <x v="0"/>
    <x v="0"/>
  </r>
  <r>
    <x v="2367"/>
    <x v="2342"/>
    <x v="1"/>
    <x v="3"/>
    <x v="3"/>
    <x v="0"/>
    <x v="0"/>
    <x v="0"/>
    <x v="0"/>
    <x v="0"/>
    <x v="0"/>
    <x v="0"/>
    <x v="553"/>
    <x v="0"/>
    <x v="0"/>
  </r>
  <r>
    <x v="2368"/>
    <x v="2343"/>
    <x v="1"/>
    <x v="3"/>
    <x v="3"/>
    <x v="0"/>
    <x v="0"/>
    <x v="0"/>
    <x v="0"/>
    <x v="0"/>
    <x v="0"/>
    <x v="0"/>
    <x v="553"/>
    <x v="0"/>
    <x v="0"/>
  </r>
  <r>
    <x v="2369"/>
    <x v="2344"/>
    <x v="2"/>
    <x v="5"/>
    <x v="5"/>
    <x v="0"/>
    <x v="0"/>
    <x v="0"/>
    <x v="0"/>
    <x v="0"/>
    <x v="22"/>
    <x v="0"/>
    <x v="553"/>
    <x v="122"/>
    <x v="0"/>
  </r>
  <r>
    <x v="2370"/>
    <x v="2345"/>
    <x v="11"/>
    <x v="1"/>
    <x v="1"/>
    <x v="0"/>
    <x v="0"/>
    <x v="0"/>
    <x v="0"/>
    <x v="0"/>
    <x v="0"/>
    <x v="0"/>
    <x v="554"/>
    <x v="0"/>
    <x v="0"/>
  </r>
  <r>
    <x v="2371"/>
    <x v="2346"/>
    <x v="4"/>
    <x v="3"/>
    <x v="3"/>
    <x v="0"/>
    <x v="0"/>
    <x v="0"/>
    <x v="0"/>
    <x v="0"/>
    <x v="19"/>
    <x v="0"/>
    <x v="554"/>
    <x v="0"/>
    <x v="0"/>
  </r>
  <r>
    <x v="2372"/>
    <x v="2347"/>
    <x v="1"/>
    <x v="3"/>
    <x v="3"/>
    <x v="0"/>
    <x v="0"/>
    <x v="2"/>
    <x v="0"/>
    <x v="0"/>
    <x v="13"/>
    <x v="0"/>
    <x v="555"/>
    <x v="120"/>
    <x v="0"/>
  </r>
  <r>
    <x v="2373"/>
    <x v="2348"/>
    <x v="4"/>
    <x v="5"/>
    <x v="5"/>
    <x v="0"/>
    <x v="0"/>
    <x v="0"/>
    <x v="0"/>
    <x v="0"/>
    <x v="23"/>
    <x v="83"/>
    <x v="556"/>
    <x v="121"/>
    <x v="0"/>
  </r>
  <r>
    <x v="2374"/>
    <x v="2349"/>
    <x v="4"/>
    <x v="5"/>
    <x v="5"/>
    <x v="0"/>
    <x v="0"/>
    <x v="6"/>
    <x v="0"/>
    <x v="0"/>
    <x v="37"/>
    <x v="0"/>
    <x v="557"/>
    <x v="119"/>
    <x v="0"/>
  </r>
  <r>
    <x v="2375"/>
    <x v="2350"/>
    <x v="4"/>
    <x v="5"/>
    <x v="5"/>
    <x v="0"/>
    <x v="0"/>
    <x v="0"/>
    <x v="0"/>
    <x v="0"/>
    <x v="0"/>
    <x v="80"/>
    <x v="558"/>
    <x v="118"/>
    <x v="0"/>
  </r>
  <r>
    <x v="2376"/>
    <x v="2351"/>
    <x v="1"/>
    <x v="5"/>
    <x v="5"/>
    <x v="0"/>
    <x v="0"/>
    <x v="2"/>
    <x v="0"/>
    <x v="0"/>
    <x v="0"/>
    <x v="83"/>
    <x v="559"/>
    <x v="0"/>
    <x v="0"/>
  </r>
  <r>
    <x v="2377"/>
    <x v="2352"/>
    <x v="4"/>
    <x v="5"/>
    <x v="5"/>
    <x v="0"/>
    <x v="0"/>
    <x v="0"/>
    <x v="0"/>
    <x v="0"/>
    <x v="0"/>
    <x v="83"/>
    <x v="559"/>
    <x v="0"/>
    <x v="0"/>
  </r>
  <r>
    <x v="2378"/>
    <x v="2353"/>
    <x v="4"/>
    <x v="5"/>
    <x v="5"/>
    <x v="0"/>
    <x v="0"/>
    <x v="0"/>
    <x v="0"/>
    <x v="0"/>
    <x v="0"/>
    <x v="0"/>
    <x v="560"/>
    <x v="0"/>
    <x v="0"/>
  </r>
  <r>
    <x v="2379"/>
    <x v="2354"/>
    <x v="1"/>
    <x v="3"/>
    <x v="3"/>
    <x v="0"/>
    <x v="0"/>
    <x v="0"/>
    <x v="0"/>
    <x v="0"/>
    <x v="0"/>
    <x v="0"/>
    <x v="560"/>
    <x v="0"/>
    <x v="0"/>
  </r>
  <r>
    <x v="2380"/>
    <x v="2355"/>
    <x v="1"/>
    <x v="5"/>
    <x v="5"/>
    <x v="0"/>
    <x v="0"/>
    <x v="48"/>
    <x v="0"/>
    <x v="0"/>
    <x v="37"/>
    <x v="0"/>
    <x v="560"/>
    <x v="0"/>
    <x v="0"/>
  </r>
  <r>
    <x v="2381"/>
    <x v="2356"/>
    <x v="0"/>
    <x v="0"/>
    <x v="0"/>
    <x v="0"/>
    <x v="0"/>
    <x v="0"/>
    <x v="0"/>
    <x v="0"/>
    <x v="0"/>
    <x v="0"/>
    <x v="560"/>
    <x v="0"/>
    <x v="0"/>
  </r>
  <r>
    <x v="2382"/>
    <x v="2357"/>
    <x v="11"/>
    <x v="1"/>
    <x v="1"/>
    <x v="0"/>
    <x v="0"/>
    <x v="0"/>
    <x v="0"/>
    <x v="0"/>
    <x v="0"/>
    <x v="0"/>
    <x v="561"/>
    <x v="0"/>
    <x v="0"/>
  </r>
  <r>
    <x v="2383"/>
    <x v="2358"/>
    <x v="1"/>
    <x v="5"/>
    <x v="5"/>
    <x v="0"/>
    <x v="0"/>
    <x v="2"/>
    <x v="0"/>
    <x v="0"/>
    <x v="0"/>
    <x v="0"/>
    <x v="562"/>
    <x v="0"/>
    <x v="0"/>
  </r>
  <r>
    <x v="2384"/>
    <x v="2359"/>
    <x v="4"/>
    <x v="5"/>
    <x v="5"/>
    <x v="0"/>
    <x v="0"/>
    <x v="0"/>
    <x v="0"/>
    <x v="0"/>
    <x v="35"/>
    <x v="0"/>
    <x v="563"/>
    <x v="123"/>
    <x v="0"/>
  </r>
  <r>
    <x v="2385"/>
    <x v="2360"/>
    <x v="1"/>
    <x v="5"/>
    <x v="5"/>
    <x v="0"/>
    <x v="0"/>
    <x v="3"/>
    <x v="0"/>
    <x v="0"/>
    <x v="0"/>
    <x v="84"/>
    <x v="564"/>
    <x v="0"/>
    <x v="0"/>
  </r>
  <r>
    <x v="2386"/>
    <x v="2361"/>
    <x v="4"/>
    <x v="5"/>
    <x v="5"/>
    <x v="0"/>
    <x v="0"/>
    <x v="0"/>
    <x v="0"/>
    <x v="0"/>
    <x v="0"/>
    <x v="0"/>
    <x v="564"/>
    <x v="0"/>
    <x v="0"/>
  </r>
  <r>
    <x v="2387"/>
    <x v="2362"/>
    <x v="1"/>
    <x v="5"/>
    <x v="5"/>
    <x v="0"/>
    <x v="0"/>
    <x v="6"/>
    <x v="0"/>
    <x v="0"/>
    <x v="0"/>
    <x v="0"/>
    <x v="564"/>
    <x v="0"/>
    <x v="0"/>
  </r>
  <r>
    <x v="2388"/>
    <x v="2363"/>
    <x v="1"/>
    <x v="5"/>
    <x v="5"/>
    <x v="0"/>
    <x v="0"/>
    <x v="0"/>
    <x v="0"/>
    <x v="0"/>
    <x v="22"/>
    <x v="0"/>
    <x v="564"/>
    <x v="124"/>
    <x v="0"/>
  </r>
  <r>
    <x v="2389"/>
    <x v="2364"/>
    <x v="1"/>
    <x v="5"/>
    <x v="5"/>
    <x v="0"/>
    <x v="0"/>
    <x v="0"/>
    <x v="0"/>
    <x v="0"/>
    <x v="22"/>
    <x v="0"/>
    <x v="564"/>
    <x v="124"/>
    <x v="0"/>
  </r>
  <r>
    <x v="2390"/>
    <x v="2365"/>
    <x v="2"/>
    <x v="5"/>
    <x v="5"/>
    <x v="0"/>
    <x v="0"/>
    <x v="49"/>
    <x v="0"/>
    <x v="0"/>
    <x v="0"/>
    <x v="0"/>
    <x v="565"/>
    <x v="0"/>
    <x v="0"/>
  </r>
  <r>
    <x v="2391"/>
    <x v="2366"/>
    <x v="1"/>
    <x v="5"/>
    <x v="5"/>
    <x v="0"/>
    <x v="0"/>
    <x v="0"/>
    <x v="0"/>
    <x v="0"/>
    <x v="0"/>
    <x v="0"/>
    <x v="565"/>
    <x v="0"/>
    <x v="0"/>
  </r>
  <r>
    <x v="2392"/>
    <x v="2367"/>
    <x v="8"/>
    <x v="0"/>
    <x v="0"/>
    <x v="0"/>
    <x v="0"/>
    <x v="0"/>
    <x v="0"/>
    <x v="0"/>
    <x v="0"/>
    <x v="0"/>
    <x v="565"/>
    <x v="0"/>
    <x v="0"/>
  </r>
  <r>
    <x v="2393"/>
    <x v="2368"/>
    <x v="2"/>
    <x v="0"/>
    <x v="0"/>
    <x v="0"/>
    <x v="0"/>
    <x v="30"/>
    <x v="0"/>
    <x v="0"/>
    <x v="0"/>
    <x v="0"/>
    <x v="565"/>
    <x v="0"/>
    <x v="0"/>
  </r>
  <r>
    <x v="2394"/>
    <x v="1301"/>
    <x v="0"/>
    <x v="0"/>
    <x v="0"/>
    <x v="0"/>
    <x v="0"/>
    <x v="0"/>
    <x v="0"/>
    <x v="0"/>
    <x v="0"/>
    <x v="0"/>
    <x v="565"/>
    <x v="0"/>
    <x v="0"/>
  </r>
  <r>
    <x v="2395"/>
    <x v="2369"/>
    <x v="1"/>
    <x v="3"/>
    <x v="3"/>
    <x v="0"/>
    <x v="0"/>
    <x v="0"/>
    <x v="0"/>
    <x v="0"/>
    <x v="16"/>
    <x v="85"/>
    <x v="565"/>
    <x v="125"/>
    <x v="0"/>
  </r>
  <r>
    <x v="2396"/>
    <x v="2370"/>
    <x v="11"/>
    <x v="1"/>
    <x v="1"/>
    <x v="0"/>
    <x v="0"/>
    <x v="0"/>
    <x v="0"/>
    <x v="0"/>
    <x v="0"/>
    <x v="0"/>
    <x v="566"/>
    <x v="0"/>
    <x v="0"/>
  </r>
  <r>
    <x v="2397"/>
    <x v="2371"/>
    <x v="1"/>
    <x v="3"/>
    <x v="3"/>
    <x v="0"/>
    <x v="0"/>
    <x v="5"/>
    <x v="0"/>
    <x v="0"/>
    <x v="0"/>
    <x v="0"/>
    <x v="567"/>
    <x v="99"/>
    <x v="0"/>
  </r>
  <r>
    <x v="2398"/>
    <x v="2372"/>
    <x v="4"/>
    <x v="3"/>
    <x v="3"/>
    <x v="0"/>
    <x v="0"/>
    <x v="0"/>
    <x v="0"/>
    <x v="0"/>
    <x v="0"/>
    <x v="0"/>
    <x v="567"/>
    <x v="0"/>
    <x v="0"/>
  </r>
  <r>
    <x v="2399"/>
    <x v="2373"/>
    <x v="4"/>
    <x v="3"/>
    <x v="3"/>
    <x v="0"/>
    <x v="0"/>
    <x v="0"/>
    <x v="0"/>
    <x v="0"/>
    <x v="16"/>
    <x v="85"/>
    <x v="568"/>
    <x v="0"/>
    <x v="0"/>
  </r>
  <r>
    <x v="2400"/>
    <x v="2374"/>
    <x v="4"/>
    <x v="3"/>
    <x v="3"/>
    <x v="0"/>
    <x v="0"/>
    <x v="0"/>
    <x v="0"/>
    <x v="0"/>
    <x v="16"/>
    <x v="85"/>
    <x v="568"/>
    <x v="0"/>
    <x v="0"/>
  </r>
  <r>
    <x v="2401"/>
    <x v="2375"/>
    <x v="4"/>
    <x v="2"/>
    <x v="2"/>
    <x v="0"/>
    <x v="0"/>
    <x v="3"/>
    <x v="0"/>
    <x v="0"/>
    <x v="28"/>
    <x v="0"/>
    <x v="569"/>
    <x v="124"/>
    <x v="0"/>
  </r>
  <r>
    <x v="2402"/>
    <x v="2376"/>
    <x v="1"/>
    <x v="5"/>
    <x v="5"/>
    <x v="0"/>
    <x v="0"/>
    <x v="1"/>
    <x v="0"/>
    <x v="0"/>
    <x v="0"/>
    <x v="0"/>
    <x v="569"/>
    <x v="103"/>
    <x v="0"/>
  </r>
  <r>
    <x v="2403"/>
    <x v="2377"/>
    <x v="1"/>
    <x v="3"/>
    <x v="3"/>
    <x v="0"/>
    <x v="0"/>
    <x v="0"/>
    <x v="0"/>
    <x v="0"/>
    <x v="0"/>
    <x v="0"/>
    <x v="570"/>
    <x v="0"/>
    <x v="0"/>
  </r>
  <r>
    <x v="2404"/>
    <x v="2378"/>
    <x v="1"/>
    <x v="3"/>
    <x v="3"/>
    <x v="0"/>
    <x v="0"/>
    <x v="0"/>
    <x v="0"/>
    <x v="0"/>
    <x v="0"/>
    <x v="0"/>
    <x v="570"/>
    <x v="0"/>
    <x v="0"/>
  </r>
  <r>
    <x v="2405"/>
    <x v="2379"/>
    <x v="1"/>
    <x v="3"/>
    <x v="3"/>
    <x v="0"/>
    <x v="0"/>
    <x v="0"/>
    <x v="0"/>
    <x v="0"/>
    <x v="0"/>
    <x v="0"/>
    <x v="570"/>
    <x v="0"/>
    <x v="0"/>
  </r>
  <r>
    <x v="2406"/>
    <x v="2380"/>
    <x v="1"/>
    <x v="3"/>
    <x v="3"/>
    <x v="0"/>
    <x v="0"/>
    <x v="0"/>
    <x v="0"/>
    <x v="0"/>
    <x v="0"/>
    <x v="0"/>
    <x v="570"/>
    <x v="0"/>
    <x v="0"/>
  </r>
  <r>
    <x v="2407"/>
    <x v="2381"/>
    <x v="9"/>
    <x v="0"/>
    <x v="0"/>
    <x v="0"/>
    <x v="0"/>
    <x v="10"/>
    <x v="0"/>
    <x v="0"/>
    <x v="0"/>
    <x v="0"/>
    <x v="571"/>
    <x v="126"/>
    <x v="0"/>
  </r>
  <r>
    <x v="2408"/>
    <x v="2382"/>
    <x v="1"/>
    <x v="3"/>
    <x v="3"/>
    <x v="0"/>
    <x v="0"/>
    <x v="0"/>
    <x v="0"/>
    <x v="0"/>
    <x v="0"/>
    <x v="0"/>
    <x v="572"/>
    <x v="0"/>
    <x v="0"/>
  </r>
  <r>
    <x v="2409"/>
    <x v="2383"/>
    <x v="4"/>
    <x v="5"/>
    <x v="5"/>
    <x v="0"/>
    <x v="0"/>
    <x v="0"/>
    <x v="0"/>
    <x v="0"/>
    <x v="0"/>
    <x v="0"/>
    <x v="573"/>
    <x v="0"/>
    <x v="0"/>
  </r>
  <r>
    <x v="2410"/>
    <x v="2384"/>
    <x v="1"/>
    <x v="5"/>
    <x v="5"/>
    <x v="0"/>
    <x v="0"/>
    <x v="0"/>
    <x v="0"/>
    <x v="0"/>
    <x v="0"/>
    <x v="0"/>
    <x v="573"/>
    <x v="0"/>
    <x v="0"/>
  </r>
  <r>
    <x v="2411"/>
    <x v="2385"/>
    <x v="1"/>
    <x v="5"/>
    <x v="5"/>
    <x v="0"/>
    <x v="0"/>
    <x v="2"/>
    <x v="0"/>
    <x v="0"/>
    <x v="0"/>
    <x v="84"/>
    <x v="573"/>
    <x v="0"/>
    <x v="0"/>
  </r>
  <r>
    <x v="2412"/>
    <x v="2386"/>
    <x v="4"/>
    <x v="5"/>
    <x v="5"/>
    <x v="0"/>
    <x v="0"/>
    <x v="0"/>
    <x v="0"/>
    <x v="0"/>
    <x v="0"/>
    <x v="0"/>
    <x v="573"/>
    <x v="0"/>
    <x v="0"/>
  </r>
  <r>
    <x v="2413"/>
    <x v="2387"/>
    <x v="1"/>
    <x v="5"/>
    <x v="5"/>
    <x v="0"/>
    <x v="0"/>
    <x v="2"/>
    <x v="0"/>
    <x v="0"/>
    <x v="0"/>
    <x v="84"/>
    <x v="573"/>
    <x v="123"/>
    <x v="0"/>
  </r>
  <r>
    <x v="2414"/>
    <x v="2388"/>
    <x v="4"/>
    <x v="5"/>
    <x v="5"/>
    <x v="0"/>
    <x v="0"/>
    <x v="0"/>
    <x v="0"/>
    <x v="0"/>
    <x v="0"/>
    <x v="0"/>
    <x v="573"/>
    <x v="0"/>
    <x v="0"/>
  </r>
  <r>
    <x v="2415"/>
    <x v="2389"/>
    <x v="1"/>
    <x v="5"/>
    <x v="5"/>
    <x v="0"/>
    <x v="0"/>
    <x v="2"/>
    <x v="0"/>
    <x v="0"/>
    <x v="0"/>
    <x v="84"/>
    <x v="573"/>
    <x v="0"/>
    <x v="0"/>
  </r>
  <r>
    <x v="2416"/>
    <x v="2390"/>
    <x v="1"/>
    <x v="5"/>
    <x v="5"/>
    <x v="0"/>
    <x v="0"/>
    <x v="0"/>
    <x v="0"/>
    <x v="0"/>
    <x v="0"/>
    <x v="0"/>
    <x v="573"/>
    <x v="0"/>
    <x v="0"/>
  </r>
  <r>
    <x v="2417"/>
    <x v="2391"/>
    <x v="4"/>
    <x v="5"/>
    <x v="5"/>
    <x v="0"/>
    <x v="0"/>
    <x v="0"/>
    <x v="0"/>
    <x v="0"/>
    <x v="0"/>
    <x v="0"/>
    <x v="573"/>
    <x v="124"/>
    <x v="0"/>
  </r>
  <r>
    <x v="2418"/>
    <x v="2392"/>
    <x v="1"/>
    <x v="5"/>
    <x v="5"/>
    <x v="0"/>
    <x v="0"/>
    <x v="0"/>
    <x v="0"/>
    <x v="0"/>
    <x v="0"/>
    <x v="0"/>
    <x v="573"/>
    <x v="0"/>
    <x v="0"/>
  </r>
  <r>
    <x v="2419"/>
    <x v="2393"/>
    <x v="1"/>
    <x v="5"/>
    <x v="5"/>
    <x v="0"/>
    <x v="0"/>
    <x v="0"/>
    <x v="0"/>
    <x v="0"/>
    <x v="0"/>
    <x v="0"/>
    <x v="573"/>
    <x v="0"/>
    <x v="0"/>
  </r>
  <r>
    <x v="2420"/>
    <x v="2394"/>
    <x v="4"/>
    <x v="5"/>
    <x v="5"/>
    <x v="0"/>
    <x v="0"/>
    <x v="0"/>
    <x v="0"/>
    <x v="0"/>
    <x v="0"/>
    <x v="0"/>
    <x v="573"/>
    <x v="0"/>
    <x v="0"/>
  </r>
  <r>
    <x v="2421"/>
    <x v="2395"/>
    <x v="1"/>
    <x v="5"/>
    <x v="5"/>
    <x v="0"/>
    <x v="0"/>
    <x v="2"/>
    <x v="0"/>
    <x v="0"/>
    <x v="0"/>
    <x v="0"/>
    <x v="573"/>
    <x v="0"/>
    <x v="0"/>
  </r>
  <r>
    <x v="2422"/>
    <x v="2396"/>
    <x v="4"/>
    <x v="5"/>
    <x v="5"/>
    <x v="0"/>
    <x v="0"/>
    <x v="3"/>
    <x v="0"/>
    <x v="0"/>
    <x v="36"/>
    <x v="84"/>
    <x v="573"/>
    <x v="123"/>
    <x v="0"/>
  </r>
  <r>
    <x v="2423"/>
    <x v="2397"/>
    <x v="1"/>
    <x v="5"/>
    <x v="5"/>
    <x v="0"/>
    <x v="0"/>
    <x v="0"/>
    <x v="0"/>
    <x v="0"/>
    <x v="0"/>
    <x v="0"/>
    <x v="573"/>
    <x v="0"/>
    <x v="0"/>
  </r>
  <r>
    <x v="2424"/>
    <x v="2398"/>
    <x v="1"/>
    <x v="5"/>
    <x v="5"/>
    <x v="0"/>
    <x v="0"/>
    <x v="2"/>
    <x v="0"/>
    <x v="0"/>
    <x v="0"/>
    <x v="0"/>
    <x v="573"/>
    <x v="103"/>
    <x v="0"/>
  </r>
  <r>
    <x v="2425"/>
    <x v="2399"/>
    <x v="1"/>
    <x v="5"/>
    <x v="5"/>
    <x v="0"/>
    <x v="0"/>
    <x v="15"/>
    <x v="0"/>
    <x v="0"/>
    <x v="0"/>
    <x v="0"/>
    <x v="573"/>
    <x v="0"/>
    <x v="0"/>
  </r>
  <r>
    <x v="2426"/>
    <x v="2400"/>
    <x v="1"/>
    <x v="3"/>
    <x v="3"/>
    <x v="0"/>
    <x v="0"/>
    <x v="0"/>
    <x v="0"/>
    <x v="0"/>
    <x v="0"/>
    <x v="0"/>
    <x v="573"/>
    <x v="0"/>
    <x v="0"/>
  </r>
  <r>
    <x v="2427"/>
    <x v="2401"/>
    <x v="1"/>
    <x v="3"/>
    <x v="3"/>
    <x v="0"/>
    <x v="0"/>
    <x v="0"/>
    <x v="0"/>
    <x v="0"/>
    <x v="0"/>
    <x v="0"/>
    <x v="573"/>
    <x v="0"/>
    <x v="0"/>
  </r>
  <r>
    <x v="2428"/>
    <x v="2402"/>
    <x v="1"/>
    <x v="3"/>
    <x v="3"/>
    <x v="0"/>
    <x v="0"/>
    <x v="0"/>
    <x v="0"/>
    <x v="0"/>
    <x v="0"/>
    <x v="0"/>
    <x v="573"/>
    <x v="0"/>
    <x v="0"/>
  </r>
  <r>
    <x v="2429"/>
    <x v="2403"/>
    <x v="4"/>
    <x v="3"/>
    <x v="3"/>
    <x v="0"/>
    <x v="0"/>
    <x v="3"/>
    <x v="0"/>
    <x v="0"/>
    <x v="0"/>
    <x v="85"/>
    <x v="574"/>
    <x v="0"/>
    <x v="0"/>
  </r>
  <r>
    <x v="2430"/>
    <x v="2404"/>
    <x v="4"/>
    <x v="5"/>
    <x v="5"/>
    <x v="0"/>
    <x v="0"/>
    <x v="2"/>
    <x v="0"/>
    <x v="0"/>
    <x v="38"/>
    <x v="86"/>
    <x v="575"/>
    <x v="0"/>
    <x v="0"/>
  </r>
  <r>
    <x v="2431"/>
    <x v="2405"/>
    <x v="9"/>
    <x v="0"/>
    <x v="0"/>
    <x v="0"/>
    <x v="0"/>
    <x v="15"/>
    <x v="0"/>
    <x v="0"/>
    <x v="0"/>
    <x v="0"/>
    <x v="576"/>
    <x v="0"/>
    <x v="0"/>
  </r>
  <r>
    <x v="2432"/>
    <x v="2406"/>
    <x v="2"/>
    <x v="0"/>
    <x v="0"/>
    <x v="0"/>
    <x v="0"/>
    <x v="14"/>
    <x v="0"/>
    <x v="0"/>
    <x v="0"/>
    <x v="0"/>
    <x v="576"/>
    <x v="102"/>
    <x v="0"/>
  </r>
  <r>
    <x v="2433"/>
    <x v="2407"/>
    <x v="9"/>
    <x v="0"/>
    <x v="0"/>
    <x v="0"/>
    <x v="0"/>
    <x v="15"/>
    <x v="0"/>
    <x v="0"/>
    <x v="0"/>
    <x v="0"/>
    <x v="576"/>
    <x v="0"/>
    <x v="0"/>
  </r>
  <r>
    <x v="2434"/>
    <x v="2408"/>
    <x v="9"/>
    <x v="0"/>
    <x v="0"/>
    <x v="0"/>
    <x v="0"/>
    <x v="15"/>
    <x v="0"/>
    <x v="0"/>
    <x v="0"/>
    <x v="0"/>
    <x v="576"/>
    <x v="0"/>
    <x v="0"/>
  </r>
  <r>
    <x v="2435"/>
    <x v="2409"/>
    <x v="9"/>
    <x v="0"/>
    <x v="0"/>
    <x v="0"/>
    <x v="0"/>
    <x v="33"/>
    <x v="0"/>
    <x v="0"/>
    <x v="0"/>
    <x v="0"/>
    <x v="576"/>
    <x v="102"/>
    <x v="0"/>
  </r>
  <r>
    <x v="2436"/>
    <x v="2410"/>
    <x v="0"/>
    <x v="0"/>
    <x v="0"/>
    <x v="0"/>
    <x v="0"/>
    <x v="0"/>
    <x v="0"/>
    <x v="0"/>
    <x v="0"/>
    <x v="0"/>
    <x v="576"/>
    <x v="0"/>
    <x v="0"/>
  </r>
  <r>
    <x v="2437"/>
    <x v="2411"/>
    <x v="4"/>
    <x v="3"/>
    <x v="3"/>
    <x v="0"/>
    <x v="0"/>
    <x v="7"/>
    <x v="0"/>
    <x v="0"/>
    <x v="13"/>
    <x v="86"/>
    <x v="577"/>
    <x v="0"/>
    <x v="0"/>
  </r>
  <r>
    <x v="2438"/>
    <x v="2412"/>
    <x v="4"/>
    <x v="5"/>
    <x v="5"/>
    <x v="0"/>
    <x v="0"/>
    <x v="3"/>
    <x v="0"/>
    <x v="0"/>
    <x v="39"/>
    <x v="0"/>
    <x v="578"/>
    <x v="0"/>
    <x v="0"/>
  </r>
  <r>
    <x v="2439"/>
    <x v="2413"/>
    <x v="1"/>
    <x v="3"/>
    <x v="3"/>
    <x v="0"/>
    <x v="0"/>
    <x v="12"/>
    <x v="0"/>
    <x v="0"/>
    <x v="17"/>
    <x v="0"/>
    <x v="578"/>
    <x v="0"/>
    <x v="0"/>
  </r>
  <r>
    <x v="2440"/>
    <x v="2414"/>
    <x v="9"/>
    <x v="0"/>
    <x v="0"/>
    <x v="0"/>
    <x v="0"/>
    <x v="15"/>
    <x v="0"/>
    <x v="0"/>
    <x v="0"/>
    <x v="0"/>
    <x v="578"/>
    <x v="0"/>
    <x v="0"/>
  </r>
  <r>
    <x v="2441"/>
    <x v="2415"/>
    <x v="0"/>
    <x v="0"/>
    <x v="0"/>
    <x v="0"/>
    <x v="0"/>
    <x v="0"/>
    <x v="0"/>
    <x v="0"/>
    <x v="0"/>
    <x v="0"/>
    <x v="578"/>
    <x v="0"/>
    <x v="0"/>
  </r>
  <r>
    <x v="2442"/>
    <x v="2416"/>
    <x v="1"/>
    <x v="3"/>
    <x v="3"/>
    <x v="0"/>
    <x v="0"/>
    <x v="0"/>
    <x v="0"/>
    <x v="0"/>
    <x v="0"/>
    <x v="0"/>
    <x v="579"/>
    <x v="0"/>
    <x v="0"/>
  </r>
  <r>
    <x v="2443"/>
    <x v="2417"/>
    <x v="4"/>
    <x v="5"/>
    <x v="5"/>
    <x v="0"/>
    <x v="0"/>
    <x v="7"/>
    <x v="0"/>
    <x v="0"/>
    <x v="0"/>
    <x v="0"/>
    <x v="579"/>
    <x v="0"/>
    <x v="0"/>
  </r>
  <r>
    <x v="2444"/>
    <x v="2418"/>
    <x v="1"/>
    <x v="3"/>
    <x v="3"/>
    <x v="0"/>
    <x v="0"/>
    <x v="0"/>
    <x v="0"/>
    <x v="0"/>
    <x v="0"/>
    <x v="0"/>
    <x v="580"/>
    <x v="0"/>
    <x v="0"/>
  </r>
  <r>
    <x v="2445"/>
    <x v="2419"/>
    <x v="1"/>
    <x v="3"/>
    <x v="3"/>
    <x v="0"/>
    <x v="0"/>
    <x v="0"/>
    <x v="0"/>
    <x v="0"/>
    <x v="0"/>
    <x v="0"/>
    <x v="580"/>
    <x v="0"/>
    <x v="0"/>
  </r>
  <r>
    <x v="2446"/>
    <x v="2420"/>
    <x v="1"/>
    <x v="3"/>
    <x v="3"/>
    <x v="0"/>
    <x v="0"/>
    <x v="0"/>
    <x v="0"/>
    <x v="0"/>
    <x v="0"/>
    <x v="0"/>
    <x v="580"/>
    <x v="0"/>
    <x v="0"/>
  </r>
  <r>
    <x v="2447"/>
    <x v="2421"/>
    <x v="1"/>
    <x v="3"/>
    <x v="3"/>
    <x v="0"/>
    <x v="0"/>
    <x v="0"/>
    <x v="0"/>
    <x v="0"/>
    <x v="0"/>
    <x v="0"/>
    <x v="580"/>
    <x v="0"/>
    <x v="0"/>
  </r>
  <r>
    <x v="2448"/>
    <x v="2422"/>
    <x v="1"/>
    <x v="3"/>
    <x v="3"/>
    <x v="0"/>
    <x v="0"/>
    <x v="0"/>
    <x v="0"/>
    <x v="0"/>
    <x v="0"/>
    <x v="0"/>
    <x v="580"/>
    <x v="0"/>
    <x v="0"/>
  </r>
  <r>
    <x v="2449"/>
    <x v="2423"/>
    <x v="1"/>
    <x v="3"/>
    <x v="3"/>
    <x v="0"/>
    <x v="0"/>
    <x v="0"/>
    <x v="0"/>
    <x v="0"/>
    <x v="0"/>
    <x v="0"/>
    <x v="580"/>
    <x v="0"/>
    <x v="0"/>
  </r>
  <r>
    <x v="2450"/>
    <x v="2424"/>
    <x v="1"/>
    <x v="3"/>
    <x v="3"/>
    <x v="0"/>
    <x v="0"/>
    <x v="0"/>
    <x v="0"/>
    <x v="0"/>
    <x v="0"/>
    <x v="0"/>
    <x v="580"/>
    <x v="0"/>
    <x v="0"/>
  </r>
  <r>
    <x v="2451"/>
    <x v="2425"/>
    <x v="1"/>
    <x v="3"/>
    <x v="3"/>
    <x v="0"/>
    <x v="0"/>
    <x v="0"/>
    <x v="0"/>
    <x v="0"/>
    <x v="0"/>
    <x v="0"/>
    <x v="580"/>
    <x v="0"/>
    <x v="0"/>
  </r>
  <r>
    <x v="2452"/>
    <x v="2426"/>
    <x v="1"/>
    <x v="3"/>
    <x v="3"/>
    <x v="0"/>
    <x v="0"/>
    <x v="0"/>
    <x v="0"/>
    <x v="0"/>
    <x v="0"/>
    <x v="0"/>
    <x v="580"/>
    <x v="0"/>
    <x v="0"/>
  </r>
  <r>
    <x v="2453"/>
    <x v="2427"/>
    <x v="1"/>
    <x v="3"/>
    <x v="3"/>
    <x v="0"/>
    <x v="0"/>
    <x v="0"/>
    <x v="0"/>
    <x v="0"/>
    <x v="0"/>
    <x v="0"/>
    <x v="580"/>
    <x v="0"/>
    <x v="0"/>
  </r>
  <r>
    <x v="2454"/>
    <x v="2428"/>
    <x v="1"/>
    <x v="3"/>
    <x v="3"/>
    <x v="0"/>
    <x v="0"/>
    <x v="0"/>
    <x v="0"/>
    <x v="0"/>
    <x v="0"/>
    <x v="0"/>
    <x v="580"/>
    <x v="0"/>
    <x v="0"/>
  </r>
  <r>
    <x v="2455"/>
    <x v="2429"/>
    <x v="1"/>
    <x v="3"/>
    <x v="3"/>
    <x v="0"/>
    <x v="0"/>
    <x v="0"/>
    <x v="0"/>
    <x v="0"/>
    <x v="0"/>
    <x v="0"/>
    <x v="580"/>
    <x v="0"/>
    <x v="0"/>
  </r>
  <r>
    <x v="2456"/>
    <x v="2430"/>
    <x v="4"/>
    <x v="5"/>
    <x v="5"/>
    <x v="0"/>
    <x v="0"/>
    <x v="2"/>
    <x v="0"/>
    <x v="0"/>
    <x v="36"/>
    <x v="86"/>
    <x v="580"/>
    <x v="127"/>
    <x v="0"/>
  </r>
  <r>
    <x v="2457"/>
    <x v="2431"/>
    <x v="4"/>
    <x v="5"/>
    <x v="5"/>
    <x v="0"/>
    <x v="0"/>
    <x v="0"/>
    <x v="0"/>
    <x v="0"/>
    <x v="36"/>
    <x v="86"/>
    <x v="580"/>
    <x v="0"/>
    <x v="0"/>
  </r>
  <r>
    <x v="2458"/>
    <x v="2432"/>
    <x v="1"/>
    <x v="5"/>
    <x v="5"/>
    <x v="0"/>
    <x v="0"/>
    <x v="1"/>
    <x v="0"/>
    <x v="0"/>
    <x v="0"/>
    <x v="86"/>
    <x v="580"/>
    <x v="128"/>
    <x v="0"/>
  </r>
  <r>
    <x v="2459"/>
    <x v="2433"/>
    <x v="1"/>
    <x v="5"/>
    <x v="5"/>
    <x v="0"/>
    <x v="0"/>
    <x v="3"/>
    <x v="0"/>
    <x v="0"/>
    <x v="0"/>
    <x v="0"/>
    <x v="580"/>
    <x v="106"/>
    <x v="0"/>
  </r>
  <r>
    <x v="2460"/>
    <x v="2434"/>
    <x v="9"/>
    <x v="0"/>
    <x v="0"/>
    <x v="0"/>
    <x v="0"/>
    <x v="8"/>
    <x v="0"/>
    <x v="0"/>
    <x v="0"/>
    <x v="0"/>
    <x v="581"/>
    <x v="0"/>
    <x v="0"/>
  </r>
  <r>
    <x v="2461"/>
    <x v="2435"/>
    <x v="9"/>
    <x v="0"/>
    <x v="0"/>
    <x v="0"/>
    <x v="0"/>
    <x v="15"/>
    <x v="0"/>
    <x v="0"/>
    <x v="0"/>
    <x v="0"/>
    <x v="581"/>
    <x v="0"/>
    <x v="0"/>
  </r>
  <r>
    <x v="2462"/>
    <x v="2436"/>
    <x v="0"/>
    <x v="0"/>
    <x v="0"/>
    <x v="0"/>
    <x v="0"/>
    <x v="0"/>
    <x v="0"/>
    <x v="0"/>
    <x v="0"/>
    <x v="0"/>
    <x v="581"/>
    <x v="0"/>
    <x v="0"/>
  </r>
  <r>
    <x v="2463"/>
    <x v="2437"/>
    <x v="9"/>
    <x v="0"/>
    <x v="0"/>
    <x v="0"/>
    <x v="0"/>
    <x v="15"/>
    <x v="0"/>
    <x v="0"/>
    <x v="0"/>
    <x v="0"/>
    <x v="582"/>
    <x v="0"/>
    <x v="0"/>
  </r>
  <r>
    <x v="2464"/>
    <x v="2438"/>
    <x v="2"/>
    <x v="0"/>
    <x v="0"/>
    <x v="0"/>
    <x v="0"/>
    <x v="0"/>
    <x v="0"/>
    <x v="0"/>
    <x v="0"/>
    <x v="0"/>
    <x v="583"/>
    <x v="0"/>
    <x v="0"/>
  </r>
  <r>
    <x v="2465"/>
    <x v="2439"/>
    <x v="11"/>
    <x v="2"/>
    <x v="2"/>
    <x v="0"/>
    <x v="0"/>
    <x v="0"/>
    <x v="0"/>
    <x v="0"/>
    <x v="0"/>
    <x v="0"/>
    <x v="584"/>
    <x v="0"/>
    <x v="0"/>
  </r>
  <r>
    <x v="2466"/>
    <x v="2440"/>
    <x v="9"/>
    <x v="0"/>
    <x v="0"/>
    <x v="0"/>
    <x v="0"/>
    <x v="15"/>
    <x v="0"/>
    <x v="0"/>
    <x v="0"/>
    <x v="0"/>
    <x v="584"/>
    <x v="0"/>
    <x v="0"/>
  </r>
  <r>
    <x v="2467"/>
    <x v="2441"/>
    <x v="9"/>
    <x v="0"/>
    <x v="0"/>
    <x v="0"/>
    <x v="0"/>
    <x v="15"/>
    <x v="0"/>
    <x v="0"/>
    <x v="0"/>
    <x v="0"/>
    <x v="584"/>
    <x v="0"/>
    <x v="0"/>
  </r>
  <r>
    <x v="2468"/>
    <x v="2442"/>
    <x v="9"/>
    <x v="0"/>
    <x v="0"/>
    <x v="0"/>
    <x v="0"/>
    <x v="15"/>
    <x v="0"/>
    <x v="0"/>
    <x v="0"/>
    <x v="0"/>
    <x v="584"/>
    <x v="0"/>
    <x v="0"/>
  </r>
  <r>
    <x v="2469"/>
    <x v="2443"/>
    <x v="9"/>
    <x v="0"/>
    <x v="0"/>
    <x v="0"/>
    <x v="0"/>
    <x v="15"/>
    <x v="0"/>
    <x v="0"/>
    <x v="0"/>
    <x v="0"/>
    <x v="584"/>
    <x v="0"/>
    <x v="0"/>
  </r>
  <r>
    <x v="2470"/>
    <x v="2191"/>
    <x v="9"/>
    <x v="0"/>
    <x v="0"/>
    <x v="0"/>
    <x v="0"/>
    <x v="15"/>
    <x v="0"/>
    <x v="0"/>
    <x v="0"/>
    <x v="0"/>
    <x v="584"/>
    <x v="0"/>
    <x v="0"/>
  </r>
  <r>
    <x v="2471"/>
    <x v="2444"/>
    <x v="9"/>
    <x v="0"/>
    <x v="0"/>
    <x v="0"/>
    <x v="0"/>
    <x v="15"/>
    <x v="0"/>
    <x v="0"/>
    <x v="0"/>
    <x v="0"/>
    <x v="584"/>
    <x v="0"/>
    <x v="0"/>
  </r>
  <r>
    <x v="2472"/>
    <x v="2445"/>
    <x v="9"/>
    <x v="0"/>
    <x v="0"/>
    <x v="0"/>
    <x v="0"/>
    <x v="15"/>
    <x v="0"/>
    <x v="0"/>
    <x v="0"/>
    <x v="0"/>
    <x v="584"/>
    <x v="0"/>
    <x v="0"/>
  </r>
  <r>
    <x v="2473"/>
    <x v="2446"/>
    <x v="9"/>
    <x v="0"/>
    <x v="0"/>
    <x v="0"/>
    <x v="0"/>
    <x v="15"/>
    <x v="0"/>
    <x v="0"/>
    <x v="0"/>
    <x v="0"/>
    <x v="584"/>
    <x v="0"/>
    <x v="0"/>
  </r>
  <r>
    <x v="2474"/>
    <x v="2447"/>
    <x v="0"/>
    <x v="0"/>
    <x v="0"/>
    <x v="0"/>
    <x v="0"/>
    <x v="0"/>
    <x v="0"/>
    <x v="0"/>
    <x v="0"/>
    <x v="0"/>
    <x v="584"/>
    <x v="0"/>
    <x v="0"/>
  </r>
  <r>
    <x v="2475"/>
    <x v="2448"/>
    <x v="0"/>
    <x v="0"/>
    <x v="0"/>
    <x v="0"/>
    <x v="0"/>
    <x v="0"/>
    <x v="0"/>
    <x v="0"/>
    <x v="0"/>
    <x v="0"/>
    <x v="584"/>
    <x v="0"/>
    <x v="0"/>
  </r>
  <r>
    <x v="2476"/>
    <x v="2449"/>
    <x v="2"/>
    <x v="0"/>
    <x v="0"/>
    <x v="0"/>
    <x v="0"/>
    <x v="0"/>
    <x v="0"/>
    <x v="0"/>
    <x v="40"/>
    <x v="0"/>
    <x v="584"/>
    <x v="129"/>
    <x v="0"/>
  </r>
  <r>
    <x v="2477"/>
    <x v="2450"/>
    <x v="9"/>
    <x v="0"/>
    <x v="0"/>
    <x v="0"/>
    <x v="0"/>
    <x v="15"/>
    <x v="0"/>
    <x v="0"/>
    <x v="0"/>
    <x v="0"/>
    <x v="585"/>
    <x v="0"/>
    <x v="0"/>
  </r>
  <r>
    <x v="2478"/>
    <x v="2451"/>
    <x v="9"/>
    <x v="0"/>
    <x v="0"/>
    <x v="0"/>
    <x v="0"/>
    <x v="15"/>
    <x v="0"/>
    <x v="0"/>
    <x v="0"/>
    <x v="0"/>
    <x v="585"/>
    <x v="0"/>
    <x v="0"/>
  </r>
  <r>
    <x v="2479"/>
    <x v="2452"/>
    <x v="9"/>
    <x v="0"/>
    <x v="0"/>
    <x v="0"/>
    <x v="0"/>
    <x v="15"/>
    <x v="0"/>
    <x v="0"/>
    <x v="0"/>
    <x v="0"/>
    <x v="585"/>
    <x v="0"/>
    <x v="0"/>
  </r>
  <r>
    <x v="2480"/>
    <x v="2453"/>
    <x v="8"/>
    <x v="0"/>
    <x v="0"/>
    <x v="0"/>
    <x v="0"/>
    <x v="0"/>
    <x v="0"/>
    <x v="0"/>
    <x v="0"/>
    <x v="0"/>
    <x v="585"/>
    <x v="0"/>
    <x v="0"/>
  </r>
  <r>
    <x v="2481"/>
    <x v="2454"/>
    <x v="8"/>
    <x v="0"/>
    <x v="0"/>
    <x v="0"/>
    <x v="0"/>
    <x v="0"/>
    <x v="0"/>
    <x v="0"/>
    <x v="0"/>
    <x v="0"/>
    <x v="585"/>
    <x v="0"/>
    <x v="0"/>
  </r>
  <r>
    <x v="2482"/>
    <x v="2455"/>
    <x v="2"/>
    <x v="0"/>
    <x v="0"/>
    <x v="0"/>
    <x v="0"/>
    <x v="0"/>
    <x v="0"/>
    <x v="0"/>
    <x v="0"/>
    <x v="0"/>
    <x v="585"/>
    <x v="0"/>
    <x v="0"/>
  </r>
  <r>
    <x v="2483"/>
    <x v="2456"/>
    <x v="0"/>
    <x v="0"/>
    <x v="0"/>
    <x v="0"/>
    <x v="0"/>
    <x v="0"/>
    <x v="0"/>
    <x v="0"/>
    <x v="0"/>
    <x v="0"/>
    <x v="585"/>
    <x v="0"/>
    <x v="0"/>
  </r>
  <r>
    <x v="2484"/>
    <x v="2457"/>
    <x v="2"/>
    <x v="0"/>
    <x v="0"/>
    <x v="0"/>
    <x v="0"/>
    <x v="0"/>
    <x v="0"/>
    <x v="0"/>
    <x v="0"/>
    <x v="0"/>
    <x v="585"/>
    <x v="0"/>
    <x v="0"/>
  </r>
  <r>
    <x v="2485"/>
    <x v="2458"/>
    <x v="0"/>
    <x v="0"/>
    <x v="0"/>
    <x v="0"/>
    <x v="0"/>
    <x v="0"/>
    <x v="0"/>
    <x v="0"/>
    <x v="0"/>
    <x v="0"/>
    <x v="586"/>
    <x v="0"/>
    <x v="0"/>
  </r>
  <r>
    <x v="2486"/>
    <x v="2459"/>
    <x v="8"/>
    <x v="0"/>
    <x v="0"/>
    <x v="0"/>
    <x v="0"/>
    <x v="0"/>
    <x v="0"/>
    <x v="0"/>
    <x v="0"/>
    <x v="0"/>
    <x v="586"/>
    <x v="0"/>
    <x v="0"/>
  </r>
  <r>
    <x v="2487"/>
    <x v="2460"/>
    <x v="1"/>
    <x v="3"/>
    <x v="3"/>
    <x v="0"/>
    <x v="0"/>
    <x v="0"/>
    <x v="0"/>
    <x v="0"/>
    <x v="0"/>
    <x v="0"/>
    <x v="587"/>
    <x v="0"/>
    <x v="0"/>
  </r>
  <r>
    <x v="2488"/>
    <x v="2461"/>
    <x v="1"/>
    <x v="3"/>
    <x v="3"/>
    <x v="0"/>
    <x v="0"/>
    <x v="7"/>
    <x v="0"/>
    <x v="0"/>
    <x v="0"/>
    <x v="0"/>
    <x v="587"/>
    <x v="0"/>
    <x v="0"/>
  </r>
  <r>
    <x v="2489"/>
    <x v="2462"/>
    <x v="1"/>
    <x v="3"/>
    <x v="3"/>
    <x v="0"/>
    <x v="0"/>
    <x v="2"/>
    <x v="0"/>
    <x v="0"/>
    <x v="0"/>
    <x v="0"/>
    <x v="587"/>
    <x v="0"/>
    <x v="0"/>
  </r>
  <r>
    <x v="2490"/>
    <x v="2463"/>
    <x v="1"/>
    <x v="3"/>
    <x v="3"/>
    <x v="0"/>
    <x v="0"/>
    <x v="0"/>
    <x v="0"/>
    <x v="0"/>
    <x v="0"/>
    <x v="0"/>
    <x v="587"/>
    <x v="0"/>
    <x v="0"/>
  </r>
  <r>
    <x v="2491"/>
    <x v="2464"/>
    <x v="1"/>
    <x v="3"/>
    <x v="3"/>
    <x v="0"/>
    <x v="0"/>
    <x v="1"/>
    <x v="0"/>
    <x v="0"/>
    <x v="0"/>
    <x v="0"/>
    <x v="587"/>
    <x v="0"/>
    <x v="0"/>
  </r>
  <r>
    <x v="2492"/>
    <x v="2465"/>
    <x v="4"/>
    <x v="5"/>
    <x v="5"/>
    <x v="0"/>
    <x v="0"/>
    <x v="3"/>
    <x v="0"/>
    <x v="0"/>
    <x v="0"/>
    <x v="0"/>
    <x v="587"/>
    <x v="124"/>
    <x v="0"/>
  </r>
  <r>
    <x v="2493"/>
    <x v="2466"/>
    <x v="1"/>
    <x v="3"/>
    <x v="3"/>
    <x v="0"/>
    <x v="0"/>
    <x v="0"/>
    <x v="0"/>
    <x v="0"/>
    <x v="0"/>
    <x v="0"/>
    <x v="588"/>
    <x v="0"/>
    <x v="0"/>
  </r>
  <r>
    <x v="2494"/>
    <x v="2467"/>
    <x v="9"/>
    <x v="0"/>
    <x v="0"/>
    <x v="0"/>
    <x v="0"/>
    <x v="15"/>
    <x v="0"/>
    <x v="0"/>
    <x v="0"/>
    <x v="0"/>
    <x v="589"/>
    <x v="0"/>
    <x v="0"/>
  </r>
  <r>
    <x v="2495"/>
    <x v="2468"/>
    <x v="9"/>
    <x v="0"/>
    <x v="0"/>
    <x v="0"/>
    <x v="0"/>
    <x v="15"/>
    <x v="0"/>
    <x v="0"/>
    <x v="0"/>
    <x v="0"/>
    <x v="589"/>
    <x v="0"/>
    <x v="0"/>
  </r>
  <r>
    <x v="2496"/>
    <x v="2469"/>
    <x v="11"/>
    <x v="2"/>
    <x v="2"/>
    <x v="0"/>
    <x v="0"/>
    <x v="0"/>
    <x v="0"/>
    <x v="0"/>
    <x v="0"/>
    <x v="0"/>
    <x v="590"/>
    <x v="0"/>
    <x v="0"/>
  </r>
  <r>
    <x v="2497"/>
    <x v="2470"/>
    <x v="4"/>
    <x v="5"/>
    <x v="5"/>
    <x v="0"/>
    <x v="0"/>
    <x v="7"/>
    <x v="0"/>
    <x v="0"/>
    <x v="22"/>
    <x v="86"/>
    <x v="591"/>
    <x v="0"/>
    <x v="0"/>
  </r>
  <r>
    <x v="2498"/>
    <x v="2471"/>
    <x v="1"/>
    <x v="3"/>
    <x v="3"/>
    <x v="0"/>
    <x v="0"/>
    <x v="0"/>
    <x v="0"/>
    <x v="0"/>
    <x v="0"/>
    <x v="0"/>
    <x v="592"/>
    <x v="0"/>
    <x v="0"/>
  </r>
  <r>
    <x v="2499"/>
    <x v="2472"/>
    <x v="1"/>
    <x v="3"/>
    <x v="3"/>
    <x v="0"/>
    <x v="0"/>
    <x v="0"/>
    <x v="0"/>
    <x v="0"/>
    <x v="0"/>
    <x v="0"/>
    <x v="592"/>
    <x v="0"/>
    <x v="0"/>
  </r>
  <r>
    <x v="2500"/>
    <x v="2473"/>
    <x v="1"/>
    <x v="3"/>
    <x v="3"/>
    <x v="0"/>
    <x v="0"/>
    <x v="0"/>
    <x v="0"/>
    <x v="0"/>
    <x v="0"/>
    <x v="0"/>
    <x v="592"/>
    <x v="0"/>
    <x v="0"/>
  </r>
  <r>
    <x v="2501"/>
    <x v="2474"/>
    <x v="4"/>
    <x v="5"/>
    <x v="5"/>
    <x v="0"/>
    <x v="0"/>
    <x v="1"/>
    <x v="0"/>
    <x v="0"/>
    <x v="22"/>
    <x v="86"/>
    <x v="593"/>
    <x v="0"/>
    <x v="0"/>
  </r>
  <r>
    <x v="2502"/>
    <x v="2475"/>
    <x v="8"/>
    <x v="0"/>
    <x v="0"/>
    <x v="0"/>
    <x v="0"/>
    <x v="0"/>
    <x v="0"/>
    <x v="0"/>
    <x v="41"/>
    <x v="0"/>
    <x v="593"/>
    <x v="0"/>
    <x v="0"/>
  </r>
  <r>
    <x v="2503"/>
    <x v="2476"/>
    <x v="8"/>
    <x v="0"/>
    <x v="0"/>
    <x v="0"/>
    <x v="0"/>
    <x v="0"/>
    <x v="0"/>
    <x v="0"/>
    <x v="41"/>
    <x v="0"/>
    <x v="593"/>
    <x v="0"/>
    <x v="0"/>
  </r>
  <r>
    <x v="2504"/>
    <x v="2477"/>
    <x v="8"/>
    <x v="0"/>
    <x v="0"/>
    <x v="0"/>
    <x v="0"/>
    <x v="0"/>
    <x v="0"/>
    <x v="0"/>
    <x v="31"/>
    <x v="0"/>
    <x v="593"/>
    <x v="0"/>
    <x v="0"/>
  </r>
  <r>
    <x v="2505"/>
    <x v="2478"/>
    <x v="4"/>
    <x v="5"/>
    <x v="5"/>
    <x v="0"/>
    <x v="0"/>
    <x v="0"/>
    <x v="0"/>
    <x v="0"/>
    <x v="0"/>
    <x v="0"/>
    <x v="594"/>
    <x v="0"/>
    <x v="0"/>
  </r>
  <r>
    <x v="2506"/>
    <x v="2479"/>
    <x v="1"/>
    <x v="3"/>
    <x v="3"/>
    <x v="0"/>
    <x v="0"/>
    <x v="0"/>
    <x v="0"/>
    <x v="0"/>
    <x v="0"/>
    <x v="0"/>
    <x v="595"/>
    <x v="0"/>
    <x v="0"/>
  </r>
  <r>
    <x v="2507"/>
    <x v="2480"/>
    <x v="4"/>
    <x v="5"/>
    <x v="5"/>
    <x v="0"/>
    <x v="0"/>
    <x v="0"/>
    <x v="0"/>
    <x v="0"/>
    <x v="0"/>
    <x v="0"/>
    <x v="596"/>
    <x v="0"/>
    <x v="0"/>
  </r>
  <r>
    <x v="2508"/>
    <x v="2481"/>
    <x v="4"/>
    <x v="5"/>
    <x v="5"/>
    <x v="0"/>
    <x v="0"/>
    <x v="0"/>
    <x v="0"/>
    <x v="0"/>
    <x v="0"/>
    <x v="0"/>
    <x v="596"/>
    <x v="0"/>
    <x v="0"/>
  </r>
  <r>
    <x v="2509"/>
    <x v="2482"/>
    <x v="4"/>
    <x v="5"/>
    <x v="5"/>
    <x v="0"/>
    <x v="0"/>
    <x v="0"/>
    <x v="0"/>
    <x v="0"/>
    <x v="0"/>
    <x v="0"/>
    <x v="596"/>
    <x v="0"/>
    <x v="0"/>
  </r>
  <r>
    <x v="2510"/>
    <x v="2483"/>
    <x v="6"/>
    <x v="5"/>
    <x v="5"/>
    <x v="0"/>
    <x v="0"/>
    <x v="7"/>
    <x v="0"/>
    <x v="0"/>
    <x v="13"/>
    <x v="87"/>
    <x v="597"/>
    <x v="0"/>
    <x v="0"/>
  </r>
  <r>
    <x v="2511"/>
    <x v="2484"/>
    <x v="1"/>
    <x v="3"/>
    <x v="3"/>
    <x v="0"/>
    <x v="0"/>
    <x v="1"/>
    <x v="0"/>
    <x v="0"/>
    <x v="0"/>
    <x v="87"/>
    <x v="598"/>
    <x v="0"/>
    <x v="0"/>
  </r>
  <r>
    <x v="2512"/>
    <x v="2485"/>
    <x v="1"/>
    <x v="5"/>
    <x v="5"/>
    <x v="0"/>
    <x v="0"/>
    <x v="0"/>
    <x v="0"/>
    <x v="0"/>
    <x v="0"/>
    <x v="87"/>
    <x v="599"/>
    <x v="0"/>
    <x v="0"/>
  </r>
  <r>
    <x v="2513"/>
    <x v="2486"/>
    <x v="1"/>
    <x v="5"/>
    <x v="5"/>
    <x v="0"/>
    <x v="0"/>
    <x v="0"/>
    <x v="0"/>
    <x v="0"/>
    <x v="0"/>
    <x v="87"/>
    <x v="599"/>
    <x v="0"/>
    <x v="0"/>
  </r>
  <r>
    <x v="2514"/>
    <x v="2487"/>
    <x v="1"/>
    <x v="3"/>
    <x v="3"/>
    <x v="0"/>
    <x v="0"/>
    <x v="28"/>
    <x v="0"/>
    <x v="0"/>
    <x v="0"/>
    <x v="0"/>
    <x v="600"/>
    <x v="0"/>
    <x v="0"/>
  </r>
  <r>
    <x v="2515"/>
    <x v="2488"/>
    <x v="1"/>
    <x v="3"/>
    <x v="3"/>
    <x v="0"/>
    <x v="0"/>
    <x v="50"/>
    <x v="0"/>
    <x v="0"/>
    <x v="0"/>
    <x v="0"/>
    <x v="600"/>
    <x v="0"/>
    <x v="0"/>
  </r>
  <r>
    <x v="2516"/>
    <x v="2489"/>
    <x v="1"/>
    <x v="3"/>
    <x v="3"/>
    <x v="0"/>
    <x v="0"/>
    <x v="0"/>
    <x v="0"/>
    <x v="0"/>
    <x v="0"/>
    <x v="0"/>
    <x v="600"/>
    <x v="0"/>
    <x v="0"/>
  </r>
  <r>
    <x v="2517"/>
    <x v="2490"/>
    <x v="4"/>
    <x v="5"/>
    <x v="5"/>
    <x v="0"/>
    <x v="0"/>
    <x v="0"/>
    <x v="0"/>
    <x v="0"/>
    <x v="22"/>
    <x v="88"/>
    <x v="600"/>
    <x v="0"/>
    <x v="0"/>
  </r>
  <r>
    <x v="2518"/>
    <x v="2394"/>
    <x v="4"/>
    <x v="5"/>
    <x v="5"/>
    <x v="0"/>
    <x v="0"/>
    <x v="3"/>
    <x v="0"/>
    <x v="0"/>
    <x v="22"/>
    <x v="86"/>
    <x v="601"/>
    <x v="0"/>
    <x v="0"/>
  </r>
  <r>
    <x v="2519"/>
    <x v="2491"/>
    <x v="4"/>
    <x v="5"/>
    <x v="5"/>
    <x v="0"/>
    <x v="0"/>
    <x v="0"/>
    <x v="0"/>
    <x v="0"/>
    <x v="0"/>
    <x v="0"/>
    <x v="601"/>
    <x v="0"/>
    <x v="0"/>
  </r>
  <r>
    <x v="2520"/>
    <x v="2492"/>
    <x v="4"/>
    <x v="5"/>
    <x v="5"/>
    <x v="0"/>
    <x v="0"/>
    <x v="2"/>
    <x v="0"/>
    <x v="0"/>
    <x v="30"/>
    <x v="88"/>
    <x v="601"/>
    <x v="0"/>
    <x v="0"/>
  </r>
  <r>
    <x v="2521"/>
    <x v="2493"/>
    <x v="1"/>
    <x v="3"/>
    <x v="3"/>
    <x v="0"/>
    <x v="0"/>
    <x v="0"/>
    <x v="0"/>
    <x v="0"/>
    <x v="0"/>
    <x v="0"/>
    <x v="602"/>
    <x v="0"/>
    <x v="0"/>
  </r>
  <r>
    <x v="2522"/>
    <x v="2494"/>
    <x v="1"/>
    <x v="3"/>
    <x v="3"/>
    <x v="0"/>
    <x v="0"/>
    <x v="0"/>
    <x v="0"/>
    <x v="0"/>
    <x v="0"/>
    <x v="0"/>
    <x v="602"/>
    <x v="0"/>
    <x v="0"/>
  </r>
  <r>
    <x v="2523"/>
    <x v="2495"/>
    <x v="4"/>
    <x v="3"/>
    <x v="3"/>
    <x v="0"/>
    <x v="0"/>
    <x v="5"/>
    <x v="0"/>
    <x v="0"/>
    <x v="0"/>
    <x v="0"/>
    <x v="602"/>
    <x v="0"/>
    <x v="0"/>
  </r>
  <r>
    <x v="2524"/>
    <x v="2496"/>
    <x v="1"/>
    <x v="3"/>
    <x v="3"/>
    <x v="0"/>
    <x v="0"/>
    <x v="2"/>
    <x v="0"/>
    <x v="0"/>
    <x v="0"/>
    <x v="0"/>
    <x v="602"/>
    <x v="0"/>
    <x v="0"/>
  </r>
  <r>
    <x v="2525"/>
    <x v="2497"/>
    <x v="1"/>
    <x v="3"/>
    <x v="3"/>
    <x v="0"/>
    <x v="0"/>
    <x v="0"/>
    <x v="0"/>
    <x v="0"/>
    <x v="0"/>
    <x v="0"/>
    <x v="603"/>
    <x v="0"/>
    <x v="0"/>
  </r>
  <r>
    <x v="2526"/>
    <x v="2498"/>
    <x v="1"/>
    <x v="3"/>
    <x v="3"/>
    <x v="0"/>
    <x v="0"/>
    <x v="0"/>
    <x v="0"/>
    <x v="0"/>
    <x v="0"/>
    <x v="0"/>
    <x v="603"/>
    <x v="0"/>
    <x v="0"/>
  </r>
  <r>
    <x v="2527"/>
    <x v="2499"/>
    <x v="1"/>
    <x v="3"/>
    <x v="3"/>
    <x v="0"/>
    <x v="0"/>
    <x v="0"/>
    <x v="0"/>
    <x v="0"/>
    <x v="0"/>
    <x v="0"/>
    <x v="603"/>
    <x v="0"/>
    <x v="0"/>
  </r>
  <r>
    <x v="2528"/>
    <x v="2500"/>
    <x v="1"/>
    <x v="3"/>
    <x v="3"/>
    <x v="0"/>
    <x v="0"/>
    <x v="3"/>
    <x v="0"/>
    <x v="0"/>
    <x v="0"/>
    <x v="0"/>
    <x v="603"/>
    <x v="0"/>
    <x v="0"/>
  </r>
  <r>
    <x v="2529"/>
    <x v="2501"/>
    <x v="1"/>
    <x v="3"/>
    <x v="3"/>
    <x v="0"/>
    <x v="0"/>
    <x v="0"/>
    <x v="0"/>
    <x v="0"/>
    <x v="0"/>
    <x v="0"/>
    <x v="604"/>
    <x v="0"/>
    <x v="0"/>
  </r>
  <r>
    <x v="2530"/>
    <x v="2502"/>
    <x v="1"/>
    <x v="3"/>
    <x v="3"/>
    <x v="0"/>
    <x v="0"/>
    <x v="3"/>
    <x v="0"/>
    <x v="0"/>
    <x v="0"/>
    <x v="0"/>
    <x v="605"/>
    <x v="0"/>
    <x v="0"/>
  </r>
  <r>
    <x v="2531"/>
    <x v="2503"/>
    <x v="1"/>
    <x v="3"/>
    <x v="3"/>
    <x v="0"/>
    <x v="0"/>
    <x v="0"/>
    <x v="0"/>
    <x v="0"/>
    <x v="0"/>
    <x v="0"/>
    <x v="606"/>
    <x v="0"/>
    <x v="0"/>
  </r>
  <r>
    <x v="2532"/>
    <x v="2504"/>
    <x v="1"/>
    <x v="3"/>
    <x v="3"/>
    <x v="0"/>
    <x v="0"/>
    <x v="0"/>
    <x v="0"/>
    <x v="0"/>
    <x v="0"/>
    <x v="0"/>
    <x v="606"/>
    <x v="0"/>
    <x v="0"/>
  </r>
  <r>
    <x v="2533"/>
    <x v="2505"/>
    <x v="1"/>
    <x v="3"/>
    <x v="3"/>
    <x v="0"/>
    <x v="0"/>
    <x v="0"/>
    <x v="0"/>
    <x v="0"/>
    <x v="0"/>
    <x v="0"/>
    <x v="606"/>
    <x v="0"/>
    <x v="0"/>
  </r>
  <r>
    <x v="2534"/>
    <x v="2506"/>
    <x v="1"/>
    <x v="3"/>
    <x v="3"/>
    <x v="0"/>
    <x v="0"/>
    <x v="0"/>
    <x v="0"/>
    <x v="0"/>
    <x v="0"/>
    <x v="0"/>
    <x v="606"/>
    <x v="0"/>
    <x v="0"/>
  </r>
  <r>
    <x v="2535"/>
    <x v="2507"/>
    <x v="1"/>
    <x v="3"/>
    <x v="3"/>
    <x v="0"/>
    <x v="0"/>
    <x v="0"/>
    <x v="0"/>
    <x v="0"/>
    <x v="0"/>
    <x v="0"/>
    <x v="606"/>
    <x v="0"/>
    <x v="0"/>
  </r>
  <r>
    <x v="2536"/>
    <x v="2508"/>
    <x v="1"/>
    <x v="3"/>
    <x v="3"/>
    <x v="0"/>
    <x v="0"/>
    <x v="0"/>
    <x v="0"/>
    <x v="0"/>
    <x v="0"/>
    <x v="0"/>
    <x v="606"/>
    <x v="0"/>
    <x v="0"/>
  </r>
  <r>
    <x v="2537"/>
    <x v="2509"/>
    <x v="4"/>
    <x v="5"/>
    <x v="5"/>
    <x v="0"/>
    <x v="0"/>
    <x v="0"/>
    <x v="0"/>
    <x v="0"/>
    <x v="0"/>
    <x v="0"/>
    <x v="606"/>
    <x v="0"/>
    <x v="0"/>
  </r>
  <r>
    <x v="2538"/>
    <x v="2510"/>
    <x v="9"/>
    <x v="0"/>
    <x v="0"/>
    <x v="0"/>
    <x v="0"/>
    <x v="15"/>
    <x v="0"/>
    <x v="0"/>
    <x v="0"/>
    <x v="0"/>
    <x v="606"/>
    <x v="0"/>
    <x v="0"/>
  </r>
  <r>
    <x v="2539"/>
    <x v="2511"/>
    <x v="1"/>
    <x v="3"/>
    <x v="3"/>
    <x v="0"/>
    <x v="0"/>
    <x v="0"/>
    <x v="0"/>
    <x v="0"/>
    <x v="0"/>
    <x v="0"/>
    <x v="606"/>
    <x v="0"/>
    <x v="0"/>
  </r>
  <r>
    <x v="2540"/>
    <x v="2512"/>
    <x v="9"/>
    <x v="0"/>
    <x v="0"/>
    <x v="0"/>
    <x v="0"/>
    <x v="15"/>
    <x v="0"/>
    <x v="0"/>
    <x v="32"/>
    <x v="0"/>
    <x v="606"/>
    <x v="0"/>
    <x v="0"/>
  </r>
  <r>
    <x v="2541"/>
    <x v="2513"/>
    <x v="4"/>
    <x v="5"/>
    <x v="5"/>
    <x v="0"/>
    <x v="0"/>
    <x v="1"/>
    <x v="0"/>
    <x v="0"/>
    <x v="0"/>
    <x v="0"/>
    <x v="607"/>
    <x v="0"/>
    <x v="0"/>
  </r>
  <r>
    <x v="2542"/>
    <x v="2514"/>
    <x v="4"/>
    <x v="5"/>
    <x v="5"/>
    <x v="0"/>
    <x v="0"/>
    <x v="1"/>
    <x v="0"/>
    <x v="0"/>
    <x v="0"/>
    <x v="0"/>
    <x v="607"/>
    <x v="0"/>
    <x v="0"/>
  </r>
  <r>
    <x v="2543"/>
    <x v="2515"/>
    <x v="4"/>
    <x v="5"/>
    <x v="5"/>
    <x v="0"/>
    <x v="0"/>
    <x v="1"/>
    <x v="0"/>
    <x v="0"/>
    <x v="37"/>
    <x v="88"/>
    <x v="607"/>
    <x v="0"/>
    <x v="0"/>
  </r>
  <r>
    <x v="2544"/>
    <x v="2516"/>
    <x v="4"/>
    <x v="3"/>
    <x v="3"/>
    <x v="0"/>
    <x v="0"/>
    <x v="0"/>
    <x v="0"/>
    <x v="0"/>
    <x v="19"/>
    <x v="0"/>
    <x v="608"/>
    <x v="0"/>
    <x v="9"/>
  </r>
  <r>
    <x v="2545"/>
    <x v="2517"/>
    <x v="1"/>
    <x v="5"/>
    <x v="5"/>
    <x v="0"/>
    <x v="0"/>
    <x v="0"/>
    <x v="0"/>
    <x v="0"/>
    <x v="0"/>
    <x v="0"/>
    <x v="609"/>
    <x v="0"/>
    <x v="0"/>
  </r>
  <r>
    <x v="2546"/>
    <x v="2518"/>
    <x v="1"/>
    <x v="3"/>
    <x v="3"/>
    <x v="0"/>
    <x v="0"/>
    <x v="2"/>
    <x v="0"/>
    <x v="0"/>
    <x v="0"/>
    <x v="0"/>
    <x v="610"/>
    <x v="0"/>
    <x v="0"/>
  </r>
  <r>
    <x v="2547"/>
    <x v="2519"/>
    <x v="1"/>
    <x v="3"/>
    <x v="3"/>
    <x v="0"/>
    <x v="0"/>
    <x v="0"/>
    <x v="0"/>
    <x v="0"/>
    <x v="19"/>
    <x v="0"/>
    <x v="611"/>
    <x v="0"/>
    <x v="0"/>
  </r>
  <r>
    <x v="2548"/>
    <x v="2520"/>
    <x v="1"/>
    <x v="3"/>
    <x v="3"/>
    <x v="0"/>
    <x v="0"/>
    <x v="0"/>
    <x v="0"/>
    <x v="0"/>
    <x v="19"/>
    <x v="0"/>
    <x v="611"/>
    <x v="0"/>
    <x v="0"/>
  </r>
  <r>
    <x v="2549"/>
    <x v="2521"/>
    <x v="1"/>
    <x v="3"/>
    <x v="3"/>
    <x v="0"/>
    <x v="0"/>
    <x v="0"/>
    <x v="0"/>
    <x v="0"/>
    <x v="0"/>
    <x v="0"/>
    <x v="611"/>
    <x v="0"/>
    <x v="0"/>
  </r>
  <r>
    <x v="2550"/>
    <x v="2522"/>
    <x v="1"/>
    <x v="3"/>
    <x v="3"/>
    <x v="0"/>
    <x v="0"/>
    <x v="1"/>
    <x v="0"/>
    <x v="0"/>
    <x v="0"/>
    <x v="89"/>
    <x v="611"/>
    <x v="0"/>
    <x v="0"/>
  </r>
  <r>
    <x v="2551"/>
    <x v="2523"/>
    <x v="2"/>
    <x v="3"/>
    <x v="3"/>
    <x v="0"/>
    <x v="0"/>
    <x v="0"/>
    <x v="0"/>
    <x v="0"/>
    <x v="19"/>
    <x v="0"/>
    <x v="612"/>
    <x v="130"/>
    <x v="0"/>
  </r>
  <r>
    <x v="2552"/>
    <x v="2524"/>
    <x v="1"/>
    <x v="3"/>
    <x v="3"/>
    <x v="0"/>
    <x v="0"/>
    <x v="7"/>
    <x v="0"/>
    <x v="0"/>
    <x v="0"/>
    <x v="0"/>
    <x v="612"/>
    <x v="0"/>
    <x v="0"/>
  </r>
  <r>
    <x v="2553"/>
    <x v="2524"/>
    <x v="1"/>
    <x v="3"/>
    <x v="3"/>
    <x v="0"/>
    <x v="0"/>
    <x v="7"/>
    <x v="0"/>
    <x v="0"/>
    <x v="0"/>
    <x v="0"/>
    <x v="612"/>
    <x v="0"/>
    <x v="0"/>
  </r>
  <r>
    <x v="2554"/>
    <x v="2524"/>
    <x v="1"/>
    <x v="3"/>
    <x v="3"/>
    <x v="0"/>
    <x v="0"/>
    <x v="7"/>
    <x v="0"/>
    <x v="0"/>
    <x v="0"/>
    <x v="0"/>
    <x v="612"/>
    <x v="0"/>
    <x v="0"/>
  </r>
  <r>
    <x v="2555"/>
    <x v="2524"/>
    <x v="1"/>
    <x v="3"/>
    <x v="3"/>
    <x v="0"/>
    <x v="0"/>
    <x v="7"/>
    <x v="0"/>
    <x v="0"/>
    <x v="0"/>
    <x v="0"/>
    <x v="612"/>
    <x v="0"/>
    <x v="0"/>
  </r>
  <r>
    <x v="2556"/>
    <x v="2524"/>
    <x v="1"/>
    <x v="3"/>
    <x v="3"/>
    <x v="0"/>
    <x v="0"/>
    <x v="7"/>
    <x v="0"/>
    <x v="0"/>
    <x v="0"/>
    <x v="0"/>
    <x v="612"/>
    <x v="0"/>
    <x v="0"/>
  </r>
  <r>
    <x v="2557"/>
    <x v="2524"/>
    <x v="1"/>
    <x v="3"/>
    <x v="3"/>
    <x v="0"/>
    <x v="0"/>
    <x v="7"/>
    <x v="0"/>
    <x v="0"/>
    <x v="0"/>
    <x v="0"/>
    <x v="612"/>
    <x v="0"/>
    <x v="0"/>
  </r>
  <r>
    <x v="2558"/>
    <x v="2524"/>
    <x v="1"/>
    <x v="3"/>
    <x v="3"/>
    <x v="0"/>
    <x v="0"/>
    <x v="7"/>
    <x v="0"/>
    <x v="0"/>
    <x v="0"/>
    <x v="0"/>
    <x v="612"/>
    <x v="0"/>
    <x v="0"/>
  </r>
  <r>
    <x v="2559"/>
    <x v="2524"/>
    <x v="1"/>
    <x v="3"/>
    <x v="3"/>
    <x v="0"/>
    <x v="0"/>
    <x v="7"/>
    <x v="0"/>
    <x v="0"/>
    <x v="0"/>
    <x v="0"/>
    <x v="612"/>
    <x v="0"/>
    <x v="0"/>
  </r>
  <r>
    <x v="2560"/>
    <x v="2524"/>
    <x v="1"/>
    <x v="3"/>
    <x v="3"/>
    <x v="0"/>
    <x v="0"/>
    <x v="7"/>
    <x v="0"/>
    <x v="0"/>
    <x v="0"/>
    <x v="0"/>
    <x v="612"/>
    <x v="0"/>
    <x v="0"/>
  </r>
  <r>
    <x v="2561"/>
    <x v="2524"/>
    <x v="1"/>
    <x v="3"/>
    <x v="3"/>
    <x v="0"/>
    <x v="0"/>
    <x v="7"/>
    <x v="0"/>
    <x v="0"/>
    <x v="0"/>
    <x v="0"/>
    <x v="612"/>
    <x v="0"/>
    <x v="0"/>
  </r>
  <r>
    <x v="2562"/>
    <x v="2524"/>
    <x v="1"/>
    <x v="3"/>
    <x v="3"/>
    <x v="0"/>
    <x v="0"/>
    <x v="7"/>
    <x v="0"/>
    <x v="0"/>
    <x v="0"/>
    <x v="0"/>
    <x v="612"/>
    <x v="0"/>
    <x v="0"/>
  </r>
  <r>
    <x v="2563"/>
    <x v="2524"/>
    <x v="1"/>
    <x v="3"/>
    <x v="3"/>
    <x v="0"/>
    <x v="0"/>
    <x v="7"/>
    <x v="0"/>
    <x v="0"/>
    <x v="0"/>
    <x v="0"/>
    <x v="612"/>
    <x v="0"/>
    <x v="0"/>
  </r>
  <r>
    <x v="2564"/>
    <x v="2524"/>
    <x v="1"/>
    <x v="3"/>
    <x v="3"/>
    <x v="0"/>
    <x v="0"/>
    <x v="7"/>
    <x v="0"/>
    <x v="0"/>
    <x v="0"/>
    <x v="0"/>
    <x v="612"/>
    <x v="0"/>
    <x v="0"/>
  </r>
  <r>
    <x v="2565"/>
    <x v="2524"/>
    <x v="1"/>
    <x v="3"/>
    <x v="3"/>
    <x v="0"/>
    <x v="0"/>
    <x v="7"/>
    <x v="0"/>
    <x v="0"/>
    <x v="0"/>
    <x v="0"/>
    <x v="612"/>
    <x v="0"/>
    <x v="0"/>
  </r>
  <r>
    <x v="2566"/>
    <x v="2524"/>
    <x v="1"/>
    <x v="3"/>
    <x v="3"/>
    <x v="0"/>
    <x v="0"/>
    <x v="7"/>
    <x v="0"/>
    <x v="0"/>
    <x v="0"/>
    <x v="0"/>
    <x v="612"/>
    <x v="0"/>
    <x v="0"/>
  </r>
  <r>
    <x v="2567"/>
    <x v="2524"/>
    <x v="1"/>
    <x v="3"/>
    <x v="3"/>
    <x v="0"/>
    <x v="0"/>
    <x v="7"/>
    <x v="0"/>
    <x v="0"/>
    <x v="0"/>
    <x v="0"/>
    <x v="612"/>
    <x v="0"/>
    <x v="0"/>
  </r>
  <r>
    <x v="2568"/>
    <x v="2524"/>
    <x v="1"/>
    <x v="3"/>
    <x v="3"/>
    <x v="0"/>
    <x v="0"/>
    <x v="7"/>
    <x v="0"/>
    <x v="0"/>
    <x v="0"/>
    <x v="0"/>
    <x v="612"/>
    <x v="0"/>
    <x v="0"/>
  </r>
  <r>
    <x v="2569"/>
    <x v="2524"/>
    <x v="1"/>
    <x v="3"/>
    <x v="3"/>
    <x v="0"/>
    <x v="0"/>
    <x v="7"/>
    <x v="0"/>
    <x v="0"/>
    <x v="0"/>
    <x v="0"/>
    <x v="612"/>
    <x v="0"/>
    <x v="0"/>
  </r>
  <r>
    <x v="2570"/>
    <x v="2524"/>
    <x v="1"/>
    <x v="3"/>
    <x v="3"/>
    <x v="0"/>
    <x v="0"/>
    <x v="7"/>
    <x v="0"/>
    <x v="0"/>
    <x v="0"/>
    <x v="0"/>
    <x v="612"/>
    <x v="0"/>
    <x v="0"/>
  </r>
  <r>
    <x v="2571"/>
    <x v="2525"/>
    <x v="1"/>
    <x v="3"/>
    <x v="3"/>
    <x v="0"/>
    <x v="0"/>
    <x v="3"/>
    <x v="0"/>
    <x v="0"/>
    <x v="0"/>
    <x v="0"/>
    <x v="612"/>
    <x v="0"/>
    <x v="0"/>
  </r>
  <r>
    <x v="2572"/>
    <x v="2526"/>
    <x v="1"/>
    <x v="3"/>
    <x v="3"/>
    <x v="0"/>
    <x v="0"/>
    <x v="2"/>
    <x v="0"/>
    <x v="0"/>
    <x v="0"/>
    <x v="0"/>
    <x v="612"/>
    <x v="0"/>
    <x v="0"/>
  </r>
  <r>
    <x v="2573"/>
    <x v="2527"/>
    <x v="4"/>
    <x v="3"/>
    <x v="3"/>
    <x v="0"/>
    <x v="0"/>
    <x v="0"/>
    <x v="0"/>
    <x v="0"/>
    <x v="0"/>
    <x v="0"/>
    <x v="612"/>
    <x v="0"/>
    <x v="0"/>
  </r>
  <r>
    <x v="2574"/>
    <x v="2528"/>
    <x v="1"/>
    <x v="3"/>
    <x v="3"/>
    <x v="0"/>
    <x v="0"/>
    <x v="0"/>
    <x v="0"/>
    <x v="0"/>
    <x v="19"/>
    <x v="0"/>
    <x v="612"/>
    <x v="131"/>
    <x v="0"/>
  </r>
  <r>
    <x v="2575"/>
    <x v="2529"/>
    <x v="1"/>
    <x v="3"/>
    <x v="3"/>
    <x v="0"/>
    <x v="0"/>
    <x v="0"/>
    <x v="0"/>
    <x v="0"/>
    <x v="13"/>
    <x v="0"/>
    <x v="613"/>
    <x v="0"/>
    <x v="0"/>
  </r>
  <r>
    <x v="2576"/>
    <x v="2530"/>
    <x v="1"/>
    <x v="3"/>
    <x v="3"/>
    <x v="0"/>
    <x v="0"/>
    <x v="0"/>
    <x v="0"/>
    <x v="0"/>
    <x v="19"/>
    <x v="0"/>
    <x v="614"/>
    <x v="131"/>
    <x v="0"/>
  </r>
  <r>
    <x v="2577"/>
    <x v="2531"/>
    <x v="1"/>
    <x v="3"/>
    <x v="3"/>
    <x v="0"/>
    <x v="0"/>
    <x v="0"/>
    <x v="0"/>
    <x v="0"/>
    <x v="0"/>
    <x v="0"/>
    <x v="614"/>
    <x v="0"/>
    <x v="0"/>
  </r>
  <r>
    <x v="2578"/>
    <x v="2532"/>
    <x v="1"/>
    <x v="3"/>
    <x v="3"/>
    <x v="0"/>
    <x v="0"/>
    <x v="0"/>
    <x v="0"/>
    <x v="0"/>
    <x v="19"/>
    <x v="0"/>
    <x v="614"/>
    <x v="0"/>
    <x v="0"/>
  </r>
  <r>
    <x v="2579"/>
    <x v="2533"/>
    <x v="1"/>
    <x v="3"/>
    <x v="3"/>
    <x v="0"/>
    <x v="0"/>
    <x v="0"/>
    <x v="0"/>
    <x v="0"/>
    <x v="0"/>
    <x v="0"/>
    <x v="615"/>
    <x v="0"/>
    <x v="0"/>
  </r>
  <r>
    <x v="2580"/>
    <x v="2534"/>
    <x v="1"/>
    <x v="5"/>
    <x v="5"/>
    <x v="0"/>
    <x v="0"/>
    <x v="35"/>
    <x v="0"/>
    <x v="0"/>
    <x v="0"/>
    <x v="0"/>
    <x v="616"/>
    <x v="0"/>
    <x v="0"/>
  </r>
  <r>
    <x v="2581"/>
    <x v="2535"/>
    <x v="9"/>
    <x v="0"/>
    <x v="0"/>
    <x v="0"/>
    <x v="0"/>
    <x v="15"/>
    <x v="0"/>
    <x v="0"/>
    <x v="0"/>
    <x v="0"/>
    <x v="617"/>
    <x v="0"/>
    <x v="0"/>
  </r>
  <r>
    <x v="2582"/>
    <x v="2536"/>
    <x v="4"/>
    <x v="3"/>
    <x v="3"/>
    <x v="0"/>
    <x v="0"/>
    <x v="0"/>
    <x v="0"/>
    <x v="0"/>
    <x v="19"/>
    <x v="0"/>
    <x v="617"/>
    <x v="0"/>
    <x v="0"/>
  </r>
  <r>
    <x v="2583"/>
    <x v="2537"/>
    <x v="4"/>
    <x v="3"/>
    <x v="3"/>
    <x v="0"/>
    <x v="0"/>
    <x v="0"/>
    <x v="0"/>
    <x v="0"/>
    <x v="19"/>
    <x v="0"/>
    <x v="617"/>
    <x v="0"/>
    <x v="0"/>
  </r>
  <r>
    <x v="2584"/>
    <x v="2538"/>
    <x v="4"/>
    <x v="3"/>
    <x v="3"/>
    <x v="0"/>
    <x v="0"/>
    <x v="0"/>
    <x v="0"/>
    <x v="0"/>
    <x v="19"/>
    <x v="0"/>
    <x v="617"/>
    <x v="0"/>
    <x v="0"/>
  </r>
  <r>
    <x v="2585"/>
    <x v="2539"/>
    <x v="4"/>
    <x v="3"/>
    <x v="3"/>
    <x v="0"/>
    <x v="0"/>
    <x v="0"/>
    <x v="0"/>
    <x v="0"/>
    <x v="19"/>
    <x v="0"/>
    <x v="617"/>
    <x v="0"/>
    <x v="0"/>
  </r>
  <r>
    <x v="2586"/>
    <x v="2537"/>
    <x v="4"/>
    <x v="3"/>
    <x v="3"/>
    <x v="0"/>
    <x v="0"/>
    <x v="0"/>
    <x v="0"/>
    <x v="0"/>
    <x v="19"/>
    <x v="0"/>
    <x v="617"/>
    <x v="0"/>
    <x v="0"/>
  </r>
  <r>
    <x v="2587"/>
    <x v="2540"/>
    <x v="4"/>
    <x v="3"/>
    <x v="3"/>
    <x v="0"/>
    <x v="0"/>
    <x v="0"/>
    <x v="0"/>
    <x v="0"/>
    <x v="19"/>
    <x v="0"/>
    <x v="617"/>
    <x v="0"/>
    <x v="0"/>
  </r>
  <r>
    <x v="2588"/>
    <x v="2541"/>
    <x v="4"/>
    <x v="3"/>
    <x v="3"/>
    <x v="0"/>
    <x v="0"/>
    <x v="0"/>
    <x v="0"/>
    <x v="0"/>
    <x v="19"/>
    <x v="0"/>
    <x v="617"/>
    <x v="0"/>
    <x v="9"/>
  </r>
  <r>
    <x v="2589"/>
    <x v="2542"/>
    <x v="4"/>
    <x v="3"/>
    <x v="3"/>
    <x v="0"/>
    <x v="0"/>
    <x v="0"/>
    <x v="0"/>
    <x v="0"/>
    <x v="19"/>
    <x v="0"/>
    <x v="618"/>
    <x v="0"/>
    <x v="0"/>
  </r>
  <r>
    <x v="2590"/>
    <x v="2543"/>
    <x v="4"/>
    <x v="3"/>
    <x v="3"/>
    <x v="0"/>
    <x v="0"/>
    <x v="0"/>
    <x v="0"/>
    <x v="0"/>
    <x v="19"/>
    <x v="0"/>
    <x v="618"/>
    <x v="0"/>
    <x v="0"/>
  </r>
  <r>
    <x v="2591"/>
    <x v="2544"/>
    <x v="9"/>
    <x v="0"/>
    <x v="0"/>
    <x v="0"/>
    <x v="0"/>
    <x v="15"/>
    <x v="0"/>
    <x v="0"/>
    <x v="0"/>
    <x v="0"/>
    <x v="619"/>
    <x v="0"/>
    <x v="0"/>
  </r>
  <r>
    <x v="2592"/>
    <x v="2545"/>
    <x v="4"/>
    <x v="5"/>
    <x v="5"/>
    <x v="0"/>
    <x v="0"/>
    <x v="0"/>
    <x v="0"/>
    <x v="0"/>
    <x v="0"/>
    <x v="0"/>
    <x v="620"/>
    <x v="0"/>
    <x v="0"/>
  </r>
  <r>
    <x v="2593"/>
    <x v="2546"/>
    <x v="9"/>
    <x v="0"/>
    <x v="0"/>
    <x v="0"/>
    <x v="0"/>
    <x v="15"/>
    <x v="0"/>
    <x v="0"/>
    <x v="0"/>
    <x v="0"/>
    <x v="621"/>
    <x v="0"/>
    <x v="0"/>
  </r>
  <r>
    <x v="2594"/>
    <x v="2547"/>
    <x v="9"/>
    <x v="0"/>
    <x v="0"/>
    <x v="0"/>
    <x v="0"/>
    <x v="15"/>
    <x v="0"/>
    <x v="0"/>
    <x v="0"/>
    <x v="0"/>
    <x v="621"/>
    <x v="0"/>
    <x v="0"/>
  </r>
  <r>
    <x v="2595"/>
    <x v="2548"/>
    <x v="1"/>
    <x v="3"/>
    <x v="3"/>
    <x v="0"/>
    <x v="0"/>
    <x v="51"/>
    <x v="0"/>
    <x v="0"/>
    <x v="19"/>
    <x v="0"/>
    <x v="622"/>
    <x v="132"/>
    <x v="0"/>
  </r>
  <r>
    <x v="2596"/>
    <x v="2549"/>
    <x v="9"/>
    <x v="0"/>
    <x v="0"/>
    <x v="0"/>
    <x v="0"/>
    <x v="15"/>
    <x v="0"/>
    <x v="0"/>
    <x v="0"/>
    <x v="0"/>
    <x v="623"/>
    <x v="0"/>
    <x v="0"/>
  </r>
  <r>
    <x v="2597"/>
    <x v="2550"/>
    <x v="9"/>
    <x v="0"/>
    <x v="0"/>
    <x v="0"/>
    <x v="0"/>
    <x v="15"/>
    <x v="0"/>
    <x v="0"/>
    <x v="0"/>
    <x v="0"/>
    <x v="624"/>
    <x v="0"/>
    <x v="0"/>
  </r>
  <r>
    <x v="2598"/>
    <x v="2551"/>
    <x v="4"/>
    <x v="3"/>
    <x v="3"/>
    <x v="0"/>
    <x v="0"/>
    <x v="0"/>
    <x v="0"/>
    <x v="0"/>
    <x v="0"/>
    <x v="0"/>
    <x v="624"/>
    <x v="0"/>
    <x v="0"/>
  </r>
  <r>
    <x v="2599"/>
    <x v="2552"/>
    <x v="4"/>
    <x v="3"/>
    <x v="3"/>
    <x v="0"/>
    <x v="0"/>
    <x v="0"/>
    <x v="0"/>
    <x v="0"/>
    <x v="0"/>
    <x v="0"/>
    <x v="624"/>
    <x v="0"/>
    <x v="0"/>
  </r>
  <r>
    <x v="2600"/>
    <x v="2553"/>
    <x v="4"/>
    <x v="3"/>
    <x v="3"/>
    <x v="0"/>
    <x v="0"/>
    <x v="0"/>
    <x v="0"/>
    <x v="0"/>
    <x v="0"/>
    <x v="0"/>
    <x v="624"/>
    <x v="0"/>
    <x v="0"/>
  </r>
  <r>
    <x v="2601"/>
    <x v="2554"/>
    <x v="4"/>
    <x v="3"/>
    <x v="3"/>
    <x v="0"/>
    <x v="0"/>
    <x v="0"/>
    <x v="0"/>
    <x v="0"/>
    <x v="0"/>
    <x v="0"/>
    <x v="625"/>
    <x v="0"/>
    <x v="0"/>
  </r>
  <r>
    <x v="2602"/>
    <x v="2555"/>
    <x v="9"/>
    <x v="0"/>
    <x v="0"/>
    <x v="0"/>
    <x v="0"/>
    <x v="0"/>
    <x v="0"/>
    <x v="0"/>
    <x v="0"/>
    <x v="0"/>
    <x v="626"/>
    <x v="0"/>
    <x v="0"/>
  </r>
  <r>
    <x v="2603"/>
    <x v="2556"/>
    <x v="9"/>
    <x v="0"/>
    <x v="0"/>
    <x v="0"/>
    <x v="0"/>
    <x v="0"/>
    <x v="0"/>
    <x v="0"/>
    <x v="0"/>
    <x v="0"/>
    <x v="626"/>
    <x v="0"/>
    <x v="0"/>
  </r>
  <r>
    <x v="2604"/>
    <x v="2557"/>
    <x v="9"/>
    <x v="0"/>
    <x v="0"/>
    <x v="0"/>
    <x v="0"/>
    <x v="0"/>
    <x v="0"/>
    <x v="0"/>
    <x v="0"/>
    <x v="0"/>
    <x v="626"/>
    <x v="0"/>
    <x v="0"/>
  </r>
  <r>
    <x v="2605"/>
    <x v="2558"/>
    <x v="9"/>
    <x v="0"/>
    <x v="0"/>
    <x v="0"/>
    <x v="0"/>
    <x v="0"/>
    <x v="0"/>
    <x v="0"/>
    <x v="0"/>
    <x v="0"/>
    <x v="626"/>
    <x v="0"/>
    <x v="0"/>
  </r>
  <r>
    <x v="2606"/>
    <x v="2559"/>
    <x v="9"/>
    <x v="0"/>
    <x v="0"/>
    <x v="0"/>
    <x v="0"/>
    <x v="0"/>
    <x v="0"/>
    <x v="0"/>
    <x v="0"/>
    <x v="0"/>
    <x v="626"/>
    <x v="0"/>
    <x v="0"/>
  </r>
  <r>
    <x v="2607"/>
    <x v="2560"/>
    <x v="9"/>
    <x v="0"/>
    <x v="0"/>
    <x v="0"/>
    <x v="0"/>
    <x v="0"/>
    <x v="0"/>
    <x v="0"/>
    <x v="0"/>
    <x v="0"/>
    <x v="626"/>
    <x v="0"/>
    <x v="0"/>
  </r>
  <r>
    <x v="2608"/>
    <x v="2561"/>
    <x v="9"/>
    <x v="0"/>
    <x v="0"/>
    <x v="0"/>
    <x v="0"/>
    <x v="0"/>
    <x v="0"/>
    <x v="0"/>
    <x v="0"/>
    <x v="0"/>
    <x v="626"/>
    <x v="0"/>
    <x v="0"/>
  </r>
  <r>
    <x v="2609"/>
    <x v="2562"/>
    <x v="9"/>
    <x v="0"/>
    <x v="0"/>
    <x v="0"/>
    <x v="0"/>
    <x v="0"/>
    <x v="0"/>
    <x v="0"/>
    <x v="0"/>
    <x v="0"/>
    <x v="626"/>
    <x v="0"/>
    <x v="0"/>
  </r>
  <r>
    <x v="2610"/>
    <x v="2563"/>
    <x v="9"/>
    <x v="0"/>
    <x v="0"/>
    <x v="0"/>
    <x v="0"/>
    <x v="0"/>
    <x v="0"/>
    <x v="0"/>
    <x v="0"/>
    <x v="0"/>
    <x v="626"/>
    <x v="0"/>
    <x v="0"/>
  </r>
  <r>
    <x v="2611"/>
    <x v="2564"/>
    <x v="9"/>
    <x v="0"/>
    <x v="0"/>
    <x v="0"/>
    <x v="0"/>
    <x v="0"/>
    <x v="0"/>
    <x v="0"/>
    <x v="0"/>
    <x v="0"/>
    <x v="626"/>
    <x v="0"/>
    <x v="0"/>
  </r>
  <r>
    <x v="2612"/>
    <x v="2565"/>
    <x v="9"/>
    <x v="0"/>
    <x v="0"/>
    <x v="0"/>
    <x v="0"/>
    <x v="0"/>
    <x v="0"/>
    <x v="0"/>
    <x v="0"/>
    <x v="0"/>
    <x v="626"/>
    <x v="0"/>
    <x v="0"/>
  </r>
  <r>
    <x v="2613"/>
    <x v="2566"/>
    <x v="9"/>
    <x v="0"/>
    <x v="0"/>
    <x v="0"/>
    <x v="0"/>
    <x v="0"/>
    <x v="0"/>
    <x v="0"/>
    <x v="0"/>
    <x v="0"/>
    <x v="626"/>
    <x v="0"/>
    <x v="0"/>
  </r>
  <r>
    <x v="2614"/>
    <x v="2567"/>
    <x v="9"/>
    <x v="0"/>
    <x v="0"/>
    <x v="0"/>
    <x v="0"/>
    <x v="0"/>
    <x v="0"/>
    <x v="0"/>
    <x v="0"/>
    <x v="0"/>
    <x v="626"/>
    <x v="0"/>
    <x v="0"/>
  </r>
  <r>
    <x v="2615"/>
    <x v="2568"/>
    <x v="9"/>
    <x v="0"/>
    <x v="0"/>
    <x v="0"/>
    <x v="0"/>
    <x v="0"/>
    <x v="0"/>
    <x v="0"/>
    <x v="0"/>
    <x v="0"/>
    <x v="626"/>
    <x v="0"/>
    <x v="0"/>
  </r>
  <r>
    <x v="2616"/>
    <x v="2569"/>
    <x v="9"/>
    <x v="0"/>
    <x v="0"/>
    <x v="0"/>
    <x v="0"/>
    <x v="0"/>
    <x v="0"/>
    <x v="0"/>
    <x v="0"/>
    <x v="0"/>
    <x v="626"/>
    <x v="0"/>
    <x v="0"/>
  </r>
  <r>
    <x v="2617"/>
    <x v="2570"/>
    <x v="9"/>
    <x v="0"/>
    <x v="0"/>
    <x v="0"/>
    <x v="0"/>
    <x v="0"/>
    <x v="0"/>
    <x v="0"/>
    <x v="0"/>
    <x v="0"/>
    <x v="626"/>
    <x v="0"/>
    <x v="0"/>
  </r>
  <r>
    <x v="2618"/>
    <x v="2571"/>
    <x v="9"/>
    <x v="0"/>
    <x v="0"/>
    <x v="0"/>
    <x v="0"/>
    <x v="0"/>
    <x v="0"/>
    <x v="0"/>
    <x v="0"/>
    <x v="0"/>
    <x v="626"/>
    <x v="0"/>
    <x v="0"/>
  </r>
  <r>
    <x v="2619"/>
    <x v="2572"/>
    <x v="9"/>
    <x v="0"/>
    <x v="0"/>
    <x v="0"/>
    <x v="0"/>
    <x v="0"/>
    <x v="0"/>
    <x v="0"/>
    <x v="0"/>
    <x v="0"/>
    <x v="626"/>
    <x v="0"/>
    <x v="0"/>
  </r>
  <r>
    <x v="2620"/>
    <x v="2573"/>
    <x v="9"/>
    <x v="0"/>
    <x v="0"/>
    <x v="0"/>
    <x v="0"/>
    <x v="0"/>
    <x v="0"/>
    <x v="0"/>
    <x v="0"/>
    <x v="0"/>
    <x v="626"/>
    <x v="0"/>
    <x v="0"/>
  </r>
  <r>
    <x v="2621"/>
    <x v="2574"/>
    <x v="9"/>
    <x v="0"/>
    <x v="0"/>
    <x v="0"/>
    <x v="0"/>
    <x v="0"/>
    <x v="0"/>
    <x v="0"/>
    <x v="0"/>
    <x v="0"/>
    <x v="626"/>
    <x v="0"/>
    <x v="0"/>
  </r>
  <r>
    <x v="2622"/>
    <x v="2575"/>
    <x v="9"/>
    <x v="0"/>
    <x v="0"/>
    <x v="0"/>
    <x v="0"/>
    <x v="0"/>
    <x v="0"/>
    <x v="0"/>
    <x v="0"/>
    <x v="0"/>
    <x v="626"/>
    <x v="0"/>
    <x v="0"/>
  </r>
  <r>
    <x v="2623"/>
    <x v="2576"/>
    <x v="9"/>
    <x v="0"/>
    <x v="0"/>
    <x v="0"/>
    <x v="0"/>
    <x v="0"/>
    <x v="0"/>
    <x v="0"/>
    <x v="0"/>
    <x v="0"/>
    <x v="626"/>
    <x v="0"/>
    <x v="0"/>
  </r>
  <r>
    <x v="2624"/>
    <x v="2577"/>
    <x v="9"/>
    <x v="0"/>
    <x v="0"/>
    <x v="0"/>
    <x v="0"/>
    <x v="0"/>
    <x v="0"/>
    <x v="0"/>
    <x v="0"/>
    <x v="0"/>
    <x v="626"/>
    <x v="0"/>
    <x v="0"/>
  </r>
  <r>
    <x v="2625"/>
    <x v="2578"/>
    <x v="9"/>
    <x v="0"/>
    <x v="0"/>
    <x v="0"/>
    <x v="0"/>
    <x v="0"/>
    <x v="0"/>
    <x v="0"/>
    <x v="0"/>
    <x v="0"/>
    <x v="626"/>
    <x v="0"/>
    <x v="0"/>
  </r>
  <r>
    <x v="2626"/>
    <x v="2579"/>
    <x v="9"/>
    <x v="0"/>
    <x v="0"/>
    <x v="0"/>
    <x v="0"/>
    <x v="0"/>
    <x v="0"/>
    <x v="0"/>
    <x v="0"/>
    <x v="0"/>
    <x v="626"/>
    <x v="0"/>
    <x v="0"/>
  </r>
  <r>
    <x v="2627"/>
    <x v="2580"/>
    <x v="9"/>
    <x v="0"/>
    <x v="0"/>
    <x v="0"/>
    <x v="0"/>
    <x v="0"/>
    <x v="0"/>
    <x v="0"/>
    <x v="0"/>
    <x v="0"/>
    <x v="626"/>
    <x v="0"/>
    <x v="0"/>
  </r>
  <r>
    <x v="2628"/>
    <x v="2581"/>
    <x v="9"/>
    <x v="0"/>
    <x v="0"/>
    <x v="0"/>
    <x v="0"/>
    <x v="0"/>
    <x v="0"/>
    <x v="0"/>
    <x v="0"/>
    <x v="0"/>
    <x v="626"/>
    <x v="0"/>
    <x v="0"/>
  </r>
  <r>
    <x v="2629"/>
    <x v="2582"/>
    <x v="9"/>
    <x v="0"/>
    <x v="0"/>
    <x v="0"/>
    <x v="0"/>
    <x v="0"/>
    <x v="0"/>
    <x v="0"/>
    <x v="0"/>
    <x v="0"/>
    <x v="626"/>
    <x v="0"/>
    <x v="0"/>
  </r>
  <r>
    <x v="2630"/>
    <x v="2583"/>
    <x v="9"/>
    <x v="0"/>
    <x v="0"/>
    <x v="0"/>
    <x v="0"/>
    <x v="0"/>
    <x v="0"/>
    <x v="0"/>
    <x v="0"/>
    <x v="0"/>
    <x v="626"/>
    <x v="0"/>
    <x v="0"/>
  </r>
  <r>
    <x v="2631"/>
    <x v="2584"/>
    <x v="9"/>
    <x v="0"/>
    <x v="0"/>
    <x v="0"/>
    <x v="0"/>
    <x v="0"/>
    <x v="0"/>
    <x v="0"/>
    <x v="0"/>
    <x v="0"/>
    <x v="626"/>
    <x v="0"/>
    <x v="0"/>
  </r>
  <r>
    <x v="2632"/>
    <x v="2585"/>
    <x v="9"/>
    <x v="0"/>
    <x v="0"/>
    <x v="0"/>
    <x v="0"/>
    <x v="0"/>
    <x v="0"/>
    <x v="0"/>
    <x v="0"/>
    <x v="0"/>
    <x v="626"/>
    <x v="0"/>
    <x v="0"/>
  </r>
  <r>
    <x v="2633"/>
    <x v="2586"/>
    <x v="9"/>
    <x v="0"/>
    <x v="0"/>
    <x v="0"/>
    <x v="0"/>
    <x v="0"/>
    <x v="0"/>
    <x v="0"/>
    <x v="0"/>
    <x v="0"/>
    <x v="626"/>
    <x v="0"/>
    <x v="0"/>
  </r>
  <r>
    <x v="2634"/>
    <x v="2587"/>
    <x v="9"/>
    <x v="0"/>
    <x v="0"/>
    <x v="0"/>
    <x v="0"/>
    <x v="0"/>
    <x v="0"/>
    <x v="0"/>
    <x v="0"/>
    <x v="0"/>
    <x v="626"/>
    <x v="0"/>
    <x v="0"/>
  </r>
  <r>
    <x v="2635"/>
    <x v="2588"/>
    <x v="9"/>
    <x v="0"/>
    <x v="0"/>
    <x v="0"/>
    <x v="0"/>
    <x v="0"/>
    <x v="0"/>
    <x v="0"/>
    <x v="0"/>
    <x v="0"/>
    <x v="626"/>
    <x v="0"/>
    <x v="0"/>
  </r>
  <r>
    <x v="2636"/>
    <x v="2589"/>
    <x v="9"/>
    <x v="0"/>
    <x v="0"/>
    <x v="0"/>
    <x v="0"/>
    <x v="0"/>
    <x v="0"/>
    <x v="0"/>
    <x v="0"/>
    <x v="0"/>
    <x v="626"/>
    <x v="0"/>
    <x v="0"/>
  </r>
  <r>
    <x v="2637"/>
    <x v="2590"/>
    <x v="9"/>
    <x v="0"/>
    <x v="0"/>
    <x v="0"/>
    <x v="0"/>
    <x v="0"/>
    <x v="0"/>
    <x v="0"/>
    <x v="0"/>
    <x v="0"/>
    <x v="626"/>
    <x v="0"/>
    <x v="0"/>
  </r>
  <r>
    <x v="2638"/>
    <x v="2591"/>
    <x v="9"/>
    <x v="0"/>
    <x v="0"/>
    <x v="0"/>
    <x v="0"/>
    <x v="0"/>
    <x v="0"/>
    <x v="0"/>
    <x v="0"/>
    <x v="0"/>
    <x v="626"/>
    <x v="0"/>
    <x v="0"/>
  </r>
  <r>
    <x v="2639"/>
    <x v="2592"/>
    <x v="9"/>
    <x v="0"/>
    <x v="0"/>
    <x v="0"/>
    <x v="0"/>
    <x v="15"/>
    <x v="0"/>
    <x v="0"/>
    <x v="0"/>
    <x v="0"/>
    <x v="627"/>
    <x v="0"/>
    <x v="0"/>
  </r>
  <r>
    <x v="2640"/>
    <x v="2593"/>
    <x v="9"/>
    <x v="0"/>
    <x v="0"/>
    <x v="0"/>
    <x v="0"/>
    <x v="15"/>
    <x v="0"/>
    <x v="0"/>
    <x v="0"/>
    <x v="0"/>
    <x v="627"/>
    <x v="0"/>
    <x v="0"/>
  </r>
  <r>
    <x v="2641"/>
    <x v="2594"/>
    <x v="9"/>
    <x v="0"/>
    <x v="0"/>
    <x v="0"/>
    <x v="0"/>
    <x v="15"/>
    <x v="0"/>
    <x v="0"/>
    <x v="0"/>
    <x v="0"/>
    <x v="627"/>
    <x v="133"/>
    <x v="0"/>
  </r>
  <r>
    <x v="2642"/>
    <x v="2595"/>
    <x v="9"/>
    <x v="0"/>
    <x v="0"/>
    <x v="0"/>
    <x v="0"/>
    <x v="15"/>
    <x v="0"/>
    <x v="0"/>
    <x v="0"/>
    <x v="0"/>
    <x v="628"/>
    <x v="0"/>
    <x v="0"/>
  </r>
  <r>
    <x v="2643"/>
    <x v="2596"/>
    <x v="9"/>
    <x v="0"/>
    <x v="0"/>
    <x v="0"/>
    <x v="0"/>
    <x v="15"/>
    <x v="0"/>
    <x v="0"/>
    <x v="0"/>
    <x v="0"/>
    <x v="628"/>
    <x v="0"/>
    <x v="0"/>
  </r>
  <r>
    <x v="2644"/>
    <x v="2597"/>
    <x v="9"/>
    <x v="0"/>
    <x v="0"/>
    <x v="0"/>
    <x v="0"/>
    <x v="15"/>
    <x v="0"/>
    <x v="0"/>
    <x v="0"/>
    <x v="0"/>
    <x v="628"/>
    <x v="0"/>
    <x v="0"/>
  </r>
  <r>
    <x v="2645"/>
    <x v="2410"/>
    <x v="9"/>
    <x v="0"/>
    <x v="0"/>
    <x v="0"/>
    <x v="0"/>
    <x v="15"/>
    <x v="0"/>
    <x v="0"/>
    <x v="32"/>
    <x v="0"/>
    <x v="628"/>
    <x v="0"/>
    <x v="0"/>
  </r>
  <r>
    <x v="2646"/>
    <x v="2598"/>
    <x v="9"/>
    <x v="0"/>
    <x v="0"/>
    <x v="0"/>
    <x v="0"/>
    <x v="15"/>
    <x v="0"/>
    <x v="0"/>
    <x v="0"/>
    <x v="0"/>
    <x v="628"/>
    <x v="0"/>
    <x v="0"/>
  </r>
  <r>
    <x v="2647"/>
    <x v="2599"/>
    <x v="9"/>
    <x v="0"/>
    <x v="0"/>
    <x v="0"/>
    <x v="0"/>
    <x v="15"/>
    <x v="0"/>
    <x v="0"/>
    <x v="0"/>
    <x v="0"/>
    <x v="628"/>
    <x v="0"/>
    <x v="0"/>
  </r>
  <r>
    <x v="2648"/>
    <x v="2600"/>
    <x v="9"/>
    <x v="0"/>
    <x v="0"/>
    <x v="0"/>
    <x v="0"/>
    <x v="15"/>
    <x v="0"/>
    <x v="0"/>
    <x v="0"/>
    <x v="0"/>
    <x v="628"/>
    <x v="0"/>
    <x v="0"/>
  </r>
  <r>
    <x v="2649"/>
    <x v="2601"/>
    <x v="2"/>
    <x v="0"/>
    <x v="0"/>
    <x v="0"/>
    <x v="0"/>
    <x v="15"/>
    <x v="0"/>
    <x v="0"/>
    <x v="0"/>
    <x v="0"/>
    <x v="628"/>
    <x v="0"/>
    <x v="0"/>
  </r>
  <r>
    <x v="2650"/>
    <x v="2602"/>
    <x v="9"/>
    <x v="0"/>
    <x v="0"/>
    <x v="0"/>
    <x v="0"/>
    <x v="15"/>
    <x v="0"/>
    <x v="0"/>
    <x v="0"/>
    <x v="0"/>
    <x v="628"/>
    <x v="0"/>
    <x v="0"/>
  </r>
  <r>
    <x v="2651"/>
    <x v="2191"/>
    <x v="2"/>
    <x v="0"/>
    <x v="0"/>
    <x v="0"/>
    <x v="0"/>
    <x v="15"/>
    <x v="0"/>
    <x v="0"/>
    <x v="32"/>
    <x v="0"/>
    <x v="629"/>
    <x v="0"/>
    <x v="0"/>
  </r>
  <r>
    <x v="2652"/>
    <x v="2603"/>
    <x v="9"/>
    <x v="0"/>
    <x v="0"/>
    <x v="0"/>
    <x v="0"/>
    <x v="15"/>
    <x v="0"/>
    <x v="0"/>
    <x v="0"/>
    <x v="0"/>
    <x v="630"/>
    <x v="0"/>
    <x v="0"/>
  </r>
  <r>
    <x v="2653"/>
    <x v="2604"/>
    <x v="9"/>
    <x v="0"/>
    <x v="0"/>
    <x v="0"/>
    <x v="0"/>
    <x v="15"/>
    <x v="0"/>
    <x v="0"/>
    <x v="0"/>
    <x v="0"/>
    <x v="631"/>
    <x v="0"/>
    <x v="0"/>
  </r>
  <r>
    <x v="2654"/>
    <x v="2605"/>
    <x v="9"/>
    <x v="0"/>
    <x v="0"/>
    <x v="0"/>
    <x v="0"/>
    <x v="15"/>
    <x v="0"/>
    <x v="0"/>
    <x v="0"/>
    <x v="0"/>
    <x v="632"/>
    <x v="0"/>
    <x v="0"/>
  </r>
  <r>
    <x v="2655"/>
    <x v="2606"/>
    <x v="9"/>
    <x v="0"/>
    <x v="0"/>
    <x v="0"/>
    <x v="0"/>
    <x v="15"/>
    <x v="0"/>
    <x v="0"/>
    <x v="0"/>
    <x v="0"/>
    <x v="632"/>
    <x v="0"/>
    <x v="0"/>
  </r>
  <r>
    <x v="2656"/>
    <x v="2607"/>
    <x v="9"/>
    <x v="0"/>
    <x v="0"/>
    <x v="0"/>
    <x v="0"/>
    <x v="15"/>
    <x v="0"/>
    <x v="0"/>
    <x v="0"/>
    <x v="0"/>
    <x v="632"/>
    <x v="0"/>
    <x v="0"/>
  </r>
  <r>
    <x v="2657"/>
    <x v="2608"/>
    <x v="1"/>
    <x v="3"/>
    <x v="3"/>
    <x v="0"/>
    <x v="0"/>
    <x v="3"/>
    <x v="0"/>
    <x v="0"/>
    <x v="0"/>
    <x v="90"/>
    <x v="633"/>
    <x v="0"/>
    <x v="0"/>
  </r>
  <r>
    <x v="2658"/>
    <x v="2609"/>
    <x v="4"/>
    <x v="3"/>
    <x v="3"/>
    <x v="0"/>
    <x v="0"/>
    <x v="0"/>
    <x v="0"/>
    <x v="0"/>
    <x v="0"/>
    <x v="0"/>
    <x v="634"/>
    <x v="0"/>
    <x v="0"/>
  </r>
  <r>
    <x v="2659"/>
    <x v="2610"/>
    <x v="1"/>
    <x v="3"/>
    <x v="3"/>
    <x v="0"/>
    <x v="0"/>
    <x v="0"/>
    <x v="0"/>
    <x v="0"/>
    <x v="0"/>
    <x v="0"/>
    <x v="634"/>
    <x v="0"/>
    <x v="0"/>
  </r>
  <r>
    <x v="2660"/>
    <x v="2611"/>
    <x v="1"/>
    <x v="3"/>
    <x v="3"/>
    <x v="0"/>
    <x v="0"/>
    <x v="0"/>
    <x v="0"/>
    <x v="0"/>
    <x v="0"/>
    <x v="0"/>
    <x v="635"/>
    <x v="0"/>
    <x v="0"/>
  </r>
  <r>
    <x v="2661"/>
    <x v="2612"/>
    <x v="1"/>
    <x v="3"/>
    <x v="3"/>
    <x v="0"/>
    <x v="0"/>
    <x v="0"/>
    <x v="0"/>
    <x v="0"/>
    <x v="0"/>
    <x v="0"/>
    <x v="636"/>
    <x v="0"/>
    <x v="0"/>
  </r>
  <r>
    <x v="2662"/>
    <x v="2613"/>
    <x v="1"/>
    <x v="5"/>
    <x v="5"/>
    <x v="0"/>
    <x v="0"/>
    <x v="0"/>
    <x v="0"/>
    <x v="0"/>
    <x v="18"/>
    <x v="0"/>
    <x v="637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compact="0" compactData="0" outline="1" outlineData="1" name="SalesByClient" multipleFieldFilters="0" showMissing="0" indent="0" dataCaption="Values" createdVersion="7" updatedVersion="7" cacheId="1" mc:Ignorable="xr">
  <location ref="B5:O69" firstDataRow="3" firstDataCol="2" firstHeaderRow="1" rowPageCount="3" colPageCount="1"/>
  <pivotFields count="43">
    <pivotField compact="0" axis="axisValues" showAll="0" dataField="1"/>
    <pivotField compact="0" axis="axisRow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axis="axisPage" subtotalTop="0" showAll="0">
      <items count="12">
        <item x="5"/>
        <item x="10"/>
        <item x="3"/>
        <item x="9"/>
        <item x="2"/>
        <item x="8"/>
        <item x="0"/>
        <item x="1"/>
        <item x="6"/>
        <item x="7"/>
        <item x="4"/>
        <item t="default"/>
      </items>
    </pivotField>
    <pivotField compact="0" showAll="0"/>
    <pivotField compact="0" axis="axisPage" subtotalTop="0" showAll="0">
      <items count="5">
        <item x="1"/>
        <item x="2"/>
        <item x="3"/>
        <item x="0"/>
        <item t="default"/>
      </items>
    </pivotField>
    <pivotField compact="0" showAll="0"/>
    <pivotField compact="0" axis="axisRow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axis="axisCol" subtotalTop="0" showAll="0">
      <items count="4">
        <item x="1"/>
        <item x="2"/>
        <item x="0"/>
        <item t="default"/>
      </items>
    </pivotField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Page" subtotalTop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6"/>
    <field x="1"/>
  </rowFields>
  <rowItems count="62">
    <i>
      <x/>
    </i>
    <i r="1">
      <x/>
    </i>
    <i r="1">
      <x v="1"/>
    </i>
    <i t="default">
      <x/>
    </i>
    <i>
      <x v="1"/>
    </i>
    <i r="1">
      <x v="4"/>
    </i>
    <i r="1">
      <x v="5"/>
    </i>
    <i r="1">
      <x v="6"/>
    </i>
    <i t="default">
      <x v="1"/>
    </i>
    <i>
      <x v="2"/>
    </i>
    <i r="1">
      <x v="13"/>
    </i>
    <i r="1">
      <x v="14"/>
    </i>
    <i r="1">
      <x v="15"/>
    </i>
    <i t="default">
      <x v="2"/>
    </i>
    <i>
      <x v="3"/>
    </i>
    <i r="1">
      <x v="11"/>
    </i>
    <i t="default">
      <x v="3"/>
    </i>
    <i>
      <x v="4"/>
    </i>
    <i r="1">
      <x v="26"/>
    </i>
    <i r="1">
      <x v="27"/>
    </i>
    <i t="default">
      <x v="4"/>
    </i>
    <i>
      <x v="5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4"/>
    </i>
    <i r="1">
      <x v="45"/>
    </i>
    <i t="default">
      <x v="5"/>
    </i>
    <i>
      <x v="6"/>
    </i>
    <i r="1">
      <x v="41"/>
    </i>
    <i r="1">
      <x v="42"/>
    </i>
    <i r="1">
      <x v="46"/>
    </i>
    <i t="default">
      <x v="6"/>
    </i>
    <i t="grand">
      <x/>
    </i>
  </rowItems>
  <colFields count="2">
    <field x="-2"/>
    <field x="14"/>
  </colFields>
  <colItems count="12">
    <i>
      <x/>
      <x v="2"/>
    </i>
    <i r="1">
      <x/>
    </i>
    <i r="1">
      <x v="1"/>
    </i>
    <i i="1">
      <x v="1"/>
      <x v="2"/>
    </i>
    <i i="1" r="1">
      <x/>
    </i>
    <i i="1" r="1">
      <x v="1"/>
    </i>
    <i i="2">
      <x v="2"/>
      <x v="2"/>
    </i>
    <i i="2" r="1">
      <x/>
    </i>
    <i i="2" r="1">
      <x v="1"/>
    </i>
    <i t="grand">
      <x/>
    </i>
    <i t="grand" i="1">
      <x v="1"/>
    </i>
    <i t="grand" i="2">
      <x v="2"/>
    </i>
  </colItems>
  <pageFields count="3">
    <pageField fld="32"/>
    <pageField fld="4"/>
    <pageField fld="2"/>
  </pageFields>
  <dataFields count="3">
    <dataField name="Total ARR" subtotal="sum" fld="9"/>
    <dataField name="Feature Count" subtotal="count" fld="0"/>
    <dataField name="Avg Completion %" subtotal="average" fld="15"/>
  </dataFields>
  <pivotTableStyleInfo name="CustomPivotTableStyle_SalesByClien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compact="0" compactData="0" outline="1" outlineData="1" name="RevenueByTier" multipleFieldFilters="0" showMissing="0" indent="0" dataCaption="Values" createdVersion="7" updatedVersion="7" cacheId="1" mc:Ignorable="xr">
  <location ref="B6:W62" firstDataRow="3" firstDataCol="2" firstHeaderRow="1" rowPageCount="4" colPageCount="1"/>
  <pivotFields count="43">
    <pivotField compact="0" showAll="0"/>
    <pivotField compact="0" axis="axisRow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axis="axisPage" subtotalTop="0" showAll="0">
      <items count="12">
        <item x="5"/>
        <item x="10"/>
        <item x="3"/>
        <item x="9"/>
        <item x="2"/>
        <item x="8"/>
        <item x="0"/>
        <item x="1"/>
        <item x="6"/>
        <item x="7"/>
        <item x="4"/>
        <item t="default"/>
      </items>
    </pivotField>
    <pivotField compact="0" showAll="0"/>
    <pivotField compact="0" axis="axisCol" subtotalTop="0" showAll="0">
      <items count="5">
        <item x="1"/>
        <item x="2"/>
        <item x="3"/>
        <item x="0"/>
        <item t="default"/>
      </items>
    </pivotField>
    <pivotField compact="0" showAll="0"/>
    <pivotField compact="0" axis="axisPage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showAll="0"/>
    <pivotField compact="0" axis="axisValues" showAll="0" dataField="1"/>
    <pivotField compact="0" axis="axisPage" subtotalTop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compact="0" axis="axisValues" showAll="0" dataField="1"/>
    <pivotField compact="0" axis="axisPage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Row" subtotalTop="0" showAll="0">
      <items count="4">
        <item x="2"/>
        <item x="1"/>
        <item x="0"/>
        <item t="default"/>
      </items>
    </pivotField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32"/>
    <field x="1"/>
  </rowFields>
  <rowItems count="54">
    <i>
      <x/>
    </i>
    <i r="1">
      <x v="4"/>
    </i>
    <i t="default">
      <x/>
    </i>
    <i>
      <x v="1"/>
    </i>
    <i r="1">
      <x/>
    </i>
    <i r="1">
      <x v="5"/>
    </i>
    <i r="1">
      <x v="14"/>
    </i>
    <i r="1">
      <x v="41"/>
    </i>
    <i r="1">
      <x v="42"/>
    </i>
    <i r="1">
      <x v="46"/>
    </i>
    <i t="default">
      <x v="1"/>
    </i>
    <i>
      <x v="2"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4"/>
    </i>
    <i r="1">
      <x v="45"/>
    </i>
    <i t="default">
      <x v="2"/>
    </i>
    <i t="grand">
      <x/>
    </i>
  </rowItems>
  <colFields count="2">
    <field x="-2"/>
    <field x="4"/>
  </colFields>
  <colItems count="20">
    <i>
      <x/>
      <x/>
    </i>
    <i r="1">
      <x v="1"/>
    </i>
    <i r="1">
      <x v="2"/>
    </i>
    <i r="1">
      <x v="3"/>
    </i>
    <i i="1">
      <x v="1"/>
      <x/>
    </i>
    <i i="1" r="1">
      <x v="1"/>
    </i>
    <i i="1" r="1">
      <x v="2"/>
    </i>
    <i i="1" r="1">
      <x v="3"/>
    </i>
    <i i="2">
      <x v="2"/>
      <x/>
    </i>
    <i i="2" r="1">
      <x v="1"/>
    </i>
    <i i="2" r="1">
      <x v="2"/>
    </i>
    <i i="2" r="1">
      <x v="3"/>
    </i>
    <i i="3">
      <x v="3"/>
      <x/>
    </i>
    <i i="3" r="1">
      <x v="1"/>
    </i>
    <i i="3" r="1">
      <x v="2"/>
    </i>
    <i i="3" r="1">
      <x v="3"/>
    </i>
    <i t="grand">
      <x/>
    </i>
    <i t="grand" i="1">
      <x v="1"/>
    </i>
    <i t="grand" i="2">
      <x v="2"/>
    </i>
    <i t="grand" i="3">
      <x v="3"/>
    </i>
  </colItems>
  <pageFields count="4">
    <pageField fld="10"/>
    <pageField fld="2"/>
    <pageField fld="6"/>
    <pageField fld="14"/>
  </pageFields>
  <dataFields count="4">
    <dataField name="Total ARR" subtotal="sum" fld="9"/>
    <dataField name="Weighted ARR" subtotal="sum" fld="34"/>
    <dataField name="Total Effort (Weeks)" subtotal="sum" fld="17"/>
    <dataField name="Avg Probability" subtotal="average" fld="13"/>
  </dataFields>
  <pivotTableStyleInfo name="CustomPivotTableStyle_RevenueByTier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compact="0" compactData="0" outline="1" outlineData="1" name="EngineeringCapacity" multipleFieldFilters="0" showMissing="0" indent="0" dataCaption="Values" createdVersion="7" updatedVersion="7" cacheId="1" mc:Ignorable="xr">
  <location ref="B5:X63" firstDataRow="3" firstDataCol="3" firstHeaderRow="1" rowPageCount="3" colPageCount="1"/>
  <pivotFields count="43">
    <pivotField compact="0" axis="axisValues" showAll="0" dataField="1"/>
    <pivotField compact="0" axis="axisRow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showAll="0"/>
    <pivotField compact="0" showAll="0"/>
    <pivotField compact="0" axis="axisPage" subtotalTop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Page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axis="axisValues" showAll="0" dataField="1"/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Col" subtotalTop="0" showAll="0">
      <items count="5">
        <item x="1"/>
        <item x="3"/>
        <item x="2"/>
        <item x="0"/>
        <item t="default"/>
      </items>
    </pivotField>
    <pivotField compact="0" showAll="0"/>
    <pivotField compact="0" axis="axisRow" subtotalTop="0" showAll="0">
      <items count="4">
        <item x="2"/>
        <item x="1"/>
        <item x="0"/>
        <item t="default"/>
      </items>
    </pivotField>
    <pivotField compact="0" showAll="0"/>
    <pivotField compact="0" axis="axisPage" subtotalTop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axis="axisRow" subtotalTop="0" showAll="0">
      <items count="2">
        <item x="0"/>
        <item t="default"/>
      </items>
    </pivotField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</pivotFields>
  <rowFields count="3">
    <field x="36"/>
    <field x="30"/>
    <field x="1"/>
  </rowFields>
  <rowItems count="56">
    <i>
      <x/>
    </i>
    <i r="1">
      <x v="2"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3"/>
    </i>
    <i r="2">
      <x v="44"/>
    </i>
    <i r="2">
      <x v="45"/>
    </i>
    <i r="1" t="default">
      <x v="2"/>
    </i>
    <i r="1">
      <x v="1"/>
    </i>
    <i r="2">
      <x/>
    </i>
    <i r="2">
      <x v="14"/>
    </i>
    <i r="1" t="default">
      <x v="1"/>
    </i>
    <i r="1">
      <x/>
    </i>
    <i r="2">
      <x v="4"/>
    </i>
    <i r="2">
      <x v="5"/>
    </i>
    <i r="2">
      <x v="41"/>
    </i>
    <i r="2">
      <x v="42"/>
    </i>
    <i r="2">
      <x v="46"/>
    </i>
    <i r="1" t="default">
      <x/>
    </i>
    <i t="default">
      <x/>
    </i>
    <i t="grand">
      <x/>
    </i>
  </rowItems>
  <colFields count="2">
    <field x="-2"/>
    <field x="28"/>
  </colFields>
  <colItems count="20">
    <i>
      <x/>
      <x v="3"/>
    </i>
    <i r="1">
      <x/>
    </i>
    <i r="1">
      <x v="2"/>
    </i>
    <i r="1">
      <x v="1"/>
    </i>
    <i i="1">
      <x v="1"/>
      <x v="3"/>
    </i>
    <i i="1" r="1">
      <x/>
    </i>
    <i i="1" r="1">
      <x v="2"/>
    </i>
    <i i="1" r="1">
      <x v="1"/>
    </i>
    <i i="2">
      <x v="2"/>
      <x v="3"/>
    </i>
    <i i="2" r="1">
      <x/>
    </i>
    <i i="2" r="1">
      <x v="2"/>
    </i>
    <i i="2" r="1">
      <x v="1"/>
    </i>
    <i i="3">
      <x v="3"/>
      <x v="3"/>
    </i>
    <i i="3" r="1">
      <x/>
    </i>
    <i i="3" r="1">
      <x v="2"/>
    </i>
    <i i="3" r="1">
      <x v="1"/>
    </i>
    <i t="grand">
      <x/>
    </i>
    <i t="grand" i="1">
      <x v="1"/>
    </i>
    <i t="grand" i="2">
      <x v="2"/>
    </i>
    <i t="grand" i="3">
      <x v="3"/>
    </i>
  </colItems>
  <pageFields count="3">
    <pageField fld="32"/>
    <pageField fld="14"/>
    <pageField fld="4"/>
  </pageFields>
  <dataFields count="4">
    <dataField name="Total Effort (Weeks)" subtotal="sum" fld="17"/>
    <dataField name="Total JIRA Tickets" subtotal="sum" fld="37"/>
    <dataField name="Feature Count" subtotal="count" fld="0"/>
    <dataField name="Avg Priority Score" subtotal="average" fld="19"/>
  </dataFields>
  <pivotTableStyleInfo name="CustomPivotTableStyle_EngineeringCapacity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compact="0" compactData="0" outline="1" outlineData="1" name="ProductRoadmap" multipleFieldFilters="0" showMissing="0" indent="0" dataCaption="Values" createdVersion="7" updatedVersion="7" cacheId="1" mc:Ignorable="xr">
  <location ref="B5:P105" firstDataRow="3" firstDataCol="3" firstHeaderRow="1" rowPageCount="3" colPageCount="1"/>
  <pivotFields count="43">
    <pivotField compact="0" showAll="0"/>
    <pivotField compact="0" axis="axisRow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axis="axisRow" subtotalTop="0" showAll="0">
      <items count="12">
        <item x="5"/>
        <item x="10"/>
        <item x="3"/>
        <item x="9"/>
        <item x="2"/>
        <item x="8"/>
        <item x="0"/>
        <item x="1"/>
        <item x="6"/>
        <item x="7"/>
        <item x="4"/>
        <item t="default"/>
      </items>
    </pivotField>
    <pivotField compact="0" showAll="0"/>
    <pivotField compact="0" axis="axisRow" subtotalTop="0" showAll="0">
      <items count="5">
        <item x="1"/>
        <item x="2"/>
        <item x="3"/>
        <item x="0"/>
        <item t="default"/>
      </items>
    </pivotField>
    <pivotField compact="0" axis="axisValues" showAll="0" dataField="1"/>
    <pivotField compact="0" axis="axisPage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axis="axisPage" subtotalTop="0" showAll="0">
      <items count="4">
        <item x="2"/>
        <item x="1"/>
        <item x="0"/>
        <item t="default"/>
      </items>
    </pivotField>
    <pivotField compact="0" axis="axisValues" showAll="0" dataField="1"/>
    <pivotField compact="0" showAll="0"/>
    <pivotField compact="0" showAll="0"/>
    <pivotField compact="0" showAll="0"/>
    <pivotField compact="0" showAll="0"/>
    <pivotField compact="0" axis="axisPage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Col" subtotalTop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4"/>
    <field x="2"/>
    <field x="1"/>
  </rowFields>
  <rowItems count="98">
    <i>
      <x/>
    </i>
    <i r="1">
      <x/>
    </i>
    <i r="2">
      <x v="8"/>
    </i>
    <i r="2">
      <x v="13"/>
    </i>
    <i r="2">
      <x v="26"/>
    </i>
    <i r="2">
      <x v="46"/>
    </i>
    <i r="1" t="default">
      <x/>
    </i>
    <i r="1">
      <x v="6"/>
    </i>
    <i r="2">
      <x v="1"/>
    </i>
    <i r="2">
      <x v="17"/>
    </i>
    <i r="2">
      <x v="21"/>
    </i>
    <i r="2">
      <x v="22"/>
    </i>
    <i r="2">
      <x v="39"/>
    </i>
    <i r="1" t="default">
      <x v="6"/>
    </i>
    <i r="1">
      <x v="7"/>
    </i>
    <i r="2">
      <x v="2"/>
    </i>
    <i r="2">
      <x v="20"/>
    </i>
    <i r="2">
      <x v="23"/>
    </i>
    <i r="1" t="default">
      <x v="7"/>
    </i>
    <i r="1">
      <x v="9"/>
    </i>
    <i r="2">
      <x v="40"/>
    </i>
    <i r="2">
      <x v="42"/>
    </i>
    <i r="1" t="default">
      <x v="9"/>
    </i>
    <i r="1">
      <x v="10"/>
    </i>
    <i r="2">
      <x v="15"/>
    </i>
    <i r="2">
      <x v="44"/>
    </i>
    <i r="1" t="default">
      <x v="10"/>
    </i>
    <i t="default">
      <x/>
    </i>
    <i>
      <x v="1"/>
    </i>
    <i r="1">
      <x v="1"/>
    </i>
    <i r="2">
      <x v="9"/>
    </i>
    <i r="1" t="default">
      <x v="1"/>
    </i>
    <i r="1">
      <x v="2"/>
    </i>
    <i r="2">
      <x v="16"/>
    </i>
    <i r="2">
      <x v="18"/>
    </i>
    <i r="1" t="default">
      <x v="2"/>
    </i>
    <i r="1">
      <x v="4"/>
    </i>
    <i r="2">
      <x v="30"/>
    </i>
    <i r="1" t="default">
      <x v="4"/>
    </i>
    <i r="1">
      <x v="5"/>
    </i>
    <i r="2">
      <x v="33"/>
    </i>
    <i r="1" t="default">
      <x v="5"/>
    </i>
    <i r="1">
      <x v="6"/>
    </i>
    <i r="2">
      <x v="32"/>
    </i>
    <i r="1" t="default">
      <x v="6"/>
    </i>
    <i r="1">
      <x v="7"/>
    </i>
    <i r="2">
      <x v="24"/>
    </i>
    <i r="2">
      <x v="34"/>
    </i>
    <i r="2">
      <x v="43"/>
    </i>
    <i r="2">
      <x v="45"/>
    </i>
    <i r="1" t="default">
      <x v="7"/>
    </i>
    <i r="1">
      <x v="8"/>
    </i>
    <i r="2">
      <x v="27"/>
    </i>
    <i r="2">
      <x v="37"/>
    </i>
    <i r="1" t="default">
      <x v="8"/>
    </i>
    <i t="default">
      <x v="1"/>
    </i>
    <i>
      <x v="2"/>
    </i>
    <i r="1">
      <x v="3"/>
    </i>
    <i r="2">
      <x v="29"/>
    </i>
    <i r="1" t="default">
      <x v="3"/>
    </i>
    <i r="1">
      <x v="6"/>
    </i>
    <i r="2">
      <x v="3"/>
    </i>
    <i r="2">
      <x v="10"/>
    </i>
    <i r="2">
      <x v="19"/>
    </i>
    <i r="2">
      <x v="25"/>
    </i>
    <i r="1" t="default">
      <x v="6"/>
    </i>
    <i r="1">
      <x v="7"/>
    </i>
    <i r="2">
      <x v="35"/>
    </i>
    <i r="1" t="default">
      <x v="7"/>
    </i>
    <i t="default">
      <x v="2"/>
    </i>
    <i>
      <x v="3"/>
    </i>
    <i r="1">
      <x v="2"/>
    </i>
    <i r="2">
      <x/>
    </i>
    <i r="2">
      <x v="5"/>
    </i>
    <i r="1" t="default">
      <x v="2"/>
    </i>
    <i r="1">
      <x v="4"/>
    </i>
    <i r="2">
      <x v="6"/>
    </i>
    <i r="2">
      <x v="31"/>
    </i>
    <i r="1" t="default">
      <x v="4"/>
    </i>
    <i r="1">
      <x v="6"/>
    </i>
    <i r="2">
      <x v="7"/>
    </i>
    <i r="2">
      <x v="11"/>
    </i>
    <i r="2">
      <x v="28"/>
    </i>
    <i r="2">
      <x v="38"/>
    </i>
    <i r="1" t="default">
      <x v="6"/>
    </i>
    <i r="1">
      <x v="7"/>
    </i>
    <i r="2">
      <x v="12"/>
    </i>
    <i r="2">
      <x v="36"/>
    </i>
    <i r="1" t="default">
      <x v="7"/>
    </i>
    <i r="1">
      <x v="9"/>
    </i>
    <i r="2">
      <x v="41"/>
    </i>
    <i r="1" t="default">
      <x v="9"/>
    </i>
    <i r="1">
      <x v="10"/>
    </i>
    <i r="2">
      <x v="4"/>
    </i>
    <i r="2">
      <x v="14"/>
    </i>
    <i r="1" t="default">
      <x v="10"/>
    </i>
    <i t="default">
      <x v="3"/>
    </i>
    <i t="grand">
      <x/>
    </i>
  </rowItems>
  <colFields count="2">
    <field x="-2"/>
    <field x="32"/>
  </colFields>
  <colItems count="12">
    <i>
      <x/>
      <x/>
    </i>
    <i r="1">
      <x v="1"/>
    </i>
    <i r="1">
      <x v="2"/>
    </i>
    <i i="1">
      <x v="1"/>
      <x/>
    </i>
    <i i="1" r="1">
      <x v="1"/>
    </i>
    <i i="1" r="1">
      <x v="2"/>
    </i>
    <i i="2">
      <x v="2"/>
      <x/>
    </i>
    <i i="2" r="1">
      <x v="1"/>
    </i>
    <i i="2" r="1">
      <x v="2"/>
    </i>
    <i t="grand">
      <x/>
    </i>
    <i t="grand" i="1">
      <x v="1"/>
    </i>
    <i t="grand" i="2">
      <x v="2"/>
    </i>
  </colItems>
  <pageFields count="3">
    <pageField fld="6"/>
    <pageField fld="8"/>
    <pageField fld="14"/>
  </pageFields>
  <dataFields count="3">
    <dataField name="Total ARR" subtotal="sum" fld="9"/>
    <dataField name="Total Effort (Weeks)" subtotal="sum" fld="17"/>
    <dataField name="Avg Replicability" subtotal="average" fld="5"/>
  </dataFields>
  <pivotTableStyleInfo name="CustomPivotTableStyle_ProductRoadmap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compact="0" compactData="0" outline="1" outlineData="1" name="StrategicVsOperational" multipleFieldFilters="0" showMissing="0" indent="0" dataCaption="Values" createdVersion="7" updatedVersion="7" cacheId="2" mc:Ignorable="xr">
  <location ref="B14:T76" firstDataRow="3" firstDataCol="3" firstHeaderRow="1" rowPageCount="3" colPageCount="1"/>
  <pivotFields count="46">
    <pivotField compact="0" axis="axisValues" showAll="0" dataField="1"/>
    <pivotField compact="0" axis="axisRow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showAll="0"/>
    <pivotField compact="0" showAll="0"/>
    <pivotField compact="0" axis="axisPage" subtotalTop="0" showAll="0">
      <items count="5">
        <item x="1"/>
        <item x="2"/>
        <item x="3"/>
        <item x="0"/>
        <item t="default"/>
      </items>
    </pivotField>
    <pivotField compact="0" showAll="0"/>
    <pivotField compact="0" axis="axisPage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axis="axisPage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Row" subtotalTop="0" showAll="0">
      <items count="4">
        <item x="2"/>
        <item x="1"/>
        <item x="0"/>
        <item t="default"/>
      </items>
    </pivotField>
    <pivotField compact="0" showAll="0"/>
    <pivotField compact="0" axis="axisValues" showAll="0" dataField="1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axis="axisRow" subtotalTop="0" showAll="0">
      <items count="3">
        <item x="1"/>
        <item x="0"/>
        <item t="default"/>
      </items>
    </pivotField>
    <pivotField compact="0" axis="axisCol" subtotalTop="0" showAll="0">
      <items count="4">
        <item x="2"/>
        <item x="0"/>
        <item x="1"/>
        <item t="default"/>
      </items>
    </pivotField>
    <pivotField compact="0" showAll="0"/>
  </pivotFields>
  <rowFields count="3">
    <field x="43"/>
    <field x="32"/>
    <field x="1"/>
  </rowFields>
  <rowItems count="60">
    <i>
      <x/>
    </i>
    <i r="1">
      <x/>
    </i>
    <i r="2">
      <x v="4"/>
    </i>
    <i r="1" t="default">
      <x/>
    </i>
    <i r="1">
      <x v="1"/>
    </i>
    <i r="2">
      <x/>
    </i>
    <i r="2">
      <x v="5"/>
    </i>
    <i r="2">
      <x v="14"/>
    </i>
    <i r="2">
      <x v="41"/>
    </i>
    <i r="2">
      <x v="42"/>
    </i>
    <i r="2">
      <x v="46"/>
    </i>
    <i r="1" t="default">
      <x v="1"/>
    </i>
    <i r="1">
      <x v="2"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5"/>
    </i>
    <i r="2">
      <x v="16"/>
    </i>
    <i r="2">
      <x v="18"/>
    </i>
    <i r="2">
      <x v="19"/>
    </i>
    <i r="2">
      <x v="20"/>
    </i>
    <i r="2">
      <x v="23"/>
    </i>
    <i r="2">
      <x v="24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3"/>
    </i>
    <i r="2">
      <x v="44"/>
    </i>
    <i r="2">
      <x v="45"/>
    </i>
    <i r="1" t="default">
      <x v="2"/>
    </i>
    <i t="default">
      <x/>
    </i>
    <i>
      <x v="1"/>
    </i>
    <i r="1">
      <x v="2"/>
    </i>
    <i r="2">
      <x v="10"/>
    </i>
    <i r="2">
      <x v="17"/>
    </i>
    <i r="2">
      <x v="21"/>
    </i>
    <i r="2">
      <x v="22"/>
    </i>
    <i r="2">
      <x v="25"/>
    </i>
    <i r="2">
      <x v="28"/>
    </i>
    <i r="2">
      <x v="38"/>
    </i>
    <i r="1" t="default">
      <x v="2"/>
    </i>
    <i t="default">
      <x v="1"/>
    </i>
    <i t="grand">
      <x/>
    </i>
  </rowItems>
  <colFields count="2">
    <field x="-2"/>
    <field x="44"/>
  </colFields>
  <colItems count="16">
    <i>
      <x/>
      <x/>
    </i>
    <i r="1">
      <x v="1"/>
    </i>
    <i r="1">
      <x v="2"/>
    </i>
    <i i="1">
      <x v="1"/>
      <x/>
    </i>
    <i i="1" r="1">
      <x v="1"/>
    </i>
    <i i="1" r="1">
      <x v="2"/>
    </i>
    <i i="2">
      <x v="2"/>
      <x/>
    </i>
    <i i="2" r="1">
      <x v="1"/>
    </i>
    <i i="2" r="1">
      <x v="2"/>
    </i>
    <i i="3">
      <x v="3"/>
      <x/>
    </i>
    <i i="3" r="1">
      <x v="1"/>
    </i>
    <i i="3" r="1">
      <x v="2"/>
    </i>
    <i t="grand">
      <x/>
    </i>
    <i t="grand" i="1">
      <x v="1"/>
    </i>
    <i t="grand" i="2">
      <x v="2"/>
    </i>
    <i t="grand" i="3">
      <x v="3"/>
    </i>
  </colItems>
  <pageFields count="3">
    <pageField fld="4"/>
    <pageField fld="6"/>
    <pageField fld="14"/>
  </pageFields>
  <dataFields count="4">
    <dataField name="Total ARR Impact" subtotal="sum" fld="9"/>
    <dataField name="Weighted ARR" subtotal="sum" fld="34"/>
    <dataField name="Total Effort (Weeks)" subtotal="sum" fld="17"/>
    <dataField name="Feature Count" subtotal="count" fld="0"/>
  </dataFields>
  <pivotTableStyleInfo name="CustomPivotTableStyle_StrategicVsOperationa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compact="0" compactData="0" outline="1" outlineData="1" name="TicketsByProject" multipleFieldFilters="0" showMissing="0" indent="0" dataCaption="Values" createdVersion="7" updatedVersion="7" cacheId="3">
  <location ref="B6:D25" firstDataRow="1" firstDataCol="2" firstHeaderRow="1" colPageCount="1"/>
  <pivotFields count="15">
    <pivotField compact="0" axis="axisValues" showAll="0" dataField="1"/>
    <pivotField compact="0" showAll="0"/>
    <pivotField compact="0" showAll="0"/>
    <pivotField compact="0" axis="axisRow" subtotalTop="0" showAll="0">
      <items count="7">
        <item x="2"/>
        <item x="3"/>
        <item x="5"/>
        <item x="1"/>
        <item x="0"/>
        <item x="4"/>
        <item t="default"/>
      </items>
    </pivotField>
    <pivotField compact="0" axis="axisRow" subtotalTop="0" showAll="0">
      <items count="7">
        <item x="2"/>
        <item x="3"/>
        <item x="5"/>
        <item x="0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4"/>
    <field x="3"/>
  </rowFields>
  <rowItems count="19">
    <i>
      <x/>
    </i>
    <i r="1">
      <x/>
    </i>
    <i t="default">
      <x/>
    </i>
    <i>
      <x v="1"/>
    </i>
    <i r="1">
      <x v="1"/>
    </i>
    <i t="default">
      <x v="1"/>
    </i>
    <i>
      <x v="2"/>
    </i>
    <i r="1">
      <x v="2"/>
    </i>
    <i t="default">
      <x v="2"/>
    </i>
    <i>
      <x v="3"/>
    </i>
    <i r="1">
      <x v="4"/>
    </i>
    <i t="default">
      <x v="3"/>
    </i>
    <i>
      <x v="4"/>
    </i>
    <i r="1">
      <x v="5"/>
    </i>
    <i t="default">
      <x v="4"/>
    </i>
    <i>
      <x v="5"/>
    </i>
    <i r="1">
      <x v="3"/>
    </i>
    <i t="default">
      <x v="5"/>
    </i>
    <i t="grand">
      <x/>
    </i>
  </rowItems>
  <colItems count="1">
    <i/>
  </colItems>
  <dataFields count="1">
    <dataField name="Ticket Count" subtotal="count" fld="0"/>
  </dataFields>
  <pivotTableStyleInfo name="CustomPivotTableStyle_TicketsByProjec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compact="0" compactData="0" outline="1" outlineData="1" name="TicketsByStatus" multipleFieldFilters="0" showMissing="0" indent="0" dataCaption="Values" createdVersion="7" updatedVersion="7" cacheId="3">
  <location ref="G6:H22" firstDataRow="1" firstDataCol="1" firstHeaderRow="1" colPageCount="1"/>
  <pivotFields count="15">
    <pivotField compact="0" axis="axisValues" showAll="0" dataField="1"/>
    <pivotField compact="0" showAll="0"/>
    <pivotField compact="0" axis="axisRow" subtotalTop="0" showAll="0">
      <items count="16">
        <item x="10"/>
        <item x="9"/>
        <item x="6"/>
        <item x="4"/>
        <item x="8"/>
        <item x="5"/>
        <item x="12"/>
        <item x="14"/>
        <item x="2"/>
        <item x="7"/>
        <item x="0"/>
        <item x="13"/>
        <item x="3"/>
        <item x="1"/>
        <item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icket Count" subtotal="count" fld="0"/>
  </dataFields>
  <pivotTableStyleInfo name="CustomPivotTableStyle_TicketsByStatus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59EACB8-F672-A6FF-77AC-872D548F95C8}" mc:Ignorable="x14ac xr xr2 xr3">
  <dimension ref="A1:GR50000"/>
  <sheetViews>
    <sheetView showGridLines="0" topLeftCell="A1" workbookViewId="0">
      <pane ySplit="2" topLeftCell="A3" activePane="bottomLeft" state="frozen"/>
      <selection pane="bottomLeft" activeCell="A1" sqref="A1"/>
    </sheetView>
  </sheetViews>
  <sheetFormatPr defaultRowHeight="15" defaultColWidth="7.75390625" customHeight="1"/>
  <cols>
    <col min="1" max="1" width="3.75390625" customWidth="1"/>
    <col min="2" max="2" width="10.00390625" customWidth="1"/>
    <col min="3" max="3" width="43.75390625" customWidth="1"/>
    <col min="4" max="4" width="22.50390625" customWidth="1"/>
    <col min="5" max="5" width="18.75390625" customWidth="1"/>
    <col min="6" max="6" width="12.50390625" customWidth="1"/>
    <col min="7" max="9" width="15.00390625" customWidth="1"/>
    <col min="10" max="10" width="16.25390625" customWidth="1"/>
    <col min="11" max="12" width="15.00390625" customWidth="1"/>
    <col min="13" max="14" width="16.25390625" customWidth="1"/>
    <col min="15" max="15" width="17.50390625" customWidth="1"/>
    <col min="16" max="17" width="13.75390625" customWidth="1"/>
    <col min="18" max="19" width="17.50390625" customWidth="1"/>
    <col min="20" max="20" width="15.00390625" customWidth="1"/>
    <col min="21" max="21" width="13.75390625" customWidth="1"/>
    <col min="22" max="23" width="31.25390625" customWidth="1"/>
    <col min="24" max="26" width="15.00390625" customWidth="1"/>
    <col min="27" max="27" width="16.25390625" customWidth="1"/>
    <col min="28" max="28" width="18.75390625" customWidth="1"/>
    <col min="29" max="29" width="16.25390625" customWidth="1"/>
    <col min="30" max="30" width="18.75390625" customWidth="1"/>
    <col min="31" max="34" width="15.00390625" customWidth="1"/>
    <col min="35" max="35" width="16.25390625" customWidth="1"/>
    <col min="36" max="37" width="15.00390625" customWidth="1"/>
    <col min="38" max="39" width="16.25390625" customWidth="1"/>
    <col min="40" max="40" width="15.00390625" customWidth="1"/>
    <col min="41" max="41" width="16.25390625" customWidth="1"/>
    <col min="42" max="43" width="15.00390625" customWidth="1"/>
    <col min="44" max="44" width="18.75390625" customWidth="1"/>
    <col min="45" max="47" width="15.00390625" customWidth="1"/>
  </cols>
  <sheetData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17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19</v>
      </c>
      <c r="AH2" s="2" t="s">
        <v>30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35</v>
      </c>
      <c r="AN2" s="2" t="s">
        <v>36</v>
      </c>
      <c r="AO2" s="2" t="s">
        <v>37</v>
      </c>
      <c r="AP2" s="2" t="s">
        <v>38</v>
      </c>
      <c r="AQ2" s="2" t="s">
        <v>39</v>
      </c>
      <c r="AR2" s="2" t="s">
        <v>40</v>
      </c>
      <c r="AS2" s="2" t="s">
        <v>41</v>
      </c>
      <c r="AT2" s="2" t="s">
        <v>42</v>
      </c>
      <c r="AU2" s="2" t="s">
        <v>43</v>
      </c>
    </row>
    <row r="3" ht="16.5" customHeight="1"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4">
        <v>5</v>
      </c>
      <c r="H3" s="3" t="s">
        <v>49</v>
      </c>
      <c r="I3" s="3">
        <v>0</v>
      </c>
      <c r="J3" s="3" t="s">
        <v>50</v>
      </c>
      <c r="K3" s="5"/>
      <c r="L3" s="3"/>
      <c r="M3" s="3"/>
      <c r="N3" s="3"/>
      <c r="O3" s="4"/>
      <c r="P3" s="3"/>
      <c r="Q3" s="4"/>
      <c r="R3" s="3"/>
      <c r="S3" s="4"/>
      <c r="T3" s="3"/>
      <c r="U3" s="5"/>
      <c r="V3" s="3"/>
      <c r="W3" s="3"/>
      <c r="X3">
        <f t="shared" si="0" ref="X3:X49">IF(H3="Multiple",IF(ISBLANK(I3),1,LEN(I3)-LEN(SUBSTITUTE(I3,",",""))+1),IF(NOT(ISBLANK(I3)),LEN(I3)-LEN(SUBSTITUTE(I3,",",""))+2,1))</f>
        <v>1</v>
      </c>
      <c r="Z3" t="str">
        <f t="shared" si="1" ref="Z3:Z49">IF(NOT(ISBLANK(Y3)),Y3-TODAY(),"")</f>
        <v/>
      </c>
      <c r="AG3">
        <f t="shared" si="2" ref="AG3:AG49">IF(AND(NOT(ISBLANK(K3)),NOT(ISBLANK(G3)),NOT(ISBLANK(O3)),NOT(ISBLANK(AB3)),AB3&gt;0),(K3*G3*(O3/100))/AB3,0)</f>
        <v>0</v>
      </c>
      <c r="AH3" s="6" t="str">
        <f t="shared" si="3" ref="AH3:AH49">IF(T3="Yes","Tier 0: Emergency",IF(AG3&gt;=100,"Tier 1: Fast Track",IF(AG3&gt;=50,"Tier 2: Standard Delivery",IF(AG3&gt;=10,"Tier 3: Custom Engagement","Tier 4: Backlog"))))</f>
        <v>Tier 4: Backlog</v>
      </c>
      <c r="AI3" t="str">
        <f t="shared" si="4" ref="AI3:AI49">IF(T3="Yes","Negative (Risk of Loss)",IF(L3="Retention/Risk of Loss","Negative (Risk of Loss)",IF(AND(K3&gt;0,OR(L3="New Contract",L3="Expansion")),"Positive (New Revenue)","Neutral (Internal/Platform)")))</f>
        <v>Neutral (Internal/Platform)</v>
      </c>
      <c r="AJ3" s="7">
        <f t="shared" si="5" ref="AJ3:AJ49">IF(NOT(ISBLANK(K3)),K3*(O3/100),0)</f>
        <v>0</v>
      </c>
      <c r="AP3">
        <f>COUNTIF(Master_Data_JIRA_Tickets!I:I,B3)</f>
        <v>0</v>
      </c>
      <c r="AS3" t="s">
        <v>54</v>
      </c>
      <c r="AT3" t="s">
        <v>55</v>
      </c>
      <c r="AU3" t="s">
        <v>54</v>
      </c>
    </row>
    <row r="4" ht="16.5" customHeight="1">
      <c r="B4" s="8" t="s">
        <v>56</v>
      </c>
      <c r="C4" s="8" t="s">
        <v>57</v>
      </c>
      <c r="D4" s="8" t="s">
        <v>46</v>
      </c>
      <c r="E4" s="8" t="s">
        <v>47</v>
      </c>
      <c r="F4" s="8" t="s">
        <v>48</v>
      </c>
      <c r="G4" s="9">
        <v>5</v>
      </c>
      <c r="H4" s="8" t="s">
        <v>49</v>
      </c>
      <c r="I4" s="8">
        <v>0</v>
      </c>
      <c r="J4" s="8" t="s">
        <v>50</v>
      </c>
      <c r="K4" s="10"/>
      <c r="L4" s="8"/>
      <c r="M4" s="8"/>
      <c r="N4" s="8"/>
      <c r="O4" s="9"/>
      <c r="P4" s="8"/>
      <c r="Q4" s="9"/>
      <c r="R4" s="8"/>
      <c r="S4" s="9"/>
      <c r="T4" s="8"/>
      <c r="U4" s="10"/>
      <c r="V4" s="8"/>
      <c r="W4" s="8"/>
      <c r="X4">
        <f t="shared" si="0"/>
        <v>1</v>
      </c>
      <c r="Z4" t="str">
        <f t="shared" si="1"/>
        <v/>
      </c>
      <c r="AG4">
        <f t="shared" si="2"/>
        <v>0</v>
      </c>
      <c r="AH4" s="6" t="str">
        <f t="shared" si="3"/>
        <v>Tier 4: Backlog</v>
      </c>
      <c r="AI4" t="str">
        <f t="shared" si="4"/>
        <v>Neutral (Internal/Platform)</v>
      </c>
      <c r="AJ4" s="7">
        <f t="shared" si="5"/>
        <v>0</v>
      </c>
      <c r="AP4">
        <f>COUNTIF(Master_Data_JIRA_Tickets!I:I,B4)</f>
        <v>0</v>
      </c>
      <c r="AS4" t="s">
        <v>58</v>
      </c>
      <c r="AT4" t="s">
        <v>59</v>
      </c>
      <c r="AU4" t="s">
        <v>58</v>
      </c>
    </row>
    <row r="5" ht="16.5" customHeight="1">
      <c r="B5" s="3" t="s">
        <v>60</v>
      </c>
      <c r="C5" s="3" t="s">
        <v>61</v>
      </c>
      <c r="D5" s="3" t="s">
        <v>46</v>
      </c>
      <c r="E5" s="3" t="s">
        <v>62</v>
      </c>
      <c r="F5" s="3" t="s">
        <v>48</v>
      </c>
      <c r="G5" s="4">
        <v>5</v>
      </c>
      <c r="H5" s="3" t="s">
        <v>63</v>
      </c>
      <c r="I5" s="3">
        <v>0</v>
      </c>
      <c r="J5" s="3" t="s">
        <v>50</v>
      </c>
      <c r="K5" s="5"/>
      <c r="L5" s="3"/>
      <c r="M5" s="3"/>
      <c r="N5" s="3"/>
      <c r="O5" s="4"/>
      <c r="P5" s="3"/>
      <c r="Q5" s="4"/>
      <c r="R5" s="3"/>
      <c r="S5" s="4"/>
      <c r="T5" s="3"/>
      <c r="U5" s="5"/>
      <c r="V5" s="3"/>
      <c r="W5" s="3"/>
      <c r="X5">
        <f t="shared" si="0"/>
        <v>2</v>
      </c>
      <c r="Z5" t="str">
        <f t="shared" si="1"/>
        <v/>
      </c>
      <c r="AG5">
        <f t="shared" si="2"/>
        <v>0</v>
      </c>
      <c r="AH5" s="6" t="str">
        <f t="shared" si="3"/>
        <v>Tier 4: Backlog</v>
      </c>
      <c r="AI5" t="str">
        <f t="shared" si="4"/>
        <v>Neutral (Internal/Platform)</v>
      </c>
      <c r="AJ5" s="7">
        <f t="shared" si="5"/>
        <v>0</v>
      </c>
      <c r="AP5">
        <f>COUNTIF(Master_Data_JIRA_Tickets!I:I,B5)</f>
        <v>0</v>
      </c>
      <c r="AS5" t="s">
        <v>58</v>
      </c>
      <c r="AT5" t="s">
        <v>59</v>
      </c>
      <c r="AU5" t="s">
        <v>58</v>
      </c>
    </row>
    <row r="6" ht="16.5" customHeight="1">
      <c r="B6" s="8" t="s">
        <v>64</v>
      </c>
      <c r="C6" s="8" t="s">
        <v>65</v>
      </c>
      <c r="D6" s="8" t="s">
        <v>66</v>
      </c>
      <c r="E6" s="8" t="s">
        <v>47</v>
      </c>
      <c r="F6" s="8" t="s">
        <v>48</v>
      </c>
      <c r="G6" s="9">
        <v>5</v>
      </c>
      <c r="H6" s="8" t="s">
        <v>49</v>
      </c>
      <c r="I6" s="8">
        <v>0</v>
      </c>
      <c r="J6" s="8" t="s">
        <v>50</v>
      </c>
      <c r="K6" s="10"/>
      <c r="L6" s="8"/>
      <c r="M6" s="8"/>
      <c r="N6" s="8"/>
      <c r="O6" s="9"/>
      <c r="P6" s="8"/>
      <c r="Q6" s="9"/>
      <c r="R6" s="8"/>
      <c r="S6" s="9"/>
      <c r="T6" s="8"/>
      <c r="U6" s="10"/>
      <c r="V6" s="8"/>
      <c r="W6" s="8"/>
      <c r="X6">
        <f t="shared" si="0"/>
        <v>1</v>
      </c>
      <c r="Z6" t="str">
        <f t="shared" si="1"/>
        <v/>
      </c>
      <c r="AG6">
        <f t="shared" si="2"/>
        <v>0</v>
      </c>
      <c r="AH6" s="6" t="str">
        <f t="shared" si="3"/>
        <v>Tier 4: Backlog</v>
      </c>
      <c r="AI6" t="str">
        <f t="shared" si="4"/>
        <v>Neutral (Internal/Platform)</v>
      </c>
      <c r="AJ6" s="7">
        <f t="shared" si="5"/>
        <v>0</v>
      </c>
      <c r="AP6">
        <f>COUNTIF(Master_Data_JIRA_Tickets!I:I,B6)</f>
        <v>0</v>
      </c>
      <c r="AS6" t="s">
        <v>58</v>
      </c>
      <c r="AT6" t="s">
        <v>59</v>
      </c>
      <c r="AU6" t="s">
        <v>58</v>
      </c>
    </row>
    <row r="7" ht="16.5" customHeight="1">
      <c r="B7" s="3" t="s">
        <v>67</v>
      </c>
      <c r="C7" s="3" t="s">
        <v>68</v>
      </c>
      <c r="D7" s="3" t="s">
        <v>66</v>
      </c>
      <c r="E7" s="3" t="s">
        <v>47</v>
      </c>
      <c r="F7" s="3" t="s">
        <v>48</v>
      </c>
      <c r="G7" s="4">
        <v>5</v>
      </c>
      <c r="H7" s="3" t="s">
        <v>49</v>
      </c>
      <c r="I7" s="3">
        <v>0</v>
      </c>
      <c r="J7" s="3" t="s">
        <v>50</v>
      </c>
      <c r="K7" s="5"/>
      <c r="L7" s="3"/>
      <c r="M7" s="3"/>
      <c r="N7" s="3"/>
      <c r="O7" s="4"/>
      <c r="P7" s="3"/>
      <c r="Q7" s="4"/>
      <c r="R7" s="3"/>
      <c r="S7" s="4"/>
      <c r="T7" s="3"/>
      <c r="U7" s="5"/>
      <c r="V7" s="3"/>
      <c r="W7" s="3"/>
      <c r="X7">
        <f t="shared" si="0"/>
        <v>1</v>
      </c>
      <c r="Z7" t="str">
        <f t="shared" si="1"/>
        <v/>
      </c>
      <c r="AG7">
        <f t="shared" si="2"/>
        <v>0</v>
      </c>
      <c r="AH7" s="6" t="str">
        <f t="shared" si="3"/>
        <v>Tier 4: Backlog</v>
      </c>
      <c r="AI7" t="str">
        <f t="shared" si="4"/>
        <v>Neutral (Internal/Platform)</v>
      </c>
      <c r="AJ7" s="7">
        <f t="shared" si="5"/>
        <v>0</v>
      </c>
      <c r="AP7">
        <f>COUNTIF(Master_Data_JIRA_Tickets!I:I,B7)</f>
        <v>0</v>
      </c>
      <c r="AS7" t="s">
        <v>58</v>
      </c>
      <c r="AT7" t="s">
        <v>59</v>
      </c>
      <c r="AU7" t="s">
        <v>58</v>
      </c>
    </row>
    <row r="8" ht="16.5" customHeight="1">
      <c r="B8" s="8" t="s">
        <v>69</v>
      </c>
      <c r="C8" s="8" t="s">
        <v>70</v>
      </c>
      <c r="D8" s="8" t="s">
        <v>46</v>
      </c>
      <c r="E8" s="8" t="s">
        <v>47</v>
      </c>
      <c r="F8" s="8" t="s">
        <v>48</v>
      </c>
      <c r="G8" s="9">
        <v>5</v>
      </c>
      <c r="H8" s="8" t="s">
        <v>49</v>
      </c>
      <c r="I8" s="8">
        <v>0</v>
      </c>
      <c r="J8" s="8" t="s">
        <v>50</v>
      </c>
      <c r="K8" s="10"/>
      <c r="L8" s="8"/>
      <c r="M8" s="8"/>
      <c r="N8" s="8"/>
      <c r="O8" s="9"/>
      <c r="P8" s="8"/>
      <c r="Q8" s="9"/>
      <c r="R8" s="8"/>
      <c r="S8" s="9"/>
      <c r="T8" s="8"/>
      <c r="U8" s="10"/>
      <c r="V8" s="8"/>
      <c r="W8" s="8"/>
      <c r="X8">
        <f t="shared" si="0"/>
        <v>1</v>
      </c>
      <c r="Z8" t="str">
        <f t="shared" si="1"/>
        <v/>
      </c>
      <c r="AG8">
        <f t="shared" si="2"/>
        <v>0</v>
      </c>
      <c r="AH8" s="6" t="str">
        <f t="shared" si="3"/>
        <v>Tier 4: Backlog</v>
      </c>
      <c r="AI8" t="str">
        <f t="shared" si="4"/>
        <v>Neutral (Internal/Platform)</v>
      </c>
      <c r="AJ8" s="7">
        <f t="shared" si="5"/>
        <v>0</v>
      </c>
      <c r="AP8">
        <f>COUNTIF(Master_Data_JIRA_Tickets!I:I,B8)</f>
        <v>0</v>
      </c>
      <c r="AS8" t="s">
        <v>54</v>
      </c>
      <c r="AT8" t="s">
        <v>55</v>
      </c>
      <c r="AU8" t="s">
        <v>54</v>
      </c>
    </row>
    <row r="9" ht="16.5" customHeight="1">
      <c r="B9" s="3" t="s">
        <v>71</v>
      </c>
      <c r="C9" s="3" t="s">
        <v>72</v>
      </c>
      <c r="D9" s="3" t="s">
        <v>73</v>
      </c>
      <c r="E9" s="3" t="s">
        <v>47</v>
      </c>
      <c r="F9" s="3" t="s">
        <v>48</v>
      </c>
      <c r="G9" s="4">
        <v>4</v>
      </c>
      <c r="H9" s="3" t="s">
        <v>49</v>
      </c>
      <c r="I9" s="3">
        <v>0</v>
      </c>
      <c r="J9" s="3" t="s">
        <v>50</v>
      </c>
      <c r="K9" s="5"/>
      <c r="L9" s="3"/>
      <c r="M9" s="3"/>
      <c r="N9" s="3"/>
      <c r="O9" s="4"/>
      <c r="P9" s="3"/>
      <c r="Q9" s="4"/>
      <c r="R9" s="3"/>
      <c r="S9" s="4"/>
      <c r="T9" s="3"/>
      <c r="U9" s="5"/>
      <c r="V9" s="3"/>
      <c r="W9" s="3"/>
      <c r="X9">
        <f t="shared" si="0"/>
        <v>1</v>
      </c>
      <c r="Z9" t="str">
        <f t="shared" si="1"/>
        <v/>
      </c>
      <c r="AG9">
        <f t="shared" si="2"/>
        <v>0</v>
      </c>
      <c r="AH9" s="6" t="str">
        <f t="shared" si="3"/>
        <v>Tier 4: Backlog</v>
      </c>
      <c r="AI9" t="str">
        <f t="shared" si="4"/>
        <v>Neutral (Internal/Platform)</v>
      </c>
      <c r="AJ9" s="7">
        <f t="shared" si="5"/>
        <v>0</v>
      </c>
      <c r="AP9">
        <f>COUNTIF(Master_Data_JIRA_Tickets!I:I,B9)</f>
        <v>0</v>
      </c>
      <c r="AS9" t="s">
        <v>58</v>
      </c>
      <c r="AT9" t="s">
        <v>59</v>
      </c>
      <c r="AU9" t="s">
        <v>58</v>
      </c>
    </row>
    <row r="10" ht="16.5" customHeight="1">
      <c r="B10" s="8" t="s">
        <v>74</v>
      </c>
      <c r="C10" s="8" t="s">
        <v>75</v>
      </c>
      <c r="D10" s="8" t="s">
        <v>46</v>
      </c>
      <c r="E10" s="8" t="s">
        <v>62</v>
      </c>
      <c r="F10" s="8" t="s">
        <v>76</v>
      </c>
      <c r="G10" s="9">
        <v>5</v>
      </c>
      <c r="H10" s="8" t="s">
        <v>49</v>
      </c>
      <c r="I10" s="8">
        <v>0</v>
      </c>
      <c r="J10" s="8" t="s">
        <v>50</v>
      </c>
      <c r="K10" s="10"/>
      <c r="L10" s="8"/>
      <c r="M10" s="8"/>
      <c r="N10" s="8"/>
      <c r="O10" s="9"/>
      <c r="P10" s="8"/>
      <c r="Q10" s="9"/>
      <c r="R10" s="8"/>
      <c r="S10" s="9"/>
      <c r="T10" s="8"/>
      <c r="U10" s="10"/>
      <c r="V10" s="8"/>
      <c r="W10" s="8"/>
      <c r="X10">
        <f t="shared" si="0"/>
        <v>1</v>
      </c>
      <c r="Z10" t="str">
        <f t="shared" si="1"/>
        <v/>
      </c>
      <c r="AG10">
        <f t="shared" si="2"/>
        <v>0</v>
      </c>
      <c r="AH10" s="6" t="str">
        <f t="shared" si="3"/>
        <v>Tier 4: Backlog</v>
      </c>
      <c r="AI10" t="str">
        <f t="shared" si="4"/>
        <v>Neutral (Internal/Platform)</v>
      </c>
      <c r="AJ10" s="7">
        <f t="shared" si="5"/>
        <v>0</v>
      </c>
      <c r="AP10">
        <f>COUNTIF(Master_Data_JIRA_Tickets!I:I,B10)</f>
        <v>0</v>
      </c>
      <c r="AS10" t="s">
        <v>54</v>
      </c>
      <c r="AT10" t="s">
        <v>55</v>
      </c>
      <c r="AU10" t="s">
        <v>54</v>
      </c>
    </row>
    <row r="11" ht="16.5" customHeight="1">
      <c r="B11" s="3" t="s">
        <v>77</v>
      </c>
      <c r="C11" s="3" t="s">
        <v>78</v>
      </c>
      <c r="D11" s="3" t="s">
        <v>46</v>
      </c>
      <c r="E11" s="3" t="s">
        <v>47</v>
      </c>
      <c r="F11" s="3" t="s">
        <v>76</v>
      </c>
      <c r="G11" s="4">
        <v>5</v>
      </c>
      <c r="H11" s="3" t="s">
        <v>49</v>
      </c>
      <c r="I11" s="3">
        <v>0</v>
      </c>
      <c r="J11" s="3" t="s">
        <v>50</v>
      </c>
      <c r="K11" s="5"/>
      <c r="L11" s="3"/>
      <c r="M11" s="3"/>
      <c r="N11" s="3"/>
      <c r="O11" s="4"/>
      <c r="P11" s="3"/>
      <c r="Q11" s="4"/>
      <c r="R11" s="3"/>
      <c r="S11" s="4"/>
      <c r="T11" s="3"/>
      <c r="U11" s="5"/>
      <c r="V11" s="3"/>
      <c r="W11" s="3"/>
      <c r="X11">
        <f t="shared" si="0"/>
        <v>1</v>
      </c>
      <c r="Z11" t="str">
        <f t="shared" si="1"/>
        <v/>
      </c>
      <c r="AG11">
        <f t="shared" si="2"/>
        <v>0</v>
      </c>
      <c r="AH11" s="6" t="str">
        <f t="shared" si="3"/>
        <v>Tier 4: Backlog</v>
      </c>
      <c r="AI11" t="str">
        <f t="shared" si="4"/>
        <v>Neutral (Internal/Platform)</v>
      </c>
      <c r="AJ11" s="7">
        <f t="shared" si="5"/>
        <v>0</v>
      </c>
      <c r="AP11">
        <f>COUNTIF(Master_Data_JIRA_Tickets!I:I,B11)</f>
        <v>0</v>
      </c>
      <c r="AS11" t="s">
        <v>54</v>
      </c>
      <c r="AT11" t="s">
        <v>55</v>
      </c>
      <c r="AU11" t="s">
        <v>54</v>
      </c>
    </row>
    <row r="12" ht="16.5" customHeight="1">
      <c r="B12" s="8" t="s">
        <v>79</v>
      </c>
      <c r="C12" s="8" t="s">
        <v>80</v>
      </c>
      <c r="D12" s="8" t="s">
        <v>46</v>
      </c>
      <c r="E12" s="8" t="s">
        <v>62</v>
      </c>
      <c r="F12" s="8" t="s">
        <v>76</v>
      </c>
      <c r="G12" s="9">
        <v>5</v>
      </c>
      <c r="H12" s="8" t="s">
        <v>49</v>
      </c>
      <c r="I12" s="8">
        <v>0</v>
      </c>
      <c r="J12" s="8" t="s">
        <v>50</v>
      </c>
      <c r="K12" s="10"/>
      <c r="L12" s="8"/>
      <c r="M12" s="8"/>
      <c r="N12" s="8"/>
      <c r="O12" s="9"/>
      <c r="P12" s="8"/>
      <c r="Q12" s="9"/>
      <c r="R12" s="8"/>
      <c r="S12" s="9"/>
      <c r="T12" s="8"/>
      <c r="U12" s="10"/>
      <c r="V12" s="8"/>
      <c r="W12" s="8"/>
      <c r="X12">
        <f t="shared" si="0"/>
        <v>1</v>
      </c>
      <c r="Z12" t="str">
        <f t="shared" si="1"/>
        <v/>
      </c>
      <c r="AG12">
        <f t="shared" si="2"/>
        <v>0</v>
      </c>
      <c r="AH12" s="6" t="str">
        <f t="shared" si="3"/>
        <v>Tier 4: Backlog</v>
      </c>
      <c r="AI12" t="str">
        <f t="shared" si="4"/>
        <v>Neutral (Internal/Platform)</v>
      </c>
      <c r="AJ12" s="7">
        <f t="shared" si="5"/>
        <v>0</v>
      </c>
      <c r="AP12">
        <f>COUNTIF(Master_Data_JIRA_Tickets!I:I,B12)</f>
        <v>0</v>
      </c>
      <c r="AS12" t="s">
        <v>54</v>
      </c>
      <c r="AT12" t="s">
        <v>55</v>
      </c>
      <c r="AU12" t="s">
        <v>54</v>
      </c>
    </row>
    <row r="13" ht="16.5" customHeight="1">
      <c r="B13" s="3" t="s">
        <v>81</v>
      </c>
      <c r="C13" s="3" t="s">
        <v>82</v>
      </c>
      <c r="D13" s="3" t="s">
        <v>66</v>
      </c>
      <c r="E13" s="3" t="s">
        <v>47</v>
      </c>
      <c r="F13" s="3" t="s">
        <v>76</v>
      </c>
      <c r="G13" s="4">
        <v>5</v>
      </c>
      <c r="H13" s="3" t="s">
        <v>49</v>
      </c>
      <c r="I13" s="3">
        <v>0</v>
      </c>
      <c r="J13" s="3" t="s">
        <v>50</v>
      </c>
      <c r="K13" s="5"/>
      <c r="L13" s="3"/>
      <c r="M13" s="3"/>
      <c r="N13" s="3"/>
      <c r="O13" s="4"/>
      <c r="P13" s="3"/>
      <c r="Q13" s="4"/>
      <c r="R13" s="3"/>
      <c r="S13" s="4"/>
      <c r="T13" s="3"/>
      <c r="U13" s="5"/>
      <c r="V13" s="3"/>
      <c r="W13" s="3"/>
      <c r="X13">
        <f t="shared" si="0"/>
        <v>1</v>
      </c>
      <c r="Z13" t="str">
        <f t="shared" si="1"/>
        <v/>
      </c>
      <c r="AG13">
        <f t="shared" si="2"/>
        <v>0</v>
      </c>
      <c r="AH13" s="6" t="str">
        <f t="shared" si="3"/>
        <v>Tier 4: Backlog</v>
      </c>
      <c r="AI13" t="str">
        <f t="shared" si="4"/>
        <v>Neutral (Internal/Platform)</v>
      </c>
      <c r="AJ13" s="7">
        <f t="shared" si="5"/>
        <v>0</v>
      </c>
      <c r="AP13">
        <f>COUNTIF(Master_Data_JIRA_Tickets!I:I,B13)</f>
        <v>0</v>
      </c>
      <c r="AS13" t="s">
        <v>58</v>
      </c>
      <c r="AT13" t="s">
        <v>59</v>
      </c>
      <c r="AU13" t="s">
        <v>58</v>
      </c>
    </row>
    <row r="14" ht="16.5" customHeight="1">
      <c r="B14" s="8" t="s">
        <v>83</v>
      </c>
      <c r="C14" s="8" t="s">
        <v>84</v>
      </c>
      <c r="D14" s="8" t="s">
        <v>66</v>
      </c>
      <c r="E14" s="8" t="s">
        <v>47</v>
      </c>
      <c r="F14" s="8" t="s">
        <v>76</v>
      </c>
      <c r="G14" s="9">
        <v>5</v>
      </c>
      <c r="H14" s="8" t="s">
        <v>49</v>
      </c>
      <c r="I14" s="8">
        <v>0</v>
      </c>
      <c r="J14" s="8" t="s">
        <v>50</v>
      </c>
      <c r="K14" s="10"/>
      <c r="L14" s="8"/>
      <c r="M14" s="8"/>
      <c r="N14" s="8"/>
      <c r="O14" s="9"/>
      <c r="P14" s="8"/>
      <c r="Q14" s="9"/>
      <c r="R14" s="8"/>
      <c r="S14" s="9"/>
      <c r="T14" s="8"/>
      <c r="U14" s="10"/>
      <c r="V14" s="8"/>
      <c r="W14" s="8"/>
      <c r="X14">
        <f t="shared" si="0"/>
        <v>1</v>
      </c>
      <c r="Z14" t="str">
        <f t="shared" si="1"/>
        <v/>
      </c>
      <c r="AG14">
        <f t="shared" si="2"/>
        <v>0</v>
      </c>
      <c r="AH14" s="6" t="str">
        <f t="shared" si="3"/>
        <v>Tier 4: Backlog</v>
      </c>
      <c r="AI14" t="str">
        <f t="shared" si="4"/>
        <v>Neutral (Internal/Platform)</v>
      </c>
      <c r="AJ14" s="7">
        <f t="shared" si="5"/>
        <v>0</v>
      </c>
      <c r="AP14">
        <f>COUNTIF(Master_Data_JIRA_Tickets!I:I,B14)</f>
        <v>0</v>
      </c>
      <c r="AS14" t="s">
        <v>58</v>
      </c>
      <c r="AT14" t="s">
        <v>59</v>
      </c>
      <c r="AU14" t="s">
        <v>58</v>
      </c>
    </row>
    <row r="15" ht="16.5" customHeight="1">
      <c r="B15" s="3" t="s">
        <v>85</v>
      </c>
      <c r="C15" s="3" t="s">
        <v>86</v>
      </c>
      <c r="D15" s="3" t="s">
        <v>46</v>
      </c>
      <c r="E15" s="3" t="s">
        <v>47</v>
      </c>
      <c r="F15" s="3" t="s">
        <v>76</v>
      </c>
      <c r="G15" s="4">
        <v>5</v>
      </c>
      <c r="H15" s="3" t="s">
        <v>49</v>
      </c>
      <c r="I15" s="3">
        <v>0</v>
      </c>
      <c r="J15" s="3" t="s">
        <v>50</v>
      </c>
      <c r="K15" s="5"/>
      <c r="L15" s="3"/>
      <c r="M15" s="3"/>
      <c r="N15" s="3"/>
      <c r="O15" s="4"/>
      <c r="P15" s="3"/>
      <c r="Q15" s="4"/>
      <c r="R15" s="3"/>
      <c r="S15" s="4"/>
      <c r="T15" s="3"/>
      <c r="U15" s="5"/>
      <c r="V15" s="3"/>
      <c r="W15" s="3"/>
      <c r="X15">
        <f t="shared" si="0"/>
        <v>1</v>
      </c>
      <c r="Z15" t="str">
        <f t="shared" si="1"/>
        <v/>
      </c>
      <c r="AG15">
        <f t="shared" si="2"/>
        <v>0</v>
      </c>
      <c r="AH15" s="6" t="str">
        <f t="shared" si="3"/>
        <v>Tier 4: Backlog</v>
      </c>
      <c r="AI15" t="str">
        <f t="shared" si="4"/>
        <v>Neutral (Internal/Platform)</v>
      </c>
      <c r="AJ15" s="7">
        <f t="shared" si="5"/>
        <v>0</v>
      </c>
      <c r="AP15">
        <f>COUNTIF(Master_Data_JIRA_Tickets!I:I,B15)</f>
        <v>0</v>
      </c>
      <c r="AS15" t="s">
        <v>58</v>
      </c>
      <c r="AT15" t="s">
        <v>59</v>
      </c>
      <c r="AU15" t="s">
        <v>58</v>
      </c>
    </row>
    <row r="16" ht="16.5" customHeight="1">
      <c r="B16" s="8" t="s">
        <v>87</v>
      </c>
      <c r="C16" s="8" t="s">
        <v>88</v>
      </c>
      <c r="D16" s="8" t="s">
        <v>66</v>
      </c>
      <c r="E16" s="8" t="s">
        <v>47</v>
      </c>
      <c r="F16" s="8" t="s">
        <v>76</v>
      </c>
      <c r="G16" s="9">
        <v>5</v>
      </c>
      <c r="H16" s="8" t="s">
        <v>49</v>
      </c>
      <c r="I16" s="8">
        <v>0</v>
      </c>
      <c r="J16" s="8" t="s">
        <v>50</v>
      </c>
      <c r="K16" s="10"/>
      <c r="L16" s="8"/>
      <c r="M16" s="8"/>
      <c r="N16" s="8"/>
      <c r="O16" s="9"/>
      <c r="P16" s="8"/>
      <c r="Q16" s="9"/>
      <c r="R16" s="8"/>
      <c r="S16" s="9"/>
      <c r="T16" s="8"/>
      <c r="U16" s="10"/>
      <c r="V16" s="8"/>
      <c r="W16" s="8"/>
      <c r="X16">
        <f t="shared" si="0"/>
        <v>1</v>
      </c>
      <c r="Z16" t="str">
        <f t="shared" si="1"/>
        <v/>
      </c>
      <c r="AG16">
        <f t="shared" si="2"/>
        <v>0</v>
      </c>
      <c r="AH16" s="6" t="str">
        <f t="shared" si="3"/>
        <v>Tier 4: Backlog</v>
      </c>
      <c r="AI16" t="str">
        <f t="shared" si="4"/>
        <v>Neutral (Internal/Platform)</v>
      </c>
      <c r="AJ16" s="7">
        <f t="shared" si="5"/>
        <v>0</v>
      </c>
      <c r="AP16">
        <f>COUNTIF(Master_Data_JIRA_Tickets!I:I,B16)</f>
        <v>0</v>
      </c>
      <c r="AS16" t="s">
        <v>58</v>
      </c>
      <c r="AT16" t="s">
        <v>59</v>
      </c>
      <c r="AU16" t="s">
        <v>58</v>
      </c>
    </row>
    <row r="17" ht="16.5" customHeight="1">
      <c r="B17" s="3" t="s">
        <v>89</v>
      </c>
      <c r="C17" s="3" t="s">
        <v>90</v>
      </c>
      <c r="D17" s="3" t="s">
        <v>46</v>
      </c>
      <c r="E17" s="3" t="s">
        <v>91</v>
      </c>
      <c r="F17" s="3" t="s">
        <v>92</v>
      </c>
      <c r="G17" s="4">
        <v>5</v>
      </c>
      <c r="H17" s="3" t="s">
        <v>49</v>
      </c>
      <c r="I17" s="3">
        <v>0</v>
      </c>
      <c r="J17" s="3" t="s">
        <v>50</v>
      </c>
      <c r="K17" s="5"/>
      <c r="L17" s="3"/>
      <c r="M17" s="3"/>
      <c r="N17" s="3"/>
      <c r="O17" s="4"/>
      <c r="P17" s="3"/>
      <c r="Q17" s="4"/>
      <c r="R17" s="3"/>
      <c r="S17" s="4"/>
      <c r="T17" s="3"/>
      <c r="U17" s="5"/>
      <c r="V17" s="3"/>
      <c r="W17" s="3"/>
      <c r="X17">
        <f t="shared" si="0"/>
        <v>1</v>
      </c>
      <c r="Z17" t="str">
        <f t="shared" si="1"/>
        <v/>
      </c>
      <c r="AG17">
        <f t="shared" si="2"/>
        <v>0</v>
      </c>
      <c r="AH17" s="6" t="str">
        <f t="shared" si="3"/>
        <v>Tier 4: Backlog</v>
      </c>
      <c r="AI17" t="str">
        <f t="shared" si="4"/>
        <v>Neutral (Internal/Platform)</v>
      </c>
      <c r="AJ17" s="7">
        <f t="shared" si="5"/>
        <v>0</v>
      </c>
      <c r="AP17">
        <f>COUNTIF(Master_Data_JIRA_Tickets!I:I,B17)</f>
        <v>0</v>
      </c>
      <c r="AS17" t="s">
        <v>58</v>
      </c>
      <c r="AT17" t="s">
        <v>59</v>
      </c>
      <c r="AU17" t="s">
        <v>58</v>
      </c>
    </row>
    <row r="18" ht="16.5" customHeight="1">
      <c r="B18" s="8" t="s">
        <v>93</v>
      </c>
      <c r="C18" s="8" t="s">
        <v>94</v>
      </c>
      <c r="D18" s="8" t="s">
        <v>95</v>
      </c>
      <c r="E18" s="8" t="s">
        <v>91</v>
      </c>
      <c r="F18" s="8" t="s">
        <v>92</v>
      </c>
      <c r="G18" s="9">
        <v>4</v>
      </c>
      <c r="H18" s="8" t="s">
        <v>49</v>
      </c>
      <c r="I18" s="8">
        <v>0</v>
      </c>
      <c r="J18" s="8" t="s">
        <v>50</v>
      </c>
      <c r="K18" s="10"/>
      <c r="L18" s="8"/>
      <c r="M18" s="8"/>
      <c r="N18" s="8"/>
      <c r="O18" s="9"/>
      <c r="P18" s="8"/>
      <c r="Q18" s="9"/>
      <c r="R18" s="8"/>
      <c r="S18" s="9"/>
      <c r="T18" s="8"/>
      <c r="U18" s="10"/>
      <c r="V18" s="8"/>
      <c r="W18" s="8"/>
      <c r="X18">
        <f t="shared" si="0"/>
        <v>1</v>
      </c>
      <c r="Z18" t="str">
        <f t="shared" si="1"/>
        <v/>
      </c>
      <c r="AG18">
        <f t="shared" si="2"/>
        <v>0</v>
      </c>
      <c r="AH18" s="6" t="str">
        <f t="shared" si="3"/>
        <v>Tier 4: Backlog</v>
      </c>
      <c r="AI18" t="str">
        <f t="shared" si="4"/>
        <v>Neutral (Internal/Platform)</v>
      </c>
      <c r="AJ18" s="7">
        <f t="shared" si="5"/>
        <v>0</v>
      </c>
      <c r="AP18">
        <f>COUNTIF(Master_Data_JIRA_Tickets!I:I,B18)</f>
        <v>0</v>
      </c>
      <c r="AS18" t="s">
        <v>58</v>
      </c>
      <c r="AT18" t="s">
        <v>59</v>
      </c>
      <c r="AU18" t="s">
        <v>58</v>
      </c>
    </row>
    <row r="19" ht="16.5" customHeight="1">
      <c r="B19" s="3" t="s">
        <v>96</v>
      </c>
      <c r="C19" s="3" t="s">
        <v>97</v>
      </c>
      <c r="D19" s="3" t="s">
        <v>66</v>
      </c>
      <c r="E19" s="3" t="s">
        <v>47</v>
      </c>
      <c r="F19" s="3" t="s">
        <v>92</v>
      </c>
      <c r="G19" s="4">
        <v>5</v>
      </c>
      <c r="H19" s="3" t="s">
        <v>49</v>
      </c>
      <c r="I19" s="3">
        <v>0</v>
      </c>
      <c r="J19" s="3" t="s">
        <v>50</v>
      </c>
      <c r="K19" s="5"/>
      <c r="L19" s="3"/>
      <c r="M19" s="3"/>
      <c r="N19" s="3"/>
      <c r="O19" s="4"/>
      <c r="P19" s="3"/>
      <c r="Q19" s="4"/>
      <c r="R19" s="3"/>
      <c r="S19" s="4"/>
      <c r="T19" s="3"/>
      <c r="U19" s="5"/>
      <c r="V19" s="3"/>
      <c r="W19" s="3"/>
      <c r="X19">
        <f t="shared" si="0"/>
        <v>1</v>
      </c>
      <c r="Z19" t="str">
        <f t="shared" si="1"/>
        <v/>
      </c>
      <c r="AG19">
        <f t="shared" si="2"/>
        <v>0</v>
      </c>
      <c r="AH19" s="6" t="str">
        <f t="shared" si="3"/>
        <v>Tier 4: Backlog</v>
      </c>
      <c r="AI19" t="str">
        <f t="shared" si="4"/>
        <v>Neutral (Internal/Platform)</v>
      </c>
      <c r="AJ19" s="7">
        <f t="shared" si="5"/>
        <v>0</v>
      </c>
      <c r="AP19">
        <f>COUNTIF(Master_Data_JIRA_Tickets!I:I,B19)</f>
        <v>0</v>
      </c>
      <c r="AS19" t="s">
        <v>58</v>
      </c>
      <c r="AT19" t="s">
        <v>59</v>
      </c>
      <c r="AU19" t="s">
        <v>58</v>
      </c>
    </row>
    <row r="20" ht="16.5" customHeight="1">
      <c r="B20" s="8" t="s">
        <v>98</v>
      </c>
      <c r="C20" s="8" t="s">
        <v>99</v>
      </c>
      <c r="D20" s="8" t="s">
        <v>66</v>
      </c>
      <c r="E20" s="8" t="s">
        <v>47</v>
      </c>
      <c r="F20" s="8" t="s">
        <v>92</v>
      </c>
      <c r="G20" s="9">
        <v>5</v>
      </c>
      <c r="H20" s="8" t="s">
        <v>49</v>
      </c>
      <c r="I20" s="8">
        <v>0</v>
      </c>
      <c r="J20" s="8" t="s">
        <v>50</v>
      </c>
      <c r="K20" s="10"/>
      <c r="L20" s="8"/>
      <c r="M20" s="8"/>
      <c r="N20" s="8"/>
      <c r="O20" s="9"/>
      <c r="P20" s="8"/>
      <c r="Q20" s="9"/>
      <c r="R20" s="8"/>
      <c r="S20" s="9"/>
      <c r="T20" s="8"/>
      <c r="U20" s="10"/>
      <c r="V20" s="8"/>
      <c r="W20" s="8"/>
      <c r="X20">
        <f t="shared" si="0"/>
        <v>1</v>
      </c>
      <c r="Z20" t="str">
        <f t="shared" si="1"/>
        <v/>
      </c>
      <c r="AG20">
        <f t="shared" si="2"/>
        <v>0</v>
      </c>
      <c r="AH20" s="6" t="str">
        <f t="shared" si="3"/>
        <v>Tier 4: Backlog</v>
      </c>
      <c r="AI20" t="str">
        <f t="shared" si="4"/>
        <v>Neutral (Internal/Platform)</v>
      </c>
      <c r="AJ20" s="7">
        <f t="shared" si="5"/>
        <v>0</v>
      </c>
      <c r="AP20">
        <f>COUNTIF(Master_Data_JIRA_Tickets!I:I,B20)</f>
        <v>0</v>
      </c>
      <c r="AS20" t="s">
        <v>58</v>
      </c>
      <c r="AT20" t="s">
        <v>59</v>
      </c>
      <c r="AU20" t="s">
        <v>58</v>
      </c>
    </row>
    <row r="21" ht="16.5" customHeight="1">
      <c r="B21" s="3" t="s">
        <v>100</v>
      </c>
      <c r="C21" s="3" t="s">
        <v>101</v>
      </c>
      <c r="D21" s="3" t="s">
        <v>66</v>
      </c>
      <c r="E21" s="3" t="s">
        <v>47</v>
      </c>
      <c r="F21" s="3" t="s">
        <v>92</v>
      </c>
      <c r="G21" s="4">
        <v>5</v>
      </c>
      <c r="H21" s="3" t="s">
        <v>49</v>
      </c>
      <c r="I21" s="3">
        <v>0</v>
      </c>
      <c r="J21" s="3" t="s">
        <v>50</v>
      </c>
      <c r="K21" s="5"/>
      <c r="L21" s="3"/>
      <c r="M21" s="3"/>
      <c r="N21" s="3"/>
      <c r="O21" s="4"/>
      <c r="P21" s="3"/>
      <c r="Q21" s="4"/>
      <c r="R21" s="3"/>
      <c r="S21" s="4"/>
      <c r="T21" s="3"/>
      <c r="U21" s="5"/>
      <c r="V21" s="3"/>
      <c r="W21" s="3"/>
      <c r="X21">
        <f t="shared" si="0"/>
        <v>1</v>
      </c>
      <c r="Z21" t="str">
        <f t="shared" si="1"/>
        <v/>
      </c>
      <c r="AG21">
        <f t="shared" si="2"/>
        <v>0</v>
      </c>
      <c r="AH21" s="6" t="str">
        <f t="shared" si="3"/>
        <v>Tier 4: Backlog</v>
      </c>
      <c r="AI21" t="str">
        <f t="shared" si="4"/>
        <v>Neutral (Internal/Platform)</v>
      </c>
      <c r="AJ21" s="7">
        <f t="shared" si="5"/>
        <v>0</v>
      </c>
      <c r="AP21">
        <f>COUNTIF(Master_Data_JIRA_Tickets!I:I,B21)</f>
        <v>0</v>
      </c>
      <c r="AS21" t="s">
        <v>58</v>
      </c>
      <c r="AT21" t="s">
        <v>59</v>
      </c>
      <c r="AU21" t="s">
        <v>58</v>
      </c>
    </row>
    <row r="22" ht="16.5" customHeight="1">
      <c r="B22" s="8" t="s">
        <v>102</v>
      </c>
      <c r="C22" s="8" t="s">
        <v>103</v>
      </c>
      <c r="D22" s="8" t="s">
        <v>66</v>
      </c>
      <c r="E22" s="8" t="s">
        <v>47</v>
      </c>
      <c r="F22" s="8" t="s">
        <v>92</v>
      </c>
      <c r="G22" s="9">
        <v>5</v>
      </c>
      <c r="H22" s="8" t="s">
        <v>49</v>
      </c>
      <c r="I22" s="8">
        <v>0</v>
      </c>
      <c r="J22" s="8" t="s">
        <v>50</v>
      </c>
      <c r="K22" s="10"/>
      <c r="L22" s="8"/>
      <c r="M22" s="8"/>
      <c r="N22" s="8"/>
      <c r="O22" s="9"/>
      <c r="P22" s="8"/>
      <c r="Q22" s="9"/>
      <c r="R22" s="8"/>
      <c r="S22" s="9"/>
      <c r="T22" s="8"/>
      <c r="U22" s="10"/>
      <c r="V22" s="8"/>
      <c r="W22" s="8"/>
      <c r="X22">
        <f t="shared" si="0"/>
        <v>1</v>
      </c>
      <c r="Z22" t="str">
        <f t="shared" si="1"/>
        <v/>
      </c>
      <c r="AG22">
        <f t="shared" si="2"/>
        <v>0</v>
      </c>
      <c r="AH22" s="6" t="str">
        <f t="shared" si="3"/>
        <v>Tier 4: Backlog</v>
      </c>
      <c r="AI22" t="str">
        <f t="shared" si="4"/>
        <v>Neutral (Internal/Platform)</v>
      </c>
      <c r="AJ22" s="7">
        <f t="shared" si="5"/>
        <v>0</v>
      </c>
      <c r="AP22">
        <f>COUNTIF(Master_Data_JIRA_Tickets!I:I,B22)</f>
        <v>0</v>
      </c>
      <c r="AS22" t="s">
        <v>58</v>
      </c>
      <c r="AT22" t="s">
        <v>59</v>
      </c>
      <c r="AU22" t="s">
        <v>58</v>
      </c>
    </row>
    <row r="23" ht="16.5" customHeight="1">
      <c r="B23" s="3" t="s">
        <v>104</v>
      </c>
      <c r="C23" s="3" t="s">
        <v>105</v>
      </c>
      <c r="D23" s="3" t="s">
        <v>46</v>
      </c>
      <c r="E23" s="3" t="s">
        <v>62</v>
      </c>
      <c r="F23" s="3" t="s">
        <v>106</v>
      </c>
      <c r="G23" s="4">
        <v>5</v>
      </c>
      <c r="H23" s="3" t="s">
        <v>49</v>
      </c>
      <c r="I23" s="3">
        <v>0</v>
      </c>
      <c r="J23" s="3" t="s">
        <v>50</v>
      </c>
      <c r="K23" s="5"/>
      <c r="L23" s="3"/>
      <c r="M23" s="3"/>
      <c r="N23" s="3"/>
      <c r="O23" s="4"/>
      <c r="P23" s="3"/>
      <c r="Q23" s="4"/>
      <c r="R23" s="3"/>
      <c r="S23" s="4"/>
      <c r="T23" s="3"/>
      <c r="U23" s="5"/>
      <c r="V23" s="3"/>
      <c r="W23" s="3"/>
      <c r="X23">
        <f t="shared" si="0"/>
        <v>1</v>
      </c>
      <c r="Z23" t="str">
        <f t="shared" si="1"/>
        <v/>
      </c>
      <c r="AG23">
        <f t="shared" si="2"/>
        <v>0</v>
      </c>
      <c r="AH23" s="6" t="str">
        <f t="shared" si="3"/>
        <v>Tier 4: Backlog</v>
      </c>
      <c r="AI23" t="str">
        <f t="shared" si="4"/>
        <v>Neutral (Internal/Platform)</v>
      </c>
      <c r="AJ23" s="7">
        <f t="shared" si="5"/>
        <v>0</v>
      </c>
      <c r="AP23">
        <f>COUNTIF(Master_Data_JIRA_Tickets!I:I,B23)</f>
        <v>0</v>
      </c>
      <c r="AS23" t="s">
        <v>54</v>
      </c>
      <c r="AT23" t="s">
        <v>55</v>
      </c>
      <c r="AU23" t="s">
        <v>54</v>
      </c>
    </row>
    <row r="24" ht="16.5" customHeight="1">
      <c r="B24" s="8" t="s">
        <v>107</v>
      </c>
      <c r="C24" s="8" t="s">
        <v>108</v>
      </c>
      <c r="D24" s="8" t="s">
        <v>46</v>
      </c>
      <c r="E24" s="8" t="s">
        <v>47</v>
      </c>
      <c r="F24" s="8" t="s">
        <v>106</v>
      </c>
      <c r="G24" s="9">
        <v>5</v>
      </c>
      <c r="H24" s="8" t="s">
        <v>49</v>
      </c>
      <c r="I24" s="8">
        <v>0</v>
      </c>
      <c r="J24" s="8" t="s">
        <v>50</v>
      </c>
      <c r="K24" s="10"/>
      <c r="L24" s="8"/>
      <c r="M24" s="8"/>
      <c r="N24" s="8"/>
      <c r="O24" s="9"/>
      <c r="P24" s="8"/>
      <c r="Q24" s="9"/>
      <c r="R24" s="8"/>
      <c r="S24" s="9"/>
      <c r="T24" s="8"/>
      <c r="U24" s="10"/>
      <c r="V24" s="8"/>
      <c r="W24" s="8"/>
      <c r="X24">
        <f t="shared" si="0"/>
        <v>1</v>
      </c>
      <c r="Z24" t="str">
        <f t="shared" si="1"/>
        <v/>
      </c>
      <c r="AG24">
        <f t="shared" si="2"/>
        <v>0</v>
      </c>
      <c r="AH24" s="6" t="str">
        <f t="shared" si="3"/>
        <v>Tier 4: Backlog</v>
      </c>
      <c r="AI24" t="str">
        <f t="shared" si="4"/>
        <v>Neutral (Internal/Platform)</v>
      </c>
      <c r="AJ24" s="7">
        <f t="shared" si="5"/>
        <v>0</v>
      </c>
      <c r="AP24">
        <f>COUNTIF(Master_Data_JIRA_Tickets!I:I,B24)</f>
        <v>0</v>
      </c>
      <c r="AS24" t="s">
        <v>54</v>
      </c>
      <c r="AT24" t="s">
        <v>55</v>
      </c>
      <c r="AU24" t="s">
        <v>54</v>
      </c>
    </row>
    <row r="25" ht="16.5" customHeight="1">
      <c r="B25" s="3" t="s">
        <v>109</v>
      </c>
      <c r="C25" s="3" t="s">
        <v>110</v>
      </c>
      <c r="D25" s="3" t="s">
        <v>66</v>
      </c>
      <c r="E25" s="3" t="s">
        <v>47</v>
      </c>
      <c r="F25" s="3" t="s">
        <v>106</v>
      </c>
      <c r="G25" s="4">
        <v>5</v>
      </c>
      <c r="H25" s="3" t="s">
        <v>49</v>
      </c>
      <c r="I25" s="3">
        <v>0</v>
      </c>
      <c r="J25" s="3" t="s">
        <v>50</v>
      </c>
      <c r="K25" s="5"/>
      <c r="L25" s="3"/>
      <c r="M25" s="3"/>
      <c r="N25" s="3"/>
      <c r="O25" s="4"/>
      <c r="P25" s="3"/>
      <c r="Q25" s="4"/>
      <c r="R25" s="3"/>
      <c r="S25" s="4"/>
      <c r="T25" s="3"/>
      <c r="U25" s="5"/>
      <c r="V25" s="3"/>
      <c r="W25" s="3"/>
      <c r="X25">
        <f t="shared" si="0"/>
        <v>1</v>
      </c>
      <c r="Z25" t="str">
        <f t="shared" si="1"/>
        <v/>
      </c>
      <c r="AG25">
        <f t="shared" si="2"/>
        <v>0</v>
      </c>
      <c r="AH25" s="6" t="str">
        <f t="shared" si="3"/>
        <v>Tier 4: Backlog</v>
      </c>
      <c r="AI25" t="str">
        <f t="shared" si="4"/>
        <v>Neutral (Internal/Platform)</v>
      </c>
      <c r="AJ25" s="7">
        <f t="shared" si="5"/>
        <v>0</v>
      </c>
      <c r="AP25">
        <f>COUNTIF(Master_Data_JIRA_Tickets!I:I,B25)</f>
        <v>0</v>
      </c>
      <c r="AS25" t="s">
        <v>58</v>
      </c>
      <c r="AT25" t="s">
        <v>59</v>
      </c>
      <c r="AU25" t="s">
        <v>58</v>
      </c>
    </row>
    <row r="26" ht="16.5" customHeight="1">
      <c r="B26" s="8" t="s">
        <v>111</v>
      </c>
      <c r="C26" s="8" t="s">
        <v>112</v>
      </c>
      <c r="D26" s="8" t="s">
        <v>46</v>
      </c>
      <c r="E26" s="8" t="s">
        <v>47</v>
      </c>
      <c r="F26" s="8" t="s">
        <v>106</v>
      </c>
      <c r="G26" s="9">
        <v>5</v>
      </c>
      <c r="H26" s="8" t="s">
        <v>49</v>
      </c>
      <c r="I26" s="8">
        <v>0</v>
      </c>
      <c r="J26" s="8" t="s">
        <v>50</v>
      </c>
      <c r="K26" s="10"/>
      <c r="L26" s="8"/>
      <c r="M26" s="8"/>
      <c r="N26" s="8"/>
      <c r="O26" s="9"/>
      <c r="P26" s="8"/>
      <c r="Q26" s="9"/>
      <c r="R26" s="8"/>
      <c r="S26" s="9"/>
      <c r="T26" s="8"/>
      <c r="U26" s="10"/>
      <c r="V26" s="8"/>
      <c r="W26" s="8"/>
      <c r="X26">
        <f t="shared" si="0"/>
        <v>1</v>
      </c>
      <c r="Z26" t="str">
        <f t="shared" si="1"/>
        <v/>
      </c>
      <c r="AG26">
        <f t="shared" si="2"/>
        <v>0</v>
      </c>
      <c r="AH26" s="6" t="str">
        <f t="shared" si="3"/>
        <v>Tier 4: Backlog</v>
      </c>
      <c r="AI26" t="str">
        <f t="shared" si="4"/>
        <v>Neutral (Internal/Platform)</v>
      </c>
      <c r="AJ26" s="7">
        <f t="shared" si="5"/>
        <v>0</v>
      </c>
      <c r="AP26">
        <f>COUNTIF(Master_Data_JIRA_Tickets!I:I,B26)</f>
        <v>0</v>
      </c>
      <c r="AS26" t="s">
        <v>58</v>
      </c>
      <c r="AT26" t="s">
        <v>59</v>
      </c>
      <c r="AU26" t="s">
        <v>58</v>
      </c>
    </row>
    <row r="27" ht="16.5" customHeight="1">
      <c r="B27" s="3" t="s">
        <v>113</v>
      </c>
      <c r="C27" s="3" t="s">
        <v>114</v>
      </c>
      <c r="D27" s="3" t="s">
        <v>46</v>
      </c>
      <c r="E27" s="3" t="s">
        <v>47</v>
      </c>
      <c r="F27" s="3" t="s">
        <v>106</v>
      </c>
      <c r="G27" s="4">
        <v>5</v>
      </c>
      <c r="H27" s="3" t="s">
        <v>49</v>
      </c>
      <c r="I27" s="3">
        <v>0</v>
      </c>
      <c r="J27" s="3" t="s">
        <v>50</v>
      </c>
      <c r="K27" s="5"/>
      <c r="L27" s="3"/>
      <c r="M27" s="3"/>
      <c r="N27" s="3"/>
      <c r="O27" s="4"/>
      <c r="P27" s="3"/>
      <c r="Q27" s="4"/>
      <c r="R27" s="3"/>
      <c r="S27" s="4"/>
      <c r="T27" s="3"/>
      <c r="U27" s="5"/>
      <c r="V27" s="3"/>
      <c r="W27" s="3"/>
      <c r="X27">
        <f t="shared" si="0"/>
        <v>1</v>
      </c>
      <c r="Z27" t="str">
        <f t="shared" si="1"/>
        <v/>
      </c>
      <c r="AG27">
        <f t="shared" si="2"/>
        <v>0</v>
      </c>
      <c r="AH27" s="6" t="str">
        <f t="shared" si="3"/>
        <v>Tier 4: Backlog</v>
      </c>
      <c r="AI27" t="str">
        <f t="shared" si="4"/>
        <v>Neutral (Internal/Platform)</v>
      </c>
      <c r="AJ27" s="7">
        <f t="shared" si="5"/>
        <v>0</v>
      </c>
      <c r="AP27">
        <f>COUNTIF(Master_Data_JIRA_Tickets!I:I,B27)</f>
        <v>0</v>
      </c>
      <c r="AS27" t="s">
        <v>58</v>
      </c>
      <c r="AT27" t="s">
        <v>59</v>
      </c>
      <c r="AU27" t="s">
        <v>58</v>
      </c>
    </row>
    <row r="28" ht="16.5" customHeight="1">
      <c r="B28" s="8" t="s">
        <v>115</v>
      </c>
      <c r="C28" s="8" t="s">
        <v>116</v>
      </c>
      <c r="D28" s="8" t="s">
        <v>117</v>
      </c>
      <c r="E28" s="8" t="s">
        <v>118</v>
      </c>
      <c r="F28" s="8" t="s">
        <v>48</v>
      </c>
      <c r="G28" s="9">
        <v>3</v>
      </c>
      <c r="H28" s="8" t="s">
        <v>119</v>
      </c>
      <c r="I28" s="8">
        <v>0</v>
      </c>
      <c r="J28" s="8" t="s">
        <v>120</v>
      </c>
      <c r="K28" s="11">
        <v>750000</v>
      </c>
      <c r="L28" s="8" t="s">
        <v>121</v>
      </c>
      <c r="M28" s="8" t="s">
        <v>122</v>
      </c>
      <c r="N28" s="8" t="s">
        <v>123</v>
      </c>
      <c r="O28" s="12">
        <v>1</v>
      </c>
      <c r="P28" s="8"/>
      <c r="Q28" s="12">
        <v>0.6</v>
      </c>
      <c r="R28" s="8" t="s">
        <v>124</v>
      </c>
      <c r="S28" s="9">
        <v>0</v>
      </c>
      <c r="T28" s="8">
        <v>0</v>
      </c>
      <c r="U28" s="10">
        <v>0</v>
      </c>
      <c r="V28" s="8" t="s">
        <v>125</v>
      </c>
      <c r="W28" s="8">
        <v>0</v>
      </c>
      <c r="X28">
        <f t="shared" si="0"/>
        <v>2</v>
      </c>
      <c r="Z28" t="str">
        <f t="shared" si="1"/>
        <v/>
      </c>
      <c r="AB28">
        <v>12</v>
      </c>
      <c r="AC28" t="s">
        <v>126</v>
      </c>
      <c r="AD28" t="s">
        <v>127</v>
      </c>
      <c r="AE28" t="s">
        <v>128</v>
      </c>
      <c r="AF28" t="s">
        <v>129</v>
      </c>
      <c r="AG28">
        <f t="shared" si="2"/>
        <v>1875</v>
      </c>
      <c r="AH28" s="6" t="str">
        <f t="shared" si="3"/>
        <v>Tier 1: Fast Track</v>
      </c>
      <c r="AI28" t="str">
        <f t="shared" si="4"/>
        <v>Positive (New Revenue)</v>
      </c>
      <c r="AJ28" s="7">
        <f t="shared" si="5"/>
        <v>7500</v>
      </c>
      <c r="AP28">
        <f>COUNTIF(Master_Data_JIRA_Tickets!I:I,B28)</f>
        <v>0</v>
      </c>
      <c r="AS28" t="s">
        <v>58</v>
      </c>
      <c r="AT28" t="s">
        <v>132</v>
      </c>
      <c r="AU28" t="s">
        <v>54</v>
      </c>
    </row>
    <row r="29" ht="16.5" customHeight="1">
      <c r="B29" s="3" t="s">
        <v>133</v>
      </c>
      <c r="C29" s="3" t="s">
        <v>134</v>
      </c>
      <c r="D29" s="3" t="s">
        <v>117</v>
      </c>
      <c r="E29" s="3" t="s">
        <v>118</v>
      </c>
      <c r="F29" s="3" t="s">
        <v>76</v>
      </c>
      <c r="G29" s="4">
        <v>3</v>
      </c>
      <c r="H29" s="3" t="s">
        <v>119</v>
      </c>
      <c r="I29" s="3">
        <v>0</v>
      </c>
      <c r="J29" s="3" t="s">
        <v>120</v>
      </c>
      <c r="K29" s="5"/>
      <c r="L29" s="3"/>
      <c r="M29" s="3"/>
      <c r="N29" s="3"/>
      <c r="O29" s="4"/>
      <c r="P29" s="3"/>
      <c r="Q29" s="4"/>
      <c r="R29" s="3"/>
      <c r="S29" s="4"/>
      <c r="T29" s="3"/>
      <c r="U29" s="5"/>
      <c r="V29" s="3"/>
      <c r="W29" s="3"/>
      <c r="X29">
        <f t="shared" si="0"/>
        <v>2</v>
      </c>
      <c r="Z29" t="str">
        <f t="shared" si="1"/>
        <v/>
      </c>
      <c r="AG29">
        <f t="shared" si="2"/>
        <v>0</v>
      </c>
      <c r="AH29" s="6" t="str">
        <f t="shared" si="3"/>
        <v>Tier 4: Backlog</v>
      </c>
      <c r="AI29" t="str">
        <f t="shared" si="4"/>
        <v>Neutral (Internal/Platform)</v>
      </c>
      <c r="AJ29" s="7">
        <f t="shared" si="5"/>
        <v>0</v>
      </c>
      <c r="AP29">
        <f>COUNTIF(Master_Data_JIRA_Tickets!I:I,B29)</f>
        <v>0</v>
      </c>
      <c r="AS29" t="s">
        <v>58</v>
      </c>
      <c r="AT29" t="s">
        <v>59</v>
      </c>
      <c r="AU29" t="s">
        <v>58</v>
      </c>
    </row>
    <row r="30" ht="16.5" customHeight="1">
      <c r="B30" s="8" t="s">
        <v>135</v>
      </c>
      <c r="C30" s="8" t="s">
        <v>136</v>
      </c>
      <c r="D30" s="8" t="s">
        <v>137</v>
      </c>
      <c r="E30" s="8" t="s">
        <v>118</v>
      </c>
      <c r="F30" s="8" t="s">
        <v>76</v>
      </c>
      <c r="G30" s="9">
        <v>3</v>
      </c>
      <c r="H30" s="8" t="s">
        <v>119</v>
      </c>
      <c r="I30" s="8">
        <v>0</v>
      </c>
      <c r="J30" s="8" t="s">
        <v>120</v>
      </c>
      <c r="K30" s="10"/>
      <c r="L30" s="8"/>
      <c r="M30" s="8"/>
      <c r="N30" s="8"/>
      <c r="O30" s="9"/>
      <c r="P30" s="8"/>
      <c r="Q30" s="9"/>
      <c r="R30" s="8"/>
      <c r="S30" s="9"/>
      <c r="T30" s="8"/>
      <c r="U30" s="10"/>
      <c r="V30" s="8"/>
      <c r="W30" s="8"/>
      <c r="X30">
        <f t="shared" si="0"/>
        <v>2</v>
      </c>
      <c r="Z30" t="str">
        <f t="shared" si="1"/>
        <v/>
      </c>
      <c r="AG30">
        <f t="shared" si="2"/>
        <v>0</v>
      </c>
      <c r="AH30" s="6" t="str">
        <f t="shared" si="3"/>
        <v>Tier 4: Backlog</v>
      </c>
      <c r="AI30" t="str">
        <f t="shared" si="4"/>
        <v>Neutral (Internal/Platform)</v>
      </c>
      <c r="AJ30" s="7">
        <f t="shared" si="5"/>
        <v>0</v>
      </c>
      <c r="AP30">
        <f>COUNTIF(Master_Data_JIRA_Tickets!I:I,B30)</f>
        <v>0</v>
      </c>
      <c r="AS30" t="s">
        <v>58</v>
      </c>
      <c r="AT30" t="s">
        <v>59</v>
      </c>
      <c r="AU30" t="s">
        <v>58</v>
      </c>
    </row>
    <row r="31" ht="16.5" customHeight="1">
      <c r="B31" s="3" t="s">
        <v>138</v>
      </c>
      <c r="C31" s="3" t="s">
        <v>139</v>
      </c>
      <c r="D31" s="3" t="s">
        <v>73</v>
      </c>
      <c r="E31" s="3" t="s">
        <v>118</v>
      </c>
      <c r="F31" s="3" t="s">
        <v>48</v>
      </c>
      <c r="G31" s="4">
        <v>2</v>
      </c>
      <c r="H31" s="3" t="s">
        <v>140</v>
      </c>
      <c r="I31" s="3"/>
      <c r="J31" s="3" t="s">
        <v>120</v>
      </c>
      <c r="K31" s="5"/>
      <c r="L31" s="3"/>
      <c r="M31" s="3"/>
      <c r="N31" s="3"/>
      <c r="O31" s="4"/>
      <c r="P31" s="3"/>
      <c r="Q31" s="4"/>
      <c r="R31" s="3"/>
      <c r="S31" s="4"/>
      <c r="T31" s="3"/>
      <c r="U31" s="5"/>
      <c r="V31" s="3"/>
      <c r="W31" s="3"/>
      <c r="X31">
        <f t="shared" si="0"/>
        <v>1</v>
      </c>
      <c r="Z31" t="str">
        <f t="shared" si="1"/>
        <v/>
      </c>
      <c r="AG31">
        <f t="shared" si="2"/>
        <v>0</v>
      </c>
      <c r="AH31" s="6" t="str">
        <f t="shared" si="3"/>
        <v>Tier 4: Backlog</v>
      </c>
      <c r="AI31" t="str">
        <f t="shared" si="4"/>
        <v>Neutral (Internal/Platform)</v>
      </c>
      <c r="AJ31" s="7">
        <f t="shared" si="5"/>
        <v>0</v>
      </c>
      <c r="AP31">
        <f>COUNTIF(Master_Data_JIRA_Tickets!I:I,B31)</f>
        <v>0</v>
      </c>
      <c r="AS31" t="s">
        <v>58</v>
      </c>
      <c r="AT31" t="s">
        <v>59</v>
      </c>
      <c r="AU31" t="s">
        <v>58</v>
      </c>
    </row>
    <row r="32" ht="16.5" customHeight="1">
      <c r="B32" s="8" t="s">
        <v>141</v>
      </c>
      <c r="C32" s="8" t="s">
        <v>142</v>
      </c>
      <c r="D32" s="8" t="s">
        <v>95</v>
      </c>
      <c r="E32" s="8" t="s">
        <v>118</v>
      </c>
      <c r="F32" s="8" t="s">
        <v>48</v>
      </c>
      <c r="G32" s="9">
        <v>3</v>
      </c>
      <c r="H32" s="8" t="s">
        <v>140</v>
      </c>
      <c r="I32" s="8"/>
      <c r="J32" s="8" t="s">
        <v>120</v>
      </c>
      <c r="K32" s="11">
        <v>500000</v>
      </c>
      <c r="L32" s="8" t="s">
        <v>143</v>
      </c>
      <c r="M32" s="8" t="s">
        <v>122</v>
      </c>
      <c r="N32" s="8" t="s">
        <v>123</v>
      </c>
      <c r="O32" s="12">
        <v>1</v>
      </c>
      <c r="P32" s="8"/>
      <c r="Q32" s="9"/>
      <c r="R32" s="8"/>
      <c r="S32" s="9"/>
      <c r="T32" s="8"/>
      <c r="U32" s="10"/>
      <c r="V32" s="8"/>
      <c r="W32" s="8"/>
      <c r="X32">
        <f t="shared" si="0"/>
        <v>1</v>
      </c>
      <c r="Z32" t="str">
        <f t="shared" si="1"/>
        <v/>
      </c>
      <c r="AB32">
        <v>8</v>
      </c>
      <c r="AC32" t="s">
        <v>126</v>
      </c>
      <c r="AD32" t="s">
        <v>144</v>
      </c>
      <c r="AF32" t="s">
        <v>145</v>
      </c>
      <c r="AG32">
        <f t="shared" si="2"/>
        <v>1875</v>
      </c>
      <c r="AH32" s="6" t="str">
        <f t="shared" si="3"/>
        <v>Tier 1: Fast Track</v>
      </c>
      <c r="AI32" t="str">
        <f t="shared" si="4"/>
        <v>Positive (New Revenue)</v>
      </c>
      <c r="AJ32" s="7">
        <f t="shared" si="5"/>
        <v>5000</v>
      </c>
      <c r="AP32">
        <f>COUNTIF(Master_Data_JIRA_Tickets!I:I,B32)</f>
        <v>0</v>
      </c>
      <c r="AS32" t="s">
        <v>58</v>
      </c>
      <c r="AT32" t="s">
        <v>132</v>
      </c>
      <c r="AU32" t="s">
        <v>54</v>
      </c>
    </row>
    <row r="33" ht="16.5" customHeight="1">
      <c r="B33" s="3" t="s">
        <v>146</v>
      </c>
      <c r="C33" s="3" t="s">
        <v>147</v>
      </c>
      <c r="D33" s="3" t="s">
        <v>117</v>
      </c>
      <c r="E33" s="3" t="s">
        <v>148</v>
      </c>
      <c r="F33" s="3" t="s">
        <v>48</v>
      </c>
      <c r="G33" s="4">
        <v>1</v>
      </c>
      <c r="H33" s="3" t="s">
        <v>140</v>
      </c>
      <c r="I33" s="3"/>
      <c r="J33" s="3" t="s">
        <v>120</v>
      </c>
      <c r="K33" s="13">
        <v>-500000</v>
      </c>
      <c r="L33" s="3" t="s">
        <v>149</v>
      </c>
      <c r="M33" s="3">
        <v>0</v>
      </c>
      <c r="N33" s="3">
        <v>0</v>
      </c>
      <c r="O33" s="14">
        <v>1</v>
      </c>
      <c r="P33" s="15" t="s">
        <v>55</v>
      </c>
      <c r="Q33" s="14">
        <v>0.7</v>
      </c>
      <c r="R33" s="3"/>
      <c r="S33" s="4">
        <v>1</v>
      </c>
      <c r="T33" s="3" t="s">
        <v>54</v>
      </c>
      <c r="U33" s="5">
        <v>-500000</v>
      </c>
      <c r="V33" s="3" t="s">
        <v>150</v>
      </c>
      <c r="W33" s="3"/>
      <c r="X33">
        <f t="shared" si="0"/>
        <v>1</v>
      </c>
      <c r="Z33" t="str">
        <f t="shared" si="1"/>
        <v/>
      </c>
      <c r="AB33">
        <v>1</v>
      </c>
      <c r="AC33" t="s">
        <v>151</v>
      </c>
      <c r="AD33" t="s">
        <v>152</v>
      </c>
      <c r="AF33" t="s">
        <v>145</v>
      </c>
      <c r="AG33">
        <f t="shared" si="2"/>
        <v>-5000</v>
      </c>
      <c r="AH33" s="16" t="str">
        <f t="shared" si="3"/>
        <v>Tier 0: Emergency</v>
      </c>
      <c r="AI33" t="str">
        <f t="shared" si="4"/>
        <v>Negative (Risk of Loss)</v>
      </c>
      <c r="AJ33" s="7">
        <f t="shared" si="5"/>
        <v>-5000</v>
      </c>
      <c r="AP33">
        <f>COUNTIF(Master_Data_JIRA_Tickets!I:I,B33)</f>
        <v>0</v>
      </c>
      <c r="AS33" t="s">
        <v>58</v>
      </c>
      <c r="AT33" t="s">
        <v>132</v>
      </c>
      <c r="AU33" t="s">
        <v>54</v>
      </c>
    </row>
    <row r="34" ht="16.5" customHeight="1">
      <c r="B34" s="8" t="s">
        <v>154</v>
      </c>
      <c r="C34" s="8" t="s">
        <v>155</v>
      </c>
      <c r="D34" s="8" t="s">
        <v>137</v>
      </c>
      <c r="E34" s="8" t="s">
        <v>118</v>
      </c>
      <c r="F34" s="8" t="s">
        <v>76</v>
      </c>
      <c r="G34" s="9">
        <v>3</v>
      </c>
      <c r="H34" s="8" t="s">
        <v>156</v>
      </c>
      <c r="I34" s="8"/>
      <c r="J34" s="8" t="s">
        <v>120</v>
      </c>
      <c r="K34" s="10"/>
      <c r="L34" s="8"/>
      <c r="M34" s="8"/>
      <c r="N34" s="8"/>
      <c r="O34" s="9"/>
      <c r="P34" s="8"/>
      <c r="Q34" s="9"/>
      <c r="R34" s="8"/>
      <c r="S34" s="9"/>
      <c r="T34" s="8"/>
      <c r="U34" s="10"/>
      <c r="V34" s="8"/>
      <c r="W34" s="8"/>
      <c r="X34">
        <f t="shared" si="0"/>
        <v>1</v>
      </c>
      <c r="Z34" t="str">
        <f t="shared" si="1"/>
        <v/>
      </c>
      <c r="AG34">
        <f t="shared" si="2"/>
        <v>0</v>
      </c>
      <c r="AH34" s="6" t="str">
        <f t="shared" si="3"/>
        <v>Tier 4: Backlog</v>
      </c>
      <c r="AI34" t="str">
        <f t="shared" si="4"/>
        <v>Neutral (Internal/Platform)</v>
      </c>
      <c r="AJ34" s="7">
        <f t="shared" si="5"/>
        <v>0</v>
      </c>
      <c r="AP34">
        <f>COUNTIF(Master_Data_JIRA_Tickets!I:I,B34)</f>
        <v>0</v>
      </c>
      <c r="AS34" t="s">
        <v>58</v>
      </c>
      <c r="AT34" t="s">
        <v>59</v>
      </c>
      <c r="AU34" t="s">
        <v>58</v>
      </c>
    </row>
    <row r="35" ht="16.5" customHeight="1">
      <c r="B35" s="3" t="s">
        <v>157</v>
      </c>
      <c r="C35" s="3" t="s">
        <v>158</v>
      </c>
      <c r="D35" s="3" t="s">
        <v>159</v>
      </c>
      <c r="E35" s="3" t="s">
        <v>118</v>
      </c>
      <c r="F35" s="3" t="s">
        <v>92</v>
      </c>
      <c r="G35" s="4">
        <v>3</v>
      </c>
      <c r="H35" s="3" t="s">
        <v>156</v>
      </c>
      <c r="I35" s="3"/>
      <c r="J35" s="3" t="s">
        <v>120</v>
      </c>
      <c r="K35" s="5"/>
      <c r="L35" s="3"/>
      <c r="M35" s="3"/>
      <c r="N35" s="3"/>
      <c r="O35" s="4"/>
      <c r="P35" s="3"/>
      <c r="Q35" s="4"/>
      <c r="R35" s="3"/>
      <c r="S35" s="4"/>
      <c r="T35" s="3"/>
      <c r="U35" s="5"/>
      <c r="V35" s="3"/>
      <c r="W35" s="3"/>
      <c r="X35">
        <f t="shared" si="0"/>
        <v>1</v>
      </c>
      <c r="Z35" t="str">
        <f t="shared" si="1"/>
        <v/>
      </c>
      <c r="AG35">
        <f t="shared" si="2"/>
        <v>0</v>
      </c>
      <c r="AH35" s="6" t="str">
        <f t="shared" si="3"/>
        <v>Tier 4: Backlog</v>
      </c>
      <c r="AI35" t="str">
        <f t="shared" si="4"/>
        <v>Neutral (Internal/Platform)</v>
      </c>
      <c r="AJ35" s="7">
        <f t="shared" si="5"/>
        <v>0</v>
      </c>
      <c r="AP35">
        <f>COUNTIF(Master_Data_JIRA_Tickets!I:I,B35)</f>
        <v>0</v>
      </c>
      <c r="AS35" t="s">
        <v>58</v>
      </c>
      <c r="AT35" t="s">
        <v>59</v>
      </c>
      <c r="AU35" t="s">
        <v>58</v>
      </c>
    </row>
    <row r="36" ht="16.5" customHeight="1">
      <c r="B36" s="8" t="s">
        <v>160</v>
      </c>
      <c r="C36" s="8" t="s">
        <v>161</v>
      </c>
      <c r="D36" s="8" t="s">
        <v>95</v>
      </c>
      <c r="E36" s="8" t="s">
        <v>118</v>
      </c>
      <c r="F36" s="8" t="s">
        <v>48</v>
      </c>
      <c r="G36" s="9">
        <v>4</v>
      </c>
      <c r="H36" s="8" t="s">
        <v>162</v>
      </c>
      <c r="I36" s="8"/>
      <c r="J36" s="8" t="s">
        <v>120</v>
      </c>
      <c r="K36" s="11">
        <v>1200000</v>
      </c>
      <c r="L36" s="8" t="s">
        <v>121</v>
      </c>
      <c r="M36" s="8" t="s">
        <v>122</v>
      </c>
      <c r="N36" s="8" t="s">
        <v>123</v>
      </c>
      <c r="O36" s="12">
        <v>1</v>
      </c>
      <c r="P36" s="8"/>
      <c r="Q36" s="9"/>
      <c r="R36" s="8"/>
      <c r="S36" s="9"/>
      <c r="T36" s="8"/>
      <c r="U36" s="10"/>
      <c r="V36" s="8"/>
      <c r="W36" s="8"/>
      <c r="X36">
        <f t="shared" si="0"/>
        <v>1</v>
      </c>
      <c r="Z36" t="str">
        <f t="shared" si="1"/>
        <v/>
      </c>
      <c r="AB36">
        <v>8</v>
      </c>
      <c r="AC36" t="s">
        <v>126</v>
      </c>
      <c r="AD36" t="s">
        <v>144</v>
      </c>
      <c r="AF36" t="s">
        <v>129</v>
      </c>
      <c r="AG36">
        <f t="shared" si="2"/>
        <v>6000</v>
      </c>
      <c r="AH36" s="6" t="str">
        <f t="shared" si="3"/>
        <v>Tier 1: Fast Track</v>
      </c>
      <c r="AI36" t="str">
        <f t="shared" si="4"/>
        <v>Positive (New Revenue)</v>
      </c>
      <c r="AJ36" s="7">
        <f t="shared" si="5"/>
        <v>12000</v>
      </c>
      <c r="AP36">
        <f>COUNTIF(Master_Data_JIRA_Tickets!I:I,B36)</f>
        <v>0</v>
      </c>
      <c r="AS36" t="s">
        <v>58</v>
      </c>
      <c r="AT36" t="s">
        <v>132</v>
      </c>
      <c r="AU36" t="s">
        <v>54</v>
      </c>
    </row>
    <row r="37" ht="16.5" customHeight="1">
      <c r="B37" s="3" t="s">
        <v>163</v>
      </c>
      <c r="C37" s="3" t="s">
        <v>164</v>
      </c>
      <c r="D37" s="3" t="s">
        <v>46</v>
      </c>
      <c r="E37" s="3" t="s">
        <v>118</v>
      </c>
      <c r="F37" s="3" t="s">
        <v>76</v>
      </c>
      <c r="G37" s="4">
        <v>4</v>
      </c>
      <c r="H37" s="3" t="s">
        <v>162</v>
      </c>
      <c r="I37" s="3"/>
      <c r="J37" s="3" t="s">
        <v>165</v>
      </c>
      <c r="K37" s="5"/>
      <c r="L37" s="3"/>
      <c r="M37" s="3"/>
      <c r="N37" s="3"/>
      <c r="O37" s="4"/>
      <c r="P37" s="3"/>
      <c r="Q37" s="4"/>
      <c r="R37" s="3"/>
      <c r="S37" s="4"/>
      <c r="T37" s="3"/>
      <c r="U37" s="5"/>
      <c r="V37" s="3"/>
      <c r="W37" s="3"/>
      <c r="X37">
        <f t="shared" si="0"/>
        <v>1</v>
      </c>
      <c r="Z37" t="str">
        <f t="shared" si="1"/>
        <v/>
      </c>
      <c r="AG37">
        <f t="shared" si="2"/>
        <v>0</v>
      </c>
      <c r="AH37" s="6" t="str">
        <f t="shared" si="3"/>
        <v>Tier 4: Backlog</v>
      </c>
      <c r="AI37" t="str">
        <f t="shared" si="4"/>
        <v>Neutral (Internal/Platform)</v>
      </c>
      <c r="AJ37" s="7">
        <f t="shared" si="5"/>
        <v>0</v>
      </c>
      <c r="AP37">
        <f>COUNTIF(Master_Data_JIRA_Tickets!I:I,B37)</f>
        <v>0</v>
      </c>
      <c r="AS37" t="s">
        <v>58</v>
      </c>
      <c r="AT37" t="s">
        <v>59</v>
      </c>
      <c r="AU37" t="s">
        <v>58</v>
      </c>
    </row>
    <row r="38" ht="16.5" customHeight="1">
      <c r="B38" s="8" t="s">
        <v>166</v>
      </c>
      <c r="C38" s="8" t="s">
        <v>167</v>
      </c>
      <c r="D38" s="8" t="s">
        <v>168</v>
      </c>
      <c r="E38" s="8" t="s">
        <v>118</v>
      </c>
      <c r="F38" s="8" t="s">
        <v>48</v>
      </c>
      <c r="G38" s="9">
        <v>5</v>
      </c>
      <c r="H38" s="8" t="s">
        <v>169</v>
      </c>
      <c r="I38" s="8" t="s">
        <v>170</v>
      </c>
      <c r="J38" s="8" t="s">
        <v>50</v>
      </c>
      <c r="K38" s="11">
        <v>200000</v>
      </c>
      <c r="L38" s="8" t="s">
        <v>121</v>
      </c>
      <c r="M38" s="8" t="s">
        <v>122</v>
      </c>
      <c r="N38" s="8" t="s">
        <v>123</v>
      </c>
      <c r="O38" s="12">
        <v>1</v>
      </c>
      <c r="P38" s="15" t="s">
        <v>55</v>
      </c>
      <c r="Q38" s="12">
        <v>0.4</v>
      </c>
      <c r="R38" s="8" t="s">
        <v>171</v>
      </c>
      <c r="S38" s="9">
        <v>6</v>
      </c>
      <c r="T38" s="8"/>
      <c r="U38" s="10"/>
      <c r="V38" s="8"/>
      <c r="W38" s="8"/>
      <c r="X38">
        <f t="shared" si="0"/>
        <v>2</v>
      </c>
      <c r="Z38" t="str">
        <f t="shared" si="1"/>
        <v/>
      </c>
      <c r="AB38">
        <v>6</v>
      </c>
      <c r="AC38" t="s">
        <v>172</v>
      </c>
      <c r="AD38" t="s">
        <v>144</v>
      </c>
      <c r="AF38" t="s">
        <v>145</v>
      </c>
      <c r="AG38">
        <f t="shared" si="2"/>
        <v>1666.66666666667</v>
      </c>
      <c r="AH38" s="6" t="str">
        <f t="shared" si="3"/>
        <v>Tier 1: Fast Track</v>
      </c>
      <c r="AI38" t="str">
        <f t="shared" si="4"/>
        <v>Positive (New Revenue)</v>
      </c>
      <c r="AJ38" s="7">
        <f t="shared" si="5"/>
        <v>2000</v>
      </c>
      <c r="AP38">
        <f>COUNTIF(Master_Data_JIRA_Tickets!I:I,B38)</f>
        <v>0</v>
      </c>
      <c r="AS38" t="s">
        <v>58</v>
      </c>
      <c r="AT38" t="s">
        <v>132</v>
      </c>
      <c r="AU38" t="s">
        <v>54</v>
      </c>
    </row>
    <row r="39" ht="16.5" customHeight="1">
      <c r="B39" s="3" t="s">
        <v>173</v>
      </c>
      <c r="C39" s="3" t="s">
        <v>174</v>
      </c>
      <c r="D39" s="3" t="s">
        <v>168</v>
      </c>
      <c r="E39" s="3" t="s">
        <v>118</v>
      </c>
      <c r="F39" s="3" t="s">
        <v>76</v>
      </c>
      <c r="G39" s="4">
        <v>5</v>
      </c>
      <c r="H39" s="3" t="s">
        <v>169</v>
      </c>
      <c r="I39" s="3" t="s">
        <v>175</v>
      </c>
      <c r="J39" s="3" t="s">
        <v>50</v>
      </c>
      <c r="K39" s="13">
        <v>180000</v>
      </c>
      <c r="L39" s="3" t="s">
        <v>121</v>
      </c>
      <c r="M39" s="3" t="s">
        <v>176</v>
      </c>
      <c r="N39" s="3" t="s">
        <v>176</v>
      </c>
      <c r="O39" s="14">
        <v>0.8</v>
      </c>
      <c r="P39" s="3"/>
      <c r="Q39" s="4"/>
      <c r="R39" s="3"/>
      <c r="S39" s="4"/>
      <c r="T39" s="3"/>
      <c r="U39" s="5"/>
      <c r="V39" s="3"/>
      <c r="W39" s="3"/>
      <c r="X39">
        <f t="shared" si="0"/>
        <v>2</v>
      </c>
      <c r="Z39" t="str">
        <f t="shared" si="1"/>
        <v/>
      </c>
      <c r="AB39">
        <v>6</v>
      </c>
      <c r="AC39" t="s">
        <v>172</v>
      </c>
      <c r="AD39" t="s">
        <v>144</v>
      </c>
      <c r="AF39" t="s">
        <v>145</v>
      </c>
      <c r="AG39">
        <f t="shared" si="2"/>
        <v>1200</v>
      </c>
      <c r="AH39" s="6" t="str">
        <f t="shared" si="3"/>
        <v>Tier 1: Fast Track</v>
      </c>
      <c r="AI39" t="str">
        <f t="shared" si="4"/>
        <v>Positive (New Revenue)</v>
      </c>
      <c r="AJ39" s="7">
        <f t="shared" si="5"/>
        <v>1440</v>
      </c>
      <c r="AP39">
        <f>COUNTIF(Master_Data_JIRA_Tickets!I:I,B39)</f>
        <v>0</v>
      </c>
      <c r="AS39" t="s">
        <v>58</v>
      </c>
      <c r="AT39" t="s">
        <v>132</v>
      </c>
      <c r="AU39" t="s">
        <v>54</v>
      </c>
    </row>
    <row r="40" ht="16.5" customHeight="1">
      <c r="B40" s="8" t="s">
        <v>177</v>
      </c>
      <c r="C40" s="8" t="s">
        <v>178</v>
      </c>
      <c r="D40" s="8" t="s">
        <v>137</v>
      </c>
      <c r="E40" s="8" t="s">
        <v>118</v>
      </c>
      <c r="F40" s="8" t="s">
        <v>76</v>
      </c>
      <c r="G40" s="9">
        <v>2</v>
      </c>
      <c r="H40" s="8" t="s">
        <v>169</v>
      </c>
      <c r="I40" s="8" t="s">
        <v>179</v>
      </c>
      <c r="J40" s="8" t="s">
        <v>120</v>
      </c>
      <c r="K40" s="11">
        <v>200000</v>
      </c>
      <c r="L40" s="8" t="s">
        <v>121</v>
      </c>
      <c r="M40" s="8" t="s">
        <v>180</v>
      </c>
      <c r="N40" s="8" t="s">
        <v>180</v>
      </c>
      <c r="O40" s="12">
        <v>0.5</v>
      </c>
      <c r="P40" s="17" t="s">
        <v>59</v>
      </c>
      <c r="Q40" s="9"/>
      <c r="R40" s="8"/>
      <c r="S40" s="9">
        <v>12</v>
      </c>
      <c r="T40" s="8"/>
      <c r="U40" s="10"/>
      <c r="V40" s="8"/>
      <c r="W40" s="8" t="s">
        <v>181</v>
      </c>
      <c r="X40">
        <f t="shared" si="0"/>
        <v>2</v>
      </c>
      <c r="Z40" t="str">
        <f t="shared" si="1"/>
        <v/>
      </c>
      <c r="AB40">
        <v>12</v>
      </c>
      <c r="AC40" t="s">
        <v>182</v>
      </c>
      <c r="AD40" t="s">
        <v>127</v>
      </c>
      <c r="AE40" t="s">
        <v>183</v>
      </c>
      <c r="AF40" t="s">
        <v>145</v>
      </c>
      <c r="AG40">
        <f t="shared" si="2"/>
        <v>166.666666666667</v>
      </c>
      <c r="AH40" s="6" t="str">
        <f t="shared" si="3"/>
        <v>Tier 1: Fast Track</v>
      </c>
      <c r="AI40" t="str">
        <f t="shared" si="4"/>
        <v>Positive (New Revenue)</v>
      </c>
      <c r="AJ40" s="7">
        <f t="shared" si="5"/>
        <v>1000</v>
      </c>
      <c r="AP40">
        <f>COUNTIF(Master_Data_JIRA_Tickets!I:I,B40)</f>
        <v>0</v>
      </c>
      <c r="AS40" t="s">
        <v>58</v>
      </c>
      <c r="AT40" t="s">
        <v>132</v>
      </c>
      <c r="AU40" t="s">
        <v>54</v>
      </c>
    </row>
    <row r="41" ht="16.5" customHeight="1">
      <c r="B41" s="3" t="s">
        <v>184</v>
      </c>
      <c r="C41" s="3" t="s">
        <v>185</v>
      </c>
      <c r="D41" s="3" t="s">
        <v>95</v>
      </c>
      <c r="E41" s="3" t="s">
        <v>47</v>
      </c>
      <c r="F41" s="3" t="s">
        <v>92</v>
      </c>
      <c r="G41" s="4">
        <v>5</v>
      </c>
      <c r="H41" s="3" t="s">
        <v>49</v>
      </c>
      <c r="I41" s="3">
        <v>0</v>
      </c>
      <c r="J41" s="3" t="s">
        <v>50</v>
      </c>
      <c r="K41" s="5"/>
      <c r="L41" s="3"/>
      <c r="M41" s="3"/>
      <c r="N41" s="3"/>
      <c r="O41" s="4"/>
      <c r="P41" s="3"/>
      <c r="Q41" s="4"/>
      <c r="R41" s="3"/>
      <c r="S41" s="4"/>
      <c r="T41" s="3"/>
      <c r="U41" s="5"/>
      <c r="V41" s="3"/>
      <c r="W41" s="3"/>
      <c r="X41">
        <f t="shared" si="0"/>
        <v>1</v>
      </c>
      <c r="Z41" t="str">
        <f t="shared" si="1"/>
        <v/>
      </c>
      <c r="AG41">
        <f t="shared" si="2"/>
        <v>0</v>
      </c>
      <c r="AH41" s="6" t="str">
        <f t="shared" si="3"/>
        <v>Tier 4: Backlog</v>
      </c>
      <c r="AI41" t="str">
        <f t="shared" si="4"/>
        <v>Neutral (Internal/Platform)</v>
      </c>
      <c r="AJ41" s="7">
        <f t="shared" si="5"/>
        <v>0</v>
      </c>
      <c r="AP41">
        <f>COUNTIF(Master_Data_JIRA_Tickets!I:I,B41)</f>
        <v>0</v>
      </c>
      <c r="AS41" t="s">
        <v>58</v>
      </c>
      <c r="AT41" t="s">
        <v>59</v>
      </c>
      <c r="AU41" t="s">
        <v>58</v>
      </c>
    </row>
    <row r="42" ht="16.5" customHeight="1">
      <c r="B42" s="8" t="s">
        <v>186</v>
      </c>
      <c r="C42" s="8" t="s">
        <v>187</v>
      </c>
      <c r="D42" s="8" t="s">
        <v>117</v>
      </c>
      <c r="E42" s="8" t="s">
        <v>47</v>
      </c>
      <c r="F42" s="8" t="s">
        <v>76</v>
      </c>
      <c r="G42" s="9">
        <v>5</v>
      </c>
      <c r="H42" s="8" t="s">
        <v>49</v>
      </c>
      <c r="I42" s="8">
        <v>0</v>
      </c>
      <c r="J42" s="8" t="s">
        <v>50</v>
      </c>
      <c r="K42" s="10"/>
      <c r="L42" s="8"/>
      <c r="M42" s="8"/>
      <c r="N42" s="8"/>
      <c r="O42" s="9"/>
      <c r="P42" s="8"/>
      <c r="Q42" s="9"/>
      <c r="R42" s="8"/>
      <c r="S42" s="9"/>
      <c r="T42" s="8"/>
      <c r="U42" s="10"/>
      <c r="V42" s="8"/>
      <c r="W42" s="8"/>
      <c r="X42">
        <f t="shared" si="0"/>
        <v>1</v>
      </c>
      <c r="Z42" t="str">
        <f t="shared" si="1"/>
        <v/>
      </c>
      <c r="AG42">
        <f t="shared" si="2"/>
        <v>0</v>
      </c>
      <c r="AH42" s="6" t="str">
        <f t="shared" si="3"/>
        <v>Tier 4: Backlog</v>
      </c>
      <c r="AI42" t="str">
        <f t="shared" si="4"/>
        <v>Neutral (Internal/Platform)</v>
      </c>
      <c r="AJ42" s="7">
        <f t="shared" si="5"/>
        <v>0</v>
      </c>
      <c r="AP42">
        <f>COUNTIF(Master_Data_JIRA_Tickets!I:I,B42)</f>
        <v>0</v>
      </c>
      <c r="AS42" t="s">
        <v>58</v>
      </c>
      <c r="AT42" t="s">
        <v>59</v>
      </c>
      <c r="AU42" t="s">
        <v>58</v>
      </c>
    </row>
    <row r="43" ht="16.5" customHeight="1">
      <c r="B43" s="3" t="s">
        <v>188</v>
      </c>
      <c r="C43" s="3" t="s">
        <v>189</v>
      </c>
      <c r="D43" s="3" t="s">
        <v>159</v>
      </c>
      <c r="E43" s="3" t="s">
        <v>47</v>
      </c>
      <c r="F43" s="3" t="s">
        <v>92</v>
      </c>
      <c r="G43" s="4">
        <v>5</v>
      </c>
      <c r="H43" s="3" t="s">
        <v>49</v>
      </c>
      <c r="I43" s="3">
        <v>0</v>
      </c>
      <c r="J43" s="3" t="s">
        <v>50</v>
      </c>
      <c r="K43" s="5"/>
      <c r="L43" s="3"/>
      <c r="M43" s="3"/>
      <c r="N43" s="3"/>
      <c r="O43" s="4"/>
      <c r="P43" s="3"/>
      <c r="Q43" s="4"/>
      <c r="R43" s="3"/>
      <c r="S43" s="4"/>
      <c r="T43" s="3"/>
      <c r="U43" s="5"/>
      <c r="V43" s="3"/>
      <c r="W43" s="3"/>
      <c r="X43">
        <f t="shared" si="0"/>
        <v>1</v>
      </c>
      <c r="Z43" t="str">
        <f t="shared" si="1"/>
        <v/>
      </c>
      <c r="AG43">
        <f t="shared" si="2"/>
        <v>0</v>
      </c>
      <c r="AH43" s="6" t="str">
        <f t="shared" si="3"/>
        <v>Tier 4: Backlog</v>
      </c>
      <c r="AI43" t="str">
        <f t="shared" si="4"/>
        <v>Neutral (Internal/Platform)</v>
      </c>
      <c r="AJ43" s="7">
        <f t="shared" si="5"/>
        <v>0</v>
      </c>
      <c r="AP43">
        <f>COUNTIF(Master_Data_JIRA_Tickets!I:I,B43)</f>
        <v>0</v>
      </c>
      <c r="AS43" t="s">
        <v>58</v>
      </c>
      <c r="AT43" t="s">
        <v>59</v>
      </c>
      <c r="AU43" t="s">
        <v>58</v>
      </c>
    </row>
    <row r="44" ht="16.5" customHeight="1">
      <c r="B44" s="8" t="s">
        <v>190</v>
      </c>
      <c r="C44" s="8" t="s">
        <v>191</v>
      </c>
      <c r="D44" s="8" t="s">
        <v>168</v>
      </c>
      <c r="E44" s="8" t="s">
        <v>47</v>
      </c>
      <c r="F44" s="8" t="s">
        <v>76</v>
      </c>
      <c r="G44" s="9">
        <v>5</v>
      </c>
      <c r="H44" s="8" t="s">
        <v>49</v>
      </c>
      <c r="I44" s="8">
        <v>0</v>
      </c>
      <c r="J44" s="8" t="s">
        <v>50</v>
      </c>
      <c r="K44" s="10"/>
      <c r="L44" s="8"/>
      <c r="M44" s="8"/>
      <c r="N44" s="8"/>
      <c r="O44" s="9"/>
      <c r="P44" s="8"/>
      <c r="Q44" s="9"/>
      <c r="R44" s="8"/>
      <c r="S44" s="9"/>
      <c r="T44" s="8"/>
      <c r="U44" s="10"/>
      <c r="V44" s="8"/>
      <c r="W44" s="8"/>
      <c r="X44">
        <f t="shared" si="0"/>
        <v>1</v>
      </c>
      <c r="Z44" t="str">
        <f t="shared" si="1"/>
        <v/>
      </c>
      <c r="AG44">
        <f t="shared" si="2"/>
        <v>0</v>
      </c>
      <c r="AH44" s="6" t="str">
        <f t="shared" si="3"/>
        <v>Tier 4: Backlog</v>
      </c>
      <c r="AI44" t="str">
        <f t="shared" si="4"/>
        <v>Neutral (Internal/Platform)</v>
      </c>
      <c r="AJ44" s="7">
        <f t="shared" si="5"/>
        <v>0</v>
      </c>
      <c r="AP44">
        <f>COUNTIF(Master_Data_JIRA_Tickets!I:I,B44)</f>
        <v>0</v>
      </c>
      <c r="AS44" t="s">
        <v>58</v>
      </c>
      <c r="AT44" t="s">
        <v>59</v>
      </c>
      <c r="AU44" t="s">
        <v>58</v>
      </c>
    </row>
    <row r="45" ht="16.5" customHeight="1">
      <c r="B45" s="3" t="s">
        <v>192</v>
      </c>
      <c r="C45" s="3" t="s">
        <v>193</v>
      </c>
      <c r="D45" s="3" t="s">
        <v>73</v>
      </c>
      <c r="E45" s="3" t="s">
        <v>47</v>
      </c>
      <c r="F45" s="3" t="s">
        <v>92</v>
      </c>
      <c r="G45" s="4">
        <v>4</v>
      </c>
      <c r="H45" s="3" t="s">
        <v>49</v>
      </c>
      <c r="I45" s="3">
        <v>0</v>
      </c>
      <c r="J45" s="3" t="s">
        <v>50</v>
      </c>
      <c r="K45" s="5"/>
      <c r="L45" s="3"/>
      <c r="M45" s="3"/>
      <c r="N45" s="3"/>
      <c r="O45" s="4"/>
      <c r="P45" s="3"/>
      <c r="Q45" s="4"/>
      <c r="R45" s="3"/>
      <c r="S45" s="4"/>
      <c r="T45" s="3"/>
      <c r="U45" s="5"/>
      <c r="V45" s="3"/>
      <c r="W45" s="3"/>
      <c r="X45">
        <f t="shared" si="0"/>
        <v>1</v>
      </c>
      <c r="Z45" t="str">
        <f t="shared" si="1"/>
        <v/>
      </c>
      <c r="AG45">
        <f t="shared" si="2"/>
        <v>0</v>
      </c>
      <c r="AH45" s="6" t="str">
        <f t="shared" si="3"/>
        <v>Tier 4: Backlog</v>
      </c>
      <c r="AI45" t="str">
        <f t="shared" si="4"/>
        <v>Neutral (Internal/Platform)</v>
      </c>
      <c r="AJ45" s="7">
        <f t="shared" si="5"/>
        <v>0</v>
      </c>
      <c r="AP45">
        <f>COUNTIF(Master_Data_JIRA_Tickets!I:I,B45)</f>
        <v>0</v>
      </c>
      <c r="AS45" t="s">
        <v>58</v>
      </c>
      <c r="AT45" t="s">
        <v>59</v>
      </c>
      <c r="AU45" t="s">
        <v>58</v>
      </c>
    </row>
    <row r="46" ht="16.5" customHeight="1">
      <c r="B46" s="8" t="s">
        <v>194</v>
      </c>
      <c r="C46" s="8" t="s">
        <v>195</v>
      </c>
      <c r="D46" s="8" t="s">
        <v>196</v>
      </c>
      <c r="E46" s="8" t="s">
        <v>47</v>
      </c>
      <c r="F46" s="8" t="s">
        <v>92</v>
      </c>
      <c r="G46" s="9">
        <v>5</v>
      </c>
      <c r="H46" s="8" t="s">
        <v>49</v>
      </c>
      <c r="I46" s="8">
        <v>0</v>
      </c>
      <c r="J46" s="8" t="s">
        <v>50</v>
      </c>
      <c r="K46" s="10"/>
      <c r="L46" s="8"/>
      <c r="M46" s="8"/>
      <c r="N46" s="8"/>
      <c r="O46" s="9"/>
      <c r="P46" s="8"/>
      <c r="Q46" s="9"/>
      <c r="R46" s="8"/>
      <c r="S46" s="9"/>
      <c r="T46" s="8"/>
      <c r="U46" s="10"/>
      <c r="V46" s="8"/>
      <c r="W46" s="8"/>
      <c r="X46">
        <f t="shared" si="0"/>
        <v>1</v>
      </c>
      <c r="Z46" t="str">
        <f t="shared" si="1"/>
        <v/>
      </c>
      <c r="AG46">
        <f t="shared" si="2"/>
        <v>0</v>
      </c>
      <c r="AH46" s="6" t="str">
        <f t="shared" si="3"/>
        <v>Tier 4: Backlog</v>
      </c>
      <c r="AI46" t="str">
        <f t="shared" si="4"/>
        <v>Neutral (Internal/Platform)</v>
      </c>
      <c r="AJ46" s="7">
        <f t="shared" si="5"/>
        <v>0</v>
      </c>
      <c r="AP46">
        <f>COUNTIF(Master_Data_JIRA_Tickets!I:I,B46)</f>
        <v>0</v>
      </c>
      <c r="AS46" t="s">
        <v>58</v>
      </c>
      <c r="AT46" t="s">
        <v>59</v>
      </c>
      <c r="AU46" t="s">
        <v>58</v>
      </c>
    </row>
    <row r="47" ht="16.5" customHeight="1">
      <c r="B47" s="3" t="s">
        <v>197</v>
      </c>
      <c r="C47" s="3" t="s">
        <v>198</v>
      </c>
      <c r="D47" s="3" t="s">
        <v>199</v>
      </c>
      <c r="E47" s="3" t="s">
        <v>47</v>
      </c>
      <c r="F47" s="3" t="s">
        <v>106</v>
      </c>
      <c r="G47" s="4">
        <v>4</v>
      </c>
      <c r="H47" s="3" t="s">
        <v>49</v>
      </c>
      <c r="I47" s="3">
        <v>0</v>
      </c>
      <c r="J47" s="3" t="s">
        <v>50</v>
      </c>
      <c r="K47" s="5"/>
      <c r="L47" s="3"/>
      <c r="M47" s="3"/>
      <c r="N47" s="3"/>
      <c r="O47" s="4"/>
      <c r="P47" s="3"/>
      <c r="Q47" s="4"/>
      <c r="R47" s="3"/>
      <c r="S47" s="4"/>
      <c r="T47" s="3"/>
      <c r="U47" s="5"/>
      <c r="V47" s="3"/>
      <c r="W47" s="3"/>
      <c r="X47">
        <f t="shared" si="0"/>
        <v>1</v>
      </c>
      <c r="Z47" t="str">
        <f t="shared" si="1"/>
        <v/>
      </c>
      <c r="AG47">
        <f t="shared" si="2"/>
        <v>0</v>
      </c>
      <c r="AH47" s="6" t="str">
        <f t="shared" si="3"/>
        <v>Tier 4: Backlog</v>
      </c>
      <c r="AI47" t="str">
        <f t="shared" si="4"/>
        <v>Neutral (Internal/Platform)</v>
      </c>
      <c r="AJ47" s="7">
        <f t="shared" si="5"/>
        <v>0</v>
      </c>
      <c r="AP47">
        <f>COUNTIF(Master_Data_JIRA_Tickets!I:I,B47)</f>
        <v>0</v>
      </c>
      <c r="AS47" t="s">
        <v>58</v>
      </c>
      <c r="AT47" t="s">
        <v>59</v>
      </c>
      <c r="AU47" t="s">
        <v>58</v>
      </c>
    </row>
    <row r="48" ht="16.5" customHeight="1">
      <c r="B48" s="8" t="s">
        <v>200</v>
      </c>
      <c r="C48" s="8" t="s">
        <v>201</v>
      </c>
      <c r="D48" s="8" t="s">
        <v>137</v>
      </c>
      <c r="E48" s="8" t="s">
        <v>47</v>
      </c>
      <c r="F48" s="8" t="s">
        <v>76</v>
      </c>
      <c r="G48" s="9">
        <v>5</v>
      </c>
      <c r="H48" s="8" t="s">
        <v>49</v>
      </c>
      <c r="I48" s="8">
        <v>0</v>
      </c>
      <c r="J48" s="8" t="s">
        <v>50</v>
      </c>
      <c r="K48" s="10"/>
      <c r="L48" s="8"/>
      <c r="M48" s="8"/>
      <c r="N48" s="8"/>
      <c r="O48" s="9"/>
      <c r="P48" s="8"/>
      <c r="Q48" s="9"/>
      <c r="R48" s="8"/>
      <c r="S48" s="9"/>
      <c r="T48" s="8"/>
      <c r="U48" s="10"/>
      <c r="V48" s="8"/>
      <c r="W48" s="8"/>
      <c r="X48">
        <f t="shared" si="0"/>
        <v>1</v>
      </c>
      <c r="Z48" t="str">
        <f t="shared" si="1"/>
        <v/>
      </c>
      <c r="AG48">
        <f t="shared" si="2"/>
        <v>0</v>
      </c>
      <c r="AH48" s="6" t="str">
        <f t="shared" si="3"/>
        <v>Tier 4: Backlog</v>
      </c>
      <c r="AI48" t="str">
        <f t="shared" si="4"/>
        <v>Neutral (Internal/Platform)</v>
      </c>
      <c r="AJ48" s="7">
        <f t="shared" si="5"/>
        <v>0</v>
      </c>
      <c r="AP48">
        <f>COUNTIF(Master_Data_JIRA_Tickets!I:I,B48)</f>
        <v>0</v>
      </c>
      <c r="AS48" t="s">
        <v>58</v>
      </c>
      <c r="AT48" t="s">
        <v>59</v>
      </c>
      <c r="AU48" t="s">
        <v>58</v>
      </c>
    </row>
    <row r="49" ht="16.5" customHeight="1">
      <c r="B49" s="3" t="s">
        <v>202</v>
      </c>
      <c r="C49" s="3" t="s">
        <v>203</v>
      </c>
      <c r="D49" s="3" t="s">
        <v>204</v>
      </c>
      <c r="E49" s="3" t="s">
        <v>47</v>
      </c>
      <c r="F49" s="3" t="s">
        <v>92</v>
      </c>
      <c r="G49" s="4">
        <v>5</v>
      </c>
      <c r="H49" s="3" t="s">
        <v>49</v>
      </c>
      <c r="I49" s="3">
        <v>0</v>
      </c>
      <c r="J49" s="3" t="s">
        <v>50</v>
      </c>
      <c r="K49" s="5"/>
      <c r="L49" s="3"/>
      <c r="M49" s="3"/>
      <c r="N49" s="3"/>
      <c r="O49" s="4"/>
      <c r="P49" s="3"/>
      <c r="Q49" s="4"/>
      <c r="R49" s="3"/>
      <c r="S49" s="4"/>
      <c r="T49" s="3"/>
      <c r="U49" s="5"/>
      <c r="V49" s="3"/>
      <c r="W49" s="3"/>
      <c r="X49">
        <f t="shared" si="0"/>
        <v>1</v>
      </c>
      <c r="Z49" t="str">
        <f t="shared" si="1"/>
        <v/>
      </c>
      <c r="AG49">
        <f t="shared" si="2"/>
        <v>0</v>
      </c>
      <c r="AH49" s="6" t="str">
        <f t="shared" si="3"/>
        <v>Tier 4: Backlog</v>
      </c>
      <c r="AI49" t="str">
        <f t="shared" si="4"/>
        <v>Neutral (Internal/Platform)</v>
      </c>
      <c r="AJ49" s="7">
        <f t="shared" si="5"/>
        <v>0</v>
      </c>
      <c r="AP49">
        <f>COUNTIF(Master_Data_JIRA_Tickets!I:I,B49)</f>
        <v>0</v>
      </c>
      <c r="AS49" t="s">
        <v>58</v>
      </c>
      <c r="AT49" t="s">
        <v>59</v>
      </c>
      <c r="AU49" t="s">
        <v>58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185F99-5558-1E13-10C6-F4679196E9B8}" mc:Ignorable="x14ac xr xr2 xr3">
  <dimension ref="A1:GR50000"/>
  <sheetViews>
    <sheetView topLeftCell="A1" workbookViewId="0" tabSelected="1">
      <pane ySplit="1" topLeftCell="A5" activePane="bottomLeft" state="frozen"/>
      <selection pane="bottomLeft" activeCell="A1" sqref="A1"/>
    </sheetView>
  </sheetViews>
  <sheetFormatPr defaultRowHeight="15" defaultColWidth="7.75390625" customHeight="1"/>
  <cols>
    <col min="1" max="1" width="13.75390625" customWidth="1"/>
    <col min="2" max="2" width="50.00390625" customWidth="1"/>
    <col min="3" max="3" width="18.75390625" customWidth="1"/>
    <col min="4" max="4" width="22.50390625" customWidth="1"/>
    <col min="5" max="5" width="12.50390625" customWidth="1"/>
    <col min="6" max="6" width="18.75390625" customWidth="1"/>
    <col min="7" max="7" width="17.50390625" customWidth="1"/>
    <col min="8" max="8" width="13.75390625" customWidth="1"/>
    <col min="9" max="9" width="17.50390625" customWidth="1"/>
    <col min="10" max="10" width="37.50390625" customWidth="1"/>
    <col min="11" max="11" width="18.75390625" customWidth="1"/>
    <col min="12" max="12" width="12.50390625" customWidth="1"/>
    <col min="13" max="14" width="13.75390625" customWidth="1"/>
    <col min="15" max="15" width="15.00390625" customWidth="1"/>
  </cols>
  <sheetData>
    <row r="1" ht="15.75" customHeight="1">
      <c r="A1" s="18" t="s">
        <v>205</v>
      </c>
      <c r="B1" s="18" t="s">
        <v>206</v>
      </c>
      <c r="C1" s="18" t="s">
        <v>207</v>
      </c>
      <c r="D1" s="18" t="s">
        <v>208</v>
      </c>
      <c r="E1" s="18" t="s">
        <v>209</v>
      </c>
      <c r="F1" s="18" t="s">
        <v>210</v>
      </c>
      <c r="G1" s="18" t="s">
        <v>211</v>
      </c>
      <c r="H1" s="18" t="s">
        <v>212</v>
      </c>
      <c r="I1" s="18" t="s">
        <v>213</v>
      </c>
      <c r="J1" s="18" t="s">
        <v>214</v>
      </c>
      <c r="K1" s="18" t="s">
        <v>215</v>
      </c>
      <c r="L1" s="18" t="s">
        <v>216</v>
      </c>
      <c r="M1" s="18" t="s">
        <v>217</v>
      </c>
      <c r="N1" s="18" t="s">
        <v>218</v>
      </c>
      <c r="O1" s="18" t="s">
        <v>219</v>
      </c>
    </row>
    <row r="2" ht="15" customHeight="1">
      <c r="A2" t="s">
        <v>220</v>
      </c>
      <c r="B2" t="s">
        <v>221</v>
      </c>
      <c r="C2" t="s">
        <v>222</v>
      </c>
      <c r="D2" t="s">
        <v>223</v>
      </c>
      <c r="E2" t="s">
        <v>224</v>
      </c>
      <c r="M2" s="19">
        <v>45973</v>
      </c>
      <c r="N2" s="20"/>
      <c r="O2" s="20"/>
    </row>
    <row r="3" ht="15" customHeight="1">
      <c r="A3" t="s">
        <v>225</v>
      </c>
      <c r="B3" t="s">
        <v>226</v>
      </c>
      <c r="C3" s="21" t="s">
        <v>227</v>
      </c>
      <c r="D3" t="s">
        <v>228</v>
      </c>
      <c r="E3" t="s">
        <v>229</v>
      </c>
      <c r="M3" s="19">
        <v>45972</v>
      </c>
      <c r="N3" s="20"/>
      <c r="O3" s="20"/>
    </row>
    <row r="4" ht="15" customHeight="1">
      <c r="A4" t="s">
        <v>230</v>
      </c>
      <c r="B4" t="s">
        <v>231</v>
      </c>
      <c r="C4" s="21" t="s">
        <v>227</v>
      </c>
      <c r="D4" t="s">
        <v>232</v>
      </c>
      <c r="E4" t="s">
        <v>233</v>
      </c>
      <c r="M4" s="19">
        <v>45972</v>
      </c>
      <c r="N4" s="20"/>
      <c r="O4" s="20"/>
    </row>
    <row r="5" ht="15" customHeight="1">
      <c r="A5" t="s">
        <v>234</v>
      </c>
      <c r="B5" t="s">
        <v>235</v>
      </c>
      <c r="C5" s="21" t="s">
        <v>227</v>
      </c>
      <c r="D5" t="s">
        <v>228</v>
      </c>
      <c r="E5" t="s">
        <v>229</v>
      </c>
      <c r="M5" s="19">
        <v>45972</v>
      </c>
      <c r="N5" s="20"/>
      <c r="O5" s="20"/>
    </row>
    <row r="6" ht="15" customHeight="1">
      <c r="A6" t="s">
        <v>236</v>
      </c>
      <c r="B6" t="s">
        <v>237</v>
      </c>
      <c r="C6" s="21" t="s">
        <v>227</v>
      </c>
      <c r="D6" t="s">
        <v>228</v>
      </c>
      <c r="E6" t="s">
        <v>229</v>
      </c>
      <c r="M6" s="19">
        <v>45972</v>
      </c>
      <c r="N6" s="20"/>
      <c r="O6" s="20"/>
    </row>
    <row r="7" ht="15" customHeight="1">
      <c r="A7" t="s">
        <v>238</v>
      </c>
      <c r="B7" t="s">
        <v>239</v>
      </c>
      <c r="C7" s="21" t="s">
        <v>227</v>
      </c>
      <c r="D7" t="s">
        <v>228</v>
      </c>
      <c r="E7" t="s">
        <v>229</v>
      </c>
      <c r="M7" s="19">
        <v>45972</v>
      </c>
      <c r="N7" s="20"/>
      <c r="O7" s="20"/>
    </row>
    <row r="8" ht="15" customHeight="1">
      <c r="A8" t="s">
        <v>240</v>
      </c>
      <c r="B8" t="s">
        <v>241</v>
      </c>
      <c r="C8" s="21" t="s">
        <v>227</v>
      </c>
      <c r="D8" t="s">
        <v>228</v>
      </c>
      <c r="E8" t="s">
        <v>229</v>
      </c>
      <c r="M8" s="19">
        <v>45972</v>
      </c>
      <c r="N8" s="20"/>
      <c r="O8" s="20"/>
    </row>
    <row r="9" ht="15" customHeight="1">
      <c r="A9" t="s">
        <v>242</v>
      </c>
      <c r="B9" t="s">
        <v>243</v>
      </c>
      <c r="C9" s="21" t="s">
        <v>227</v>
      </c>
      <c r="D9" t="s">
        <v>228</v>
      </c>
      <c r="E9" t="s">
        <v>229</v>
      </c>
      <c r="M9" s="19">
        <v>45972</v>
      </c>
      <c r="N9" s="20"/>
      <c r="O9" s="20"/>
    </row>
    <row r="10" ht="15" customHeight="1">
      <c r="A10" t="s">
        <v>244</v>
      </c>
      <c r="B10" t="s">
        <v>245</v>
      </c>
      <c r="C10" s="21" t="s">
        <v>227</v>
      </c>
      <c r="D10" t="s">
        <v>228</v>
      </c>
      <c r="E10" t="s">
        <v>229</v>
      </c>
      <c r="M10" s="19">
        <v>45972</v>
      </c>
      <c r="N10" s="20"/>
      <c r="O10" s="20"/>
    </row>
    <row r="11" ht="15" customHeight="1">
      <c r="A11" t="s">
        <v>246</v>
      </c>
      <c r="B11" t="s">
        <v>247</v>
      </c>
      <c r="C11" s="21" t="s">
        <v>227</v>
      </c>
      <c r="D11" t="s">
        <v>228</v>
      </c>
      <c r="E11" t="s">
        <v>229</v>
      </c>
      <c r="M11" s="19">
        <v>45972</v>
      </c>
      <c r="N11" s="20"/>
      <c r="O11" s="20"/>
    </row>
    <row r="12" ht="15" customHeight="1">
      <c r="A12" t="s">
        <v>248</v>
      </c>
      <c r="B12" t="s">
        <v>249</v>
      </c>
      <c r="C12" s="21" t="s">
        <v>227</v>
      </c>
      <c r="D12" t="s">
        <v>250</v>
      </c>
      <c r="E12" t="s">
        <v>251</v>
      </c>
      <c r="M12" s="19">
        <v>45972</v>
      </c>
      <c r="N12" s="20"/>
      <c r="O12" s="20"/>
    </row>
    <row r="13" ht="15" customHeight="1">
      <c r="A13" t="s">
        <v>252</v>
      </c>
      <c r="B13" t="s">
        <v>253</v>
      </c>
      <c r="C13" s="21" t="s">
        <v>227</v>
      </c>
      <c r="D13" t="s">
        <v>250</v>
      </c>
      <c r="E13" t="s">
        <v>251</v>
      </c>
      <c r="M13" s="19">
        <v>45972</v>
      </c>
      <c r="N13" s="20"/>
      <c r="O13" s="20"/>
    </row>
    <row r="14" ht="15" customHeight="1">
      <c r="A14" t="s">
        <v>254</v>
      </c>
      <c r="B14" t="s">
        <v>255</v>
      </c>
      <c r="C14" s="22" t="s">
        <v>55</v>
      </c>
      <c r="D14" t="s">
        <v>232</v>
      </c>
      <c r="E14" t="s">
        <v>233</v>
      </c>
      <c r="K14" t="s">
        <v>256</v>
      </c>
      <c r="M14" s="19">
        <v>45972</v>
      </c>
      <c r="N14" s="20"/>
      <c r="O14" s="20"/>
    </row>
    <row r="15" ht="15" customHeight="1">
      <c r="A15" t="s">
        <v>257</v>
      </c>
      <c r="B15" t="s">
        <v>258</v>
      </c>
      <c r="C15" t="s">
        <v>259</v>
      </c>
      <c r="D15" t="s">
        <v>223</v>
      </c>
      <c r="E15" t="s">
        <v>224</v>
      </c>
      <c r="M15" s="19">
        <v>45972</v>
      </c>
      <c r="N15" s="20"/>
      <c r="O15" s="20"/>
    </row>
    <row r="16" ht="15" customHeight="1">
      <c r="A16" t="s">
        <v>260</v>
      </c>
      <c r="B16" t="s">
        <v>261</v>
      </c>
      <c r="C16" s="21" t="s">
        <v>227</v>
      </c>
      <c r="D16" t="s">
        <v>250</v>
      </c>
      <c r="E16" t="s">
        <v>251</v>
      </c>
      <c r="M16" s="19">
        <v>45971</v>
      </c>
      <c r="N16" s="20"/>
      <c r="O16" s="20"/>
    </row>
    <row r="17" ht="15" customHeight="1">
      <c r="A17" t="s">
        <v>262</v>
      </c>
      <c r="B17" t="s">
        <v>263</v>
      </c>
      <c r="C17" s="21" t="s">
        <v>227</v>
      </c>
      <c r="D17" t="s">
        <v>250</v>
      </c>
      <c r="E17" t="s">
        <v>251</v>
      </c>
      <c r="M17" s="19">
        <v>45971</v>
      </c>
      <c r="N17" s="20"/>
      <c r="O17" s="20"/>
    </row>
    <row r="18" ht="15" customHeight="1">
      <c r="A18" t="s">
        <v>264</v>
      </c>
      <c r="B18" t="s">
        <v>265</v>
      </c>
      <c r="C18" s="21" t="s">
        <v>227</v>
      </c>
      <c r="D18" t="s">
        <v>228</v>
      </c>
      <c r="E18" t="s">
        <v>229</v>
      </c>
      <c r="M18" s="19">
        <v>45971</v>
      </c>
      <c r="N18" s="20"/>
      <c r="O18" s="20"/>
    </row>
    <row r="19" ht="15" customHeight="1">
      <c r="A19" t="s">
        <v>266</v>
      </c>
      <c r="B19" t="s">
        <v>267</v>
      </c>
      <c r="C19" s="21" t="s">
        <v>227</v>
      </c>
      <c r="D19" t="s">
        <v>228</v>
      </c>
      <c r="E19" t="s">
        <v>229</v>
      </c>
      <c r="M19" s="19">
        <v>45971</v>
      </c>
      <c r="N19" s="20"/>
      <c r="O19" s="20"/>
    </row>
    <row r="20" ht="15" customHeight="1">
      <c r="A20" t="s">
        <v>268</v>
      </c>
      <c r="B20" t="s">
        <v>269</v>
      </c>
      <c r="C20" s="21" t="s">
        <v>227</v>
      </c>
      <c r="D20" t="s">
        <v>250</v>
      </c>
      <c r="E20" t="s">
        <v>251</v>
      </c>
      <c r="M20" s="19">
        <v>45971</v>
      </c>
      <c r="N20" s="20"/>
      <c r="O20" s="20"/>
    </row>
    <row r="21" ht="15" customHeight="1">
      <c r="A21" t="s">
        <v>270</v>
      </c>
      <c r="B21" t="s">
        <v>271</v>
      </c>
      <c r="C21" s="21" t="s">
        <v>227</v>
      </c>
      <c r="D21" t="s">
        <v>250</v>
      </c>
      <c r="E21" t="s">
        <v>251</v>
      </c>
      <c r="M21" s="19">
        <v>45971</v>
      </c>
      <c r="N21" s="20"/>
      <c r="O21" s="20"/>
    </row>
    <row r="22" ht="15" customHeight="1">
      <c r="A22" t="s">
        <v>272</v>
      </c>
      <c r="B22" t="s">
        <v>273</v>
      </c>
      <c r="C22" s="21" t="s">
        <v>227</v>
      </c>
      <c r="D22" t="s">
        <v>228</v>
      </c>
      <c r="E22" t="s">
        <v>229</v>
      </c>
      <c r="M22" s="19">
        <v>45971</v>
      </c>
      <c r="N22" s="20"/>
      <c r="O22" s="20"/>
    </row>
    <row r="23" ht="15" customHeight="1">
      <c r="A23" t="s">
        <v>274</v>
      </c>
      <c r="B23" t="s">
        <v>275</v>
      </c>
      <c r="C23" s="21" t="s">
        <v>227</v>
      </c>
      <c r="D23" t="s">
        <v>228</v>
      </c>
      <c r="E23" t="s">
        <v>229</v>
      </c>
      <c r="M23" s="19">
        <v>45971</v>
      </c>
      <c r="N23" s="20"/>
      <c r="O23" s="20"/>
    </row>
    <row r="24" ht="15" customHeight="1">
      <c r="A24" t="s">
        <v>276</v>
      </c>
      <c r="B24" t="s">
        <v>277</v>
      </c>
      <c r="C24" t="s">
        <v>259</v>
      </c>
      <c r="D24" t="s">
        <v>223</v>
      </c>
      <c r="E24" t="s">
        <v>224</v>
      </c>
      <c r="M24" s="19">
        <v>45971</v>
      </c>
      <c r="N24" s="20"/>
      <c r="O24" s="20"/>
    </row>
    <row r="25" ht="15" customHeight="1">
      <c r="A25" t="s">
        <v>278</v>
      </c>
      <c r="B25" t="s">
        <v>279</v>
      </c>
      <c r="C25" t="s">
        <v>259</v>
      </c>
      <c r="D25" t="s">
        <v>223</v>
      </c>
      <c r="E25" t="s">
        <v>224</v>
      </c>
      <c r="M25" s="19">
        <v>45971</v>
      </c>
      <c r="N25" s="20"/>
      <c r="O25" s="20"/>
    </row>
    <row r="26" ht="15" customHeight="1">
      <c r="A26" t="s">
        <v>280</v>
      </c>
      <c r="B26" t="s">
        <v>281</v>
      </c>
      <c r="C26" s="21" t="s">
        <v>227</v>
      </c>
      <c r="D26" t="s">
        <v>282</v>
      </c>
      <c r="E26" t="s">
        <v>283</v>
      </c>
      <c r="M26" s="19">
        <v>45967</v>
      </c>
      <c r="N26" s="20"/>
      <c r="O26" s="20"/>
    </row>
    <row r="27" ht="15" customHeight="1">
      <c r="A27" t="s">
        <v>284</v>
      </c>
      <c r="B27" t="s">
        <v>285</v>
      </c>
      <c r="C27" s="22" t="s">
        <v>55</v>
      </c>
      <c r="D27" t="s">
        <v>228</v>
      </c>
      <c r="E27" t="s">
        <v>229</v>
      </c>
      <c r="H27">
        <v>2</v>
      </c>
      <c r="K27" t="s">
        <v>286</v>
      </c>
      <c r="M27" s="19">
        <v>45966</v>
      </c>
      <c r="N27" s="20"/>
      <c r="O27" s="20"/>
    </row>
    <row r="28" ht="15" customHeight="1">
      <c r="A28" t="s">
        <v>287</v>
      </c>
      <c r="B28" t="s">
        <v>288</v>
      </c>
      <c r="C28" s="21" t="s">
        <v>227</v>
      </c>
      <c r="D28" t="s">
        <v>228</v>
      </c>
      <c r="E28" t="s">
        <v>229</v>
      </c>
      <c r="M28" s="19">
        <v>45966</v>
      </c>
      <c r="N28" s="20"/>
      <c r="O28" s="20"/>
    </row>
    <row r="29" ht="15" customHeight="1">
      <c r="A29" t="s">
        <v>289</v>
      </c>
      <c r="B29" t="s">
        <v>290</v>
      </c>
      <c r="C29" s="21" t="s">
        <v>227</v>
      </c>
      <c r="D29" t="s">
        <v>232</v>
      </c>
      <c r="E29" t="s">
        <v>233</v>
      </c>
      <c r="M29" s="19">
        <v>45966</v>
      </c>
      <c r="N29" s="20"/>
      <c r="O29" s="20"/>
    </row>
    <row r="30" ht="15" customHeight="1">
      <c r="A30" t="s">
        <v>291</v>
      </c>
      <c r="B30" t="s">
        <v>292</v>
      </c>
      <c r="C30" s="21" t="s">
        <v>227</v>
      </c>
      <c r="D30" t="s">
        <v>250</v>
      </c>
      <c r="E30" t="s">
        <v>251</v>
      </c>
      <c r="M30" s="19">
        <v>45966</v>
      </c>
      <c r="N30" s="20"/>
      <c r="O30" s="20"/>
    </row>
    <row r="31" ht="15" customHeight="1">
      <c r="A31" t="s">
        <v>293</v>
      </c>
      <c r="B31" t="s">
        <v>294</v>
      </c>
      <c r="C31" s="21" t="s">
        <v>227</v>
      </c>
      <c r="D31" t="s">
        <v>250</v>
      </c>
      <c r="E31" t="s">
        <v>251</v>
      </c>
      <c r="M31" s="19">
        <v>45966</v>
      </c>
      <c r="N31" s="20"/>
      <c r="O31" s="20"/>
    </row>
    <row r="32" ht="15" customHeight="1">
      <c r="A32" t="s">
        <v>295</v>
      </c>
      <c r="B32" t="s">
        <v>296</v>
      </c>
      <c r="C32" s="21" t="s">
        <v>227</v>
      </c>
      <c r="D32" t="s">
        <v>232</v>
      </c>
      <c r="E32" t="s">
        <v>233</v>
      </c>
      <c r="M32" s="19">
        <v>45966</v>
      </c>
      <c r="N32" s="20"/>
      <c r="O32" s="20"/>
    </row>
    <row r="33" ht="15" customHeight="1">
      <c r="A33" t="s">
        <v>297</v>
      </c>
      <c r="B33" t="s">
        <v>298</v>
      </c>
      <c r="C33" s="21" t="s">
        <v>227</v>
      </c>
      <c r="D33" t="s">
        <v>232</v>
      </c>
      <c r="E33" t="s">
        <v>233</v>
      </c>
      <c r="H33">
        <v>5</v>
      </c>
      <c r="M33" s="19">
        <v>45965</v>
      </c>
      <c r="N33" s="20"/>
      <c r="O33" s="20"/>
    </row>
    <row r="34" ht="15" customHeight="1">
      <c r="A34" t="s">
        <v>299</v>
      </c>
      <c r="B34" t="s">
        <v>300</v>
      </c>
      <c r="C34" s="21" t="s">
        <v>227</v>
      </c>
      <c r="D34" t="s">
        <v>232</v>
      </c>
      <c r="E34" t="s">
        <v>233</v>
      </c>
      <c r="M34" s="19">
        <v>45965</v>
      </c>
      <c r="N34" s="20"/>
      <c r="O34" s="20"/>
    </row>
    <row r="35" ht="15" customHeight="1">
      <c r="A35" t="s">
        <v>301</v>
      </c>
      <c r="B35" t="s">
        <v>302</v>
      </c>
      <c r="C35" s="21" t="s">
        <v>227</v>
      </c>
      <c r="D35" t="s">
        <v>232</v>
      </c>
      <c r="E35" t="s">
        <v>233</v>
      </c>
      <c r="H35">
        <v>3</v>
      </c>
      <c r="M35" s="19">
        <v>45965</v>
      </c>
      <c r="N35" s="20"/>
      <c r="O35" s="20"/>
    </row>
    <row r="36" ht="15" customHeight="1">
      <c r="A36" t="s">
        <v>303</v>
      </c>
      <c r="B36" t="s">
        <v>304</v>
      </c>
      <c r="C36" s="21" t="s">
        <v>227</v>
      </c>
      <c r="D36" t="s">
        <v>232</v>
      </c>
      <c r="E36" t="s">
        <v>233</v>
      </c>
      <c r="H36">
        <v>6</v>
      </c>
      <c r="M36" s="19">
        <v>45965</v>
      </c>
      <c r="N36" s="20"/>
      <c r="O36" s="20"/>
    </row>
    <row r="37" ht="15" customHeight="1">
      <c r="A37" t="s">
        <v>305</v>
      </c>
      <c r="B37" t="s">
        <v>306</v>
      </c>
      <c r="C37" s="21" t="s">
        <v>227</v>
      </c>
      <c r="D37" t="s">
        <v>232</v>
      </c>
      <c r="E37" t="s">
        <v>233</v>
      </c>
      <c r="H37">
        <v>3</v>
      </c>
      <c r="M37" s="19">
        <v>45965</v>
      </c>
      <c r="N37" s="20"/>
      <c r="O37" s="20"/>
    </row>
    <row r="38" ht="15" customHeight="1">
      <c r="A38" t="s">
        <v>307</v>
      </c>
      <c r="B38" t="s">
        <v>308</v>
      </c>
      <c r="C38" s="23" t="s">
        <v>309</v>
      </c>
      <c r="D38" t="s">
        <v>232</v>
      </c>
      <c r="E38" t="s">
        <v>233</v>
      </c>
      <c r="M38" s="19">
        <v>45965</v>
      </c>
      <c r="N38" s="20"/>
      <c r="O38" s="20"/>
    </row>
    <row r="39" ht="15" customHeight="1">
      <c r="A39" t="s">
        <v>310</v>
      </c>
      <c r="B39" t="s">
        <v>311</v>
      </c>
      <c r="C39" s="21" t="s">
        <v>227</v>
      </c>
      <c r="D39" t="s">
        <v>232</v>
      </c>
      <c r="E39" t="s">
        <v>233</v>
      </c>
      <c r="M39" s="19">
        <v>45965</v>
      </c>
      <c r="N39" s="20"/>
      <c r="O39" s="20"/>
    </row>
    <row r="40" ht="15" customHeight="1">
      <c r="A40" t="s">
        <v>312</v>
      </c>
      <c r="B40" t="s">
        <v>313</v>
      </c>
      <c r="C40" t="s">
        <v>314</v>
      </c>
      <c r="D40" t="s">
        <v>228</v>
      </c>
      <c r="E40" t="s">
        <v>229</v>
      </c>
      <c r="H40">
        <v>2</v>
      </c>
      <c r="K40" t="s">
        <v>286</v>
      </c>
      <c r="M40" s="19">
        <v>45965</v>
      </c>
      <c r="N40" s="20"/>
      <c r="O40" s="20"/>
    </row>
    <row r="41" ht="15" customHeight="1">
      <c r="A41" t="s">
        <v>315</v>
      </c>
      <c r="B41" t="s">
        <v>316</v>
      </c>
      <c r="C41" s="21" t="s">
        <v>227</v>
      </c>
      <c r="D41" t="s">
        <v>232</v>
      </c>
      <c r="E41" t="s">
        <v>233</v>
      </c>
      <c r="M41" s="19">
        <v>45965</v>
      </c>
      <c r="N41" s="20"/>
      <c r="O41" s="20"/>
    </row>
    <row r="42" ht="15" customHeight="1">
      <c r="A42" t="s">
        <v>317</v>
      </c>
      <c r="B42" t="s">
        <v>318</v>
      </c>
      <c r="C42" s="22" t="s">
        <v>55</v>
      </c>
      <c r="D42" t="s">
        <v>232</v>
      </c>
      <c r="E42" t="s">
        <v>233</v>
      </c>
      <c r="K42" t="s">
        <v>319</v>
      </c>
      <c r="M42" s="19">
        <v>45965</v>
      </c>
      <c r="N42" s="20"/>
      <c r="O42" s="20"/>
    </row>
    <row r="43" ht="15" customHeight="1">
      <c r="A43" t="s">
        <v>320</v>
      </c>
      <c r="B43" t="s">
        <v>321</v>
      </c>
      <c r="C43" s="24" t="s">
        <v>322</v>
      </c>
      <c r="D43" t="s">
        <v>232</v>
      </c>
      <c r="E43" t="s">
        <v>233</v>
      </c>
      <c r="K43" t="s">
        <v>319</v>
      </c>
      <c r="M43" s="19">
        <v>45965</v>
      </c>
      <c r="N43" s="20"/>
      <c r="O43" s="20"/>
    </row>
    <row r="44" ht="15" customHeight="1">
      <c r="A44" t="s">
        <v>323</v>
      </c>
      <c r="B44" t="s">
        <v>324</v>
      </c>
      <c r="C44" t="s">
        <v>325</v>
      </c>
      <c r="D44" t="s">
        <v>250</v>
      </c>
      <c r="E44" t="s">
        <v>251</v>
      </c>
      <c r="K44" t="s">
        <v>326</v>
      </c>
      <c r="M44" s="19">
        <v>45965</v>
      </c>
      <c r="N44" s="20"/>
      <c r="O44" s="20"/>
    </row>
    <row r="45" ht="15" customHeight="1">
      <c r="A45" t="s">
        <v>327</v>
      </c>
      <c r="B45" t="s">
        <v>328</v>
      </c>
      <c r="C45" s="21" t="s">
        <v>227</v>
      </c>
      <c r="D45" t="s">
        <v>232</v>
      </c>
      <c r="E45" t="s">
        <v>233</v>
      </c>
      <c r="H45">
        <v>5</v>
      </c>
      <c r="M45" s="19">
        <v>45964</v>
      </c>
      <c r="N45" s="20"/>
      <c r="O45" s="20"/>
    </row>
    <row r="46" ht="15" customHeight="1">
      <c r="A46" t="s">
        <v>329</v>
      </c>
      <c r="B46" t="s">
        <v>330</v>
      </c>
      <c r="C46" s="21" t="s">
        <v>227</v>
      </c>
      <c r="D46" t="s">
        <v>232</v>
      </c>
      <c r="E46" t="s">
        <v>233</v>
      </c>
      <c r="H46">
        <v>5</v>
      </c>
      <c r="M46" s="19">
        <v>45961</v>
      </c>
      <c r="N46" s="20"/>
      <c r="O46" s="20"/>
    </row>
    <row r="47" ht="15" customHeight="1">
      <c r="A47" t="s">
        <v>331</v>
      </c>
      <c r="B47" t="s">
        <v>332</v>
      </c>
      <c r="C47" s="21" t="s">
        <v>227</v>
      </c>
      <c r="D47" t="s">
        <v>282</v>
      </c>
      <c r="E47" t="s">
        <v>283</v>
      </c>
      <c r="M47" s="19">
        <v>45961</v>
      </c>
      <c r="N47" s="20"/>
      <c r="O47" s="20"/>
    </row>
    <row r="48" ht="15" customHeight="1">
      <c r="A48" t="s">
        <v>333</v>
      </c>
      <c r="B48" t="s">
        <v>334</v>
      </c>
      <c r="C48" s="21" t="s">
        <v>227</v>
      </c>
      <c r="D48" t="s">
        <v>282</v>
      </c>
      <c r="E48" t="s">
        <v>283</v>
      </c>
      <c r="M48" s="19">
        <v>45961</v>
      </c>
      <c r="N48" s="20"/>
      <c r="O48" s="20"/>
    </row>
    <row r="49" ht="15" customHeight="1">
      <c r="A49" t="s">
        <v>335</v>
      </c>
      <c r="B49" t="s">
        <v>336</v>
      </c>
      <c r="C49" s="21" t="s">
        <v>227</v>
      </c>
      <c r="D49" t="s">
        <v>282</v>
      </c>
      <c r="E49" t="s">
        <v>283</v>
      </c>
      <c r="M49" s="19">
        <v>45961</v>
      </c>
      <c r="N49" s="20"/>
      <c r="O49" s="20"/>
    </row>
    <row r="50" ht="15" customHeight="1">
      <c r="A50" t="s">
        <v>337</v>
      </c>
      <c r="B50" t="s">
        <v>338</v>
      </c>
      <c r="C50" s="21" t="s">
        <v>227</v>
      </c>
      <c r="D50" t="s">
        <v>282</v>
      </c>
      <c r="E50" t="s">
        <v>283</v>
      </c>
      <c r="M50" s="19">
        <v>45960</v>
      </c>
      <c r="N50" s="20"/>
      <c r="O50" s="20"/>
    </row>
    <row r="51" ht="15" customHeight="1">
      <c r="A51" t="s">
        <v>339</v>
      </c>
      <c r="B51" t="s">
        <v>340</v>
      </c>
      <c r="C51" s="21" t="s">
        <v>227</v>
      </c>
      <c r="D51" t="s">
        <v>282</v>
      </c>
      <c r="E51" t="s">
        <v>283</v>
      </c>
      <c r="M51" s="19">
        <v>45960</v>
      </c>
      <c r="N51" s="20"/>
      <c r="O51" s="20"/>
    </row>
    <row r="52" ht="15" customHeight="1">
      <c r="A52" t="s">
        <v>341</v>
      </c>
      <c r="B52" t="s">
        <v>342</v>
      </c>
      <c r="C52" s="21" t="s">
        <v>227</v>
      </c>
      <c r="D52" t="s">
        <v>282</v>
      </c>
      <c r="E52" t="s">
        <v>283</v>
      </c>
      <c r="M52" s="19">
        <v>45960</v>
      </c>
      <c r="N52" s="20"/>
      <c r="O52" s="20"/>
    </row>
    <row r="53" ht="15" customHeight="1">
      <c r="A53" t="s">
        <v>343</v>
      </c>
      <c r="B53" t="s">
        <v>344</v>
      </c>
      <c r="C53" s="21" t="s">
        <v>227</v>
      </c>
      <c r="D53" t="s">
        <v>282</v>
      </c>
      <c r="E53" t="s">
        <v>283</v>
      </c>
      <c r="M53" s="19">
        <v>45960</v>
      </c>
      <c r="N53" s="20"/>
      <c r="O53" s="20"/>
    </row>
    <row r="54" ht="15" customHeight="1">
      <c r="A54" t="s">
        <v>345</v>
      </c>
      <c r="B54" t="s">
        <v>346</v>
      </c>
      <c r="C54" s="21" t="s">
        <v>227</v>
      </c>
      <c r="D54" t="s">
        <v>282</v>
      </c>
      <c r="E54" t="s">
        <v>283</v>
      </c>
      <c r="M54" s="19">
        <v>45960</v>
      </c>
      <c r="N54" s="20"/>
      <c r="O54" s="20"/>
    </row>
    <row r="55" ht="15" customHeight="1">
      <c r="A55" t="s">
        <v>347</v>
      </c>
      <c r="B55" t="s">
        <v>348</v>
      </c>
      <c r="C55" s="21" t="s">
        <v>227</v>
      </c>
      <c r="D55" t="s">
        <v>282</v>
      </c>
      <c r="E55" t="s">
        <v>283</v>
      </c>
      <c r="M55" s="19">
        <v>45960</v>
      </c>
      <c r="N55" s="20"/>
      <c r="O55" s="20"/>
    </row>
    <row r="56" ht="15" customHeight="1">
      <c r="A56" t="s">
        <v>349</v>
      </c>
      <c r="B56" t="s">
        <v>350</v>
      </c>
      <c r="C56" s="21" t="s">
        <v>227</v>
      </c>
      <c r="D56" t="s">
        <v>282</v>
      </c>
      <c r="E56" t="s">
        <v>283</v>
      </c>
      <c r="M56" s="19">
        <v>45960</v>
      </c>
      <c r="N56" s="20"/>
      <c r="O56" s="20"/>
    </row>
    <row r="57" ht="15" customHeight="1">
      <c r="A57" t="s">
        <v>351</v>
      </c>
      <c r="B57" t="s">
        <v>352</v>
      </c>
      <c r="C57" s="21" t="s">
        <v>227</v>
      </c>
      <c r="D57" t="s">
        <v>282</v>
      </c>
      <c r="E57" t="s">
        <v>283</v>
      </c>
      <c r="M57" s="19">
        <v>45960</v>
      </c>
      <c r="N57" s="20"/>
      <c r="O57" s="20"/>
    </row>
    <row r="58" ht="15" customHeight="1">
      <c r="A58" t="s">
        <v>353</v>
      </c>
      <c r="B58" t="s">
        <v>354</v>
      </c>
      <c r="C58" s="21" t="s">
        <v>227</v>
      </c>
      <c r="D58" t="s">
        <v>282</v>
      </c>
      <c r="E58" t="s">
        <v>283</v>
      </c>
      <c r="M58" s="19">
        <v>45960</v>
      </c>
      <c r="N58" s="20"/>
      <c r="O58" s="20"/>
    </row>
    <row r="59" ht="15" customHeight="1">
      <c r="A59" t="s">
        <v>355</v>
      </c>
      <c r="B59" t="s">
        <v>356</v>
      </c>
      <c r="C59" s="21" t="s">
        <v>227</v>
      </c>
      <c r="D59" t="s">
        <v>282</v>
      </c>
      <c r="E59" t="s">
        <v>283</v>
      </c>
      <c r="M59" s="19">
        <v>45960</v>
      </c>
      <c r="N59" s="20"/>
      <c r="O59" s="20"/>
    </row>
    <row r="60" ht="15" customHeight="1">
      <c r="A60" t="s">
        <v>357</v>
      </c>
      <c r="B60" t="s">
        <v>358</v>
      </c>
      <c r="C60" s="21" t="s">
        <v>227</v>
      </c>
      <c r="D60" t="s">
        <v>282</v>
      </c>
      <c r="E60" t="s">
        <v>283</v>
      </c>
      <c r="M60" s="19">
        <v>45960</v>
      </c>
      <c r="N60" s="20"/>
      <c r="O60" s="20"/>
    </row>
    <row r="61" ht="15" customHeight="1">
      <c r="A61" t="s">
        <v>359</v>
      </c>
      <c r="B61" t="s">
        <v>360</v>
      </c>
      <c r="C61" s="21" t="s">
        <v>227</v>
      </c>
      <c r="D61" t="s">
        <v>282</v>
      </c>
      <c r="E61" t="s">
        <v>283</v>
      </c>
      <c r="M61" s="19">
        <v>45960</v>
      </c>
      <c r="N61" s="20"/>
      <c r="O61" s="20"/>
    </row>
    <row r="62" ht="15" customHeight="1">
      <c r="A62" t="s">
        <v>361</v>
      </c>
      <c r="B62" t="s">
        <v>362</v>
      </c>
      <c r="C62" s="21" t="s">
        <v>227</v>
      </c>
      <c r="D62" t="s">
        <v>282</v>
      </c>
      <c r="E62" t="s">
        <v>283</v>
      </c>
      <c r="M62" s="19">
        <v>45960</v>
      </c>
      <c r="N62" s="20"/>
      <c r="O62" s="20"/>
    </row>
    <row r="63" ht="15" customHeight="1">
      <c r="A63" t="s">
        <v>363</v>
      </c>
      <c r="B63" t="s">
        <v>364</v>
      </c>
      <c r="C63" s="21" t="s">
        <v>227</v>
      </c>
      <c r="D63" t="s">
        <v>282</v>
      </c>
      <c r="E63" t="s">
        <v>283</v>
      </c>
      <c r="M63" s="19">
        <v>45960</v>
      </c>
      <c r="N63" s="20"/>
      <c r="O63" s="20"/>
    </row>
    <row r="64" ht="15" customHeight="1">
      <c r="A64" t="s">
        <v>365</v>
      </c>
      <c r="B64" t="s">
        <v>366</v>
      </c>
      <c r="C64" s="21" t="s">
        <v>227</v>
      </c>
      <c r="D64" t="s">
        <v>282</v>
      </c>
      <c r="E64" t="s">
        <v>283</v>
      </c>
      <c r="M64" s="19">
        <v>45960</v>
      </c>
      <c r="N64" s="20"/>
      <c r="O64" s="20"/>
    </row>
    <row r="65" ht="15" customHeight="1">
      <c r="A65" t="s">
        <v>367</v>
      </c>
      <c r="B65" t="s">
        <v>368</v>
      </c>
      <c r="C65" s="21" t="s">
        <v>227</v>
      </c>
      <c r="D65" t="s">
        <v>282</v>
      </c>
      <c r="E65" t="s">
        <v>283</v>
      </c>
      <c r="M65" s="19">
        <v>45960</v>
      </c>
      <c r="N65" s="20"/>
      <c r="O65" s="20"/>
    </row>
    <row r="66" ht="15" customHeight="1">
      <c r="A66" t="s">
        <v>369</v>
      </c>
      <c r="B66" t="s">
        <v>370</v>
      </c>
      <c r="C66" s="21" t="s">
        <v>227</v>
      </c>
      <c r="D66" t="s">
        <v>282</v>
      </c>
      <c r="E66" t="s">
        <v>283</v>
      </c>
      <c r="M66" s="19">
        <v>45960</v>
      </c>
      <c r="N66" s="20"/>
      <c r="O66" s="20"/>
    </row>
    <row r="67" ht="15" customHeight="1">
      <c r="A67" t="s">
        <v>371</v>
      </c>
      <c r="B67" t="s">
        <v>372</v>
      </c>
      <c r="C67" s="21" t="s">
        <v>227</v>
      </c>
      <c r="D67" t="s">
        <v>282</v>
      </c>
      <c r="E67" t="s">
        <v>283</v>
      </c>
      <c r="M67" s="19">
        <v>45960</v>
      </c>
      <c r="N67" s="20"/>
      <c r="O67" s="20"/>
    </row>
    <row r="68" ht="15" customHeight="1">
      <c r="A68" t="s">
        <v>373</v>
      </c>
      <c r="B68" t="s">
        <v>374</v>
      </c>
      <c r="C68" s="21" t="s">
        <v>227</v>
      </c>
      <c r="D68" t="s">
        <v>282</v>
      </c>
      <c r="E68" t="s">
        <v>283</v>
      </c>
      <c r="M68" s="19">
        <v>45960</v>
      </c>
      <c r="N68" s="20"/>
      <c r="O68" s="20"/>
    </row>
    <row r="69" ht="15" customHeight="1">
      <c r="A69" t="s">
        <v>375</v>
      </c>
      <c r="B69" t="s">
        <v>376</v>
      </c>
      <c r="C69" s="21" t="s">
        <v>227</v>
      </c>
      <c r="D69" t="s">
        <v>282</v>
      </c>
      <c r="E69" t="s">
        <v>283</v>
      </c>
      <c r="M69" s="19">
        <v>45960</v>
      </c>
      <c r="N69" s="20"/>
      <c r="O69" s="20"/>
    </row>
    <row r="70" ht="15" customHeight="1">
      <c r="A70" t="s">
        <v>377</v>
      </c>
      <c r="B70" t="s">
        <v>378</v>
      </c>
      <c r="C70" s="21" t="s">
        <v>227</v>
      </c>
      <c r="D70" t="s">
        <v>282</v>
      </c>
      <c r="E70" t="s">
        <v>283</v>
      </c>
      <c r="M70" s="19">
        <v>45960</v>
      </c>
      <c r="N70" s="20"/>
      <c r="O70" s="20"/>
    </row>
    <row r="71" ht="15" customHeight="1">
      <c r="A71" t="s">
        <v>379</v>
      </c>
      <c r="B71" t="s">
        <v>380</v>
      </c>
      <c r="C71" s="21" t="s">
        <v>227</v>
      </c>
      <c r="D71" t="s">
        <v>282</v>
      </c>
      <c r="E71" t="s">
        <v>283</v>
      </c>
      <c r="M71" s="19">
        <v>45960</v>
      </c>
      <c r="N71" s="20"/>
      <c r="O71" s="20"/>
    </row>
    <row r="72" ht="15" customHeight="1">
      <c r="A72" t="s">
        <v>381</v>
      </c>
      <c r="B72" t="s">
        <v>382</v>
      </c>
      <c r="C72" s="21" t="s">
        <v>227</v>
      </c>
      <c r="D72" t="s">
        <v>282</v>
      </c>
      <c r="E72" t="s">
        <v>283</v>
      </c>
      <c r="M72" s="19">
        <v>45960</v>
      </c>
      <c r="N72" s="20"/>
      <c r="O72" s="20"/>
    </row>
    <row r="73" ht="15" customHeight="1">
      <c r="A73" t="s">
        <v>383</v>
      </c>
      <c r="B73" t="s">
        <v>384</v>
      </c>
      <c r="C73" s="21" t="s">
        <v>227</v>
      </c>
      <c r="D73" t="s">
        <v>282</v>
      </c>
      <c r="E73" t="s">
        <v>283</v>
      </c>
      <c r="M73" s="19">
        <v>45960</v>
      </c>
      <c r="N73" s="20"/>
      <c r="O73" s="20"/>
    </row>
    <row r="74" ht="15" customHeight="1">
      <c r="A74" t="s">
        <v>385</v>
      </c>
      <c r="B74" t="s">
        <v>386</v>
      </c>
      <c r="C74" s="21" t="s">
        <v>227</v>
      </c>
      <c r="D74" t="s">
        <v>282</v>
      </c>
      <c r="E74" t="s">
        <v>283</v>
      </c>
      <c r="M74" s="19">
        <v>45960</v>
      </c>
      <c r="N74" s="20"/>
      <c r="O74" s="20"/>
    </row>
    <row r="75" ht="15" customHeight="1">
      <c r="A75" t="s">
        <v>387</v>
      </c>
      <c r="B75" t="s">
        <v>388</v>
      </c>
      <c r="C75" s="21" t="s">
        <v>227</v>
      </c>
      <c r="D75" t="s">
        <v>282</v>
      </c>
      <c r="E75" t="s">
        <v>283</v>
      </c>
      <c r="M75" s="19">
        <v>45960</v>
      </c>
      <c r="N75" s="20"/>
      <c r="O75" s="20"/>
    </row>
    <row r="76" ht="15" customHeight="1">
      <c r="A76" t="s">
        <v>389</v>
      </c>
      <c r="B76" t="s">
        <v>390</v>
      </c>
      <c r="C76" s="21" t="s">
        <v>227</v>
      </c>
      <c r="D76" t="s">
        <v>282</v>
      </c>
      <c r="E76" t="s">
        <v>283</v>
      </c>
      <c r="M76" s="19">
        <v>45960</v>
      </c>
      <c r="N76" s="20"/>
      <c r="O76" s="20"/>
    </row>
    <row r="77" ht="15" customHeight="1">
      <c r="A77" t="s">
        <v>391</v>
      </c>
      <c r="B77" t="s">
        <v>392</v>
      </c>
      <c r="C77" s="21" t="s">
        <v>227</v>
      </c>
      <c r="D77" t="s">
        <v>282</v>
      </c>
      <c r="E77" t="s">
        <v>283</v>
      </c>
      <c r="M77" s="19">
        <v>45960</v>
      </c>
      <c r="N77" s="20"/>
      <c r="O77" s="20"/>
    </row>
    <row r="78" ht="15" customHeight="1">
      <c r="A78" t="s">
        <v>393</v>
      </c>
      <c r="B78" t="s">
        <v>394</v>
      </c>
      <c r="C78" s="21" t="s">
        <v>227</v>
      </c>
      <c r="D78" t="s">
        <v>282</v>
      </c>
      <c r="E78" t="s">
        <v>283</v>
      </c>
      <c r="M78" s="19">
        <v>45960</v>
      </c>
      <c r="N78" s="20"/>
      <c r="O78" s="20"/>
    </row>
    <row r="79" ht="15" customHeight="1">
      <c r="A79" t="s">
        <v>395</v>
      </c>
      <c r="B79" t="s">
        <v>396</v>
      </c>
      <c r="C79" s="21" t="s">
        <v>227</v>
      </c>
      <c r="D79" t="s">
        <v>282</v>
      </c>
      <c r="E79" t="s">
        <v>283</v>
      </c>
      <c r="M79" s="19">
        <v>45960</v>
      </c>
      <c r="N79" s="20"/>
      <c r="O79" s="20"/>
    </row>
    <row r="80" ht="15" customHeight="1">
      <c r="A80" t="s">
        <v>397</v>
      </c>
      <c r="B80" t="s">
        <v>398</v>
      </c>
      <c r="C80" s="21" t="s">
        <v>227</v>
      </c>
      <c r="D80" t="s">
        <v>282</v>
      </c>
      <c r="E80" t="s">
        <v>283</v>
      </c>
      <c r="M80" s="19">
        <v>45960</v>
      </c>
      <c r="N80" s="20"/>
      <c r="O80" s="20"/>
    </row>
    <row r="81" ht="15" customHeight="1">
      <c r="A81" t="s">
        <v>399</v>
      </c>
      <c r="B81" t="s">
        <v>400</v>
      </c>
      <c r="C81" s="21" t="s">
        <v>227</v>
      </c>
      <c r="D81" t="s">
        <v>282</v>
      </c>
      <c r="E81" t="s">
        <v>283</v>
      </c>
      <c r="M81" s="19">
        <v>45960</v>
      </c>
      <c r="N81" s="20"/>
      <c r="O81" s="20"/>
    </row>
    <row r="82" ht="15" customHeight="1">
      <c r="A82" t="s">
        <v>401</v>
      </c>
      <c r="B82" t="s">
        <v>402</v>
      </c>
      <c r="C82" s="21" t="s">
        <v>227</v>
      </c>
      <c r="D82" t="s">
        <v>282</v>
      </c>
      <c r="E82" t="s">
        <v>283</v>
      </c>
      <c r="M82" s="19">
        <v>45960</v>
      </c>
      <c r="N82" s="20"/>
      <c r="O82" s="20"/>
    </row>
    <row r="83" ht="15" customHeight="1">
      <c r="A83" t="s">
        <v>403</v>
      </c>
      <c r="B83" t="s">
        <v>404</v>
      </c>
      <c r="C83" s="21" t="s">
        <v>227</v>
      </c>
      <c r="D83" t="s">
        <v>282</v>
      </c>
      <c r="E83" t="s">
        <v>283</v>
      </c>
      <c r="M83" s="19">
        <v>45960</v>
      </c>
      <c r="N83" s="20"/>
      <c r="O83" s="20"/>
    </row>
    <row r="84" ht="15" customHeight="1">
      <c r="A84" t="s">
        <v>405</v>
      </c>
      <c r="B84" t="s">
        <v>406</v>
      </c>
      <c r="C84" s="21" t="s">
        <v>227</v>
      </c>
      <c r="D84" t="s">
        <v>282</v>
      </c>
      <c r="E84" t="s">
        <v>283</v>
      </c>
      <c r="M84" s="19">
        <v>45960</v>
      </c>
      <c r="N84" s="20"/>
      <c r="O84" s="20"/>
    </row>
    <row r="85" ht="15" customHeight="1">
      <c r="A85" t="s">
        <v>407</v>
      </c>
      <c r="B85" t="s">
        <v>408</v>
      </c>
      <c r="C85" s="21" t="s">
        <v>227</v>
      </c>
      <c r="D85" t="s">
        <v>282</v>
      </c>
      <c r="E85" t="s">
        <v>283</v>
      </c>
      <c r="M85" s="19">
        <v>45960</v>
      </c>
      <c r="N85" s="20"/>
      <c r="O85" s="20"/>
    </row>
    <row r="86" ht="15" customHeight="1">
      <c r="A86" t="s">
        <v>409</v>
      </c>
      <c r="B86" t="s">
        <v>410</v>
      </c>
      <c r="C86" s="21" t="s">
        <v>227</v>
      </c>
      <c r="D86" t="s">
        <v>282</v>
      </c>
      <c r="E86" t="s">
        <v>283</v>
      </c>
      <c r="M86" s="19">
        <v>45960</v>
      </c>
      <c r="N86" s="20"/>
      <c r="O86" s="20"/>
    </row>
    <row r="87" ht="15" customHeight="1">
      <c r="A87" t="s">
        <v>411</v>
      </c>
      <c r="B87" t="s">
        <v>412</v>
      </c>
      <c r="C87" s="21" t="s">
        <v>227</v>
      </c>
      <c r="D87" t="s">
        <v>282</v>
      </c>
      <c r="E87" t="s">
        <v>283</v>
      </c>
      <c r="M87" s="19">
        <v>45960</v>
      </c>
      <c r="N87" s="20"/>
      <c r="O87" s="20"/>
    </row>
    <row r="88" ht="15" customHeight="1">
      <c r="A88" t="s">
        <v>413</v>
      </c>
      <c r="B88" t="s">
        <v>414</v>
      </c>
      <c r="C88" s="21" t="s">
        <v>227</v>
      </c>
      <c r="D88" t="s">
        <v>282</v>
      </c>
      <c r="E88" t="s">
        <v>283</v>
      </c>
      <c r="M88" s="19">
        <v>45960</v>
      </c>
      <c r="N88" s="20"/>
      <c r="O88" s="20"/>
    </row>
    <row r="89" ht="15" customHeight="1">
      <c r="A89" t="s">
        <v>415</v>
      </c>
      <c r="B89" t="s">
        <v>416</v>
      </c>
      <c r="C89" s="21" t="s">
        <v>227</v>
      </c>
      <c r="D89" t="s">
        <v>282</v>
      </c>
      <c r="E89" t="s">
        <v>283</v>
      </c>
      <c r="M89" s="19">
        <v>45960</v>
      </c>
      <c r="N89" s="20"/>
      <c r="O89" s="20"/>
    </row>
    <row r="90" ht="15" customHeight="1">
      <c r="A90" t="s">
        <v>417</v>
      </c>
      <c r="B90" t="s">
        <v>418</v>
      </c>
      <c r="C90" s="21" t="s">
        <v>227</v>
      </c>
      <c r="D90" t="s">
        <v>282</v>
      </c>
      <c r="E90" t="s">
        <v>283</v>
      </c>
      <c r="M90" s="19">
        <v>45960</v>
      </c>
      <c r="N90" s="20"/>
      <c r="O90" s="20"/>
    </row>
    <row r="91" ht="15" customHeight="1">
      <c r="A91" t="s">
        <v>419</v>
      </c>
      <c r="B91" t="s">
        <v>420</v>
      </c>
      <c r="C91" s="21" t="s">
        <v>227</v>
      </c>
      <c r="D91" t="s">
        <v>282</v>
      </c>
      <c r="E91" t="s">
        <v>283</v>
      </c>
      <c r="M91" s="19">
        <v>45960</v>
      </c>
      <c r="N91" s="20"/>
      <c r="O91" s="20"/>
    </row>
    <row r="92" ht="15" customHeight="1">
      <c r="A92" t="s">
        <v>421</v>
      </c>
      <c r="B92" t="s">
        <v>422</v>
      </c>
      <c r="C92" s="21" t="s">
        <v>227</v>
      </c>
      <c r="D92" t="s">
        <v>282</v>
      </c>
      <c r="E92" t="s">
        <v>283</v>
      </c>
      <c r="M92" s="19">
        <v>45960</v>
      </c>
      <c r="N92" s="20"/>
      <c r="O92" s="20"/>
    </row>
    <row r="93" ht="15" customHeight="1">
      <c r="A93" t="s">
        <v>423</v>
      </c>
      <c r="B93" t="s">
        <v>424</v>
      </c>
      <c r="C93" s="21" t="s">
        <v>227</v>
      </c>
      <c r="D93" t="s">
        <v>282</v>
      </c>
      <c r="E93" t="s">
        <v>283</v>
      </c>
      <c r="M93" s="19">
        <v>45960</v>
      </c>
      <c r="N93" s="20"/>
      <c r="O93" s="20"/>
    </row>
    <row r="94" ht="15" customHeight="1">
      <c r="A94" t="s">
        <v>425</v>
      </c>
      <c r="B94" t="s">
        <v>426</v>
      </c>
      <c r="C94" s="21" t="s">
        <v>227</v>
      </c>
      <c r="D94" t="s">
        <v>282</v>
      </c>
      <c r="E94" t="s">
        <v>283</v>
      </c>
      <c r="M94" s="19">
        <v>45960</v>
      </c>
      <c r="N94" s="20"/>
      <c r="O94" s="20"/>
    </row>
    <row r="95" ht="15" customHeight="1">
      <c r="A95" t="s">
        <v>427</v>
      </c>
      <c r="B95" t="s">
        <v>428</v>
      </c>
      <c r="C95" s="21" t="s">
        <v>227</v>
      </c>
      <c r="D95" t="s">
        <v>282</v>
      </c>
      <c r="E95" t="s">
        <v>283</v>
      </c>
      <c r="M95" s="19">
        <v>45960</v>
      </c>
      <c r="N95" s="20"/>
      <c r="O95" s="20"/>
    </row>
    <row r="96" ht="15" customHeight="1">
      <c r="A96" t="s">
        <v>429</v>
      </c>
      <c r="B96" t="s">
        <v>430</v>
      </c>
      <c r="C96" s="21" t="s">
        <v>227</v>
      </c>
      <c r="D96" t="s">
        <v>282</v>
      </c>
      <c r="E96" t="s">
        <v>283</v>
      </c>
      <c r="M96" s="19">
        <v>45960</v>
      </c>
      <c r="N96" s="20"/>
      <c r="O96" s="20"/>
    </row>
    <row r="97" ht="15" customHeight="1">
      <c r="A97" t="s">
        <v>431</v>
      </c>
      <c r="B97" t="s">
        <v>432</v>
      </c>
      <c r="C97" s="21" t="s">
        <v>227</v>
      </c>
      <c r="D97" t="s">
        <v>282</v>
      </c>
      <c r="E97" t="s">
        <v>283</v>
      </c>
      <c r="M97" s="19">
        <v>45960</v>
      </c>
      <c r="N97" s="20"/>
      <c r="O97" s="20"/>
    </row>
    <row r="98" ht="15" customHeight="1">
      <c r="A98" t="s">
        <v>433</v>
      </c>
      <c r="B98" t="s">
        <v>434</v>
      </c>
      <c r="C98" s="21" t="s">
        <v>227</v>
      </c>
      <c r="D98" t="s">
        <v>282</v>
      </c>
      <c r="E98" t="s">
        <v>283</v>
      </c>
      <c r="M98" s="19">
        <v>45960</v>
      </c>
      <c r="N98" s="20"/>
      <c r="O98" s="20"/>
    </row>
    <row r="99" ht="15" customHeight="1">
      <c r="A99" t="s">
        <v>435</v>
      </c>
      <c r="B99" t="s">
        <v>436</v>
      </c>
      <c r="C99" s="21" t="s">
        <v>227</v>
      </c>
      <c r="D99" t="s">
        <v>282</v>
      </c>
      <c r="E99" t="s">
        <v>283</v>
      </c>
      <c r="M99" s="19">
        <v>45960</v>
      </c>
      <c r="N99" s="20"/>
      <c r="O99" s="20"/>
    </row>
    <row r="100" ht="15" customHeight="1">
      <c r="A100" t="s">
        <v>437</v>
      </c>
      <c r="B100" t="s">
        <v>438</v>
      </c>
      <c r="C100" s="21" t="s">
        <v>227</v>
      </c>
      <c r="D100" t="s">
        <v>282</v>
      </c>
      <c r="E100" t="s">
        <v>283</v>
      </c>
      <c r="M100" s="19">
        <v>45960</v>
      </c>
      <c r="N100" s="20"/>
      <c r="O100" s="20"/>
    </row>
    <row r="101" ht="15" customHeight="1">
      <c r="A101" t="s">
        <v>439</v>
      </c>
      <c r="B101" t="s">
        <v>440</v>
      </c>
      <c r="C101" s="21" t="s">
        <v>227</v>
      </c>
      <c r="D101" t="s">
        <v>282</v>
      </c>
      <c r="E101" t="s">
        <v>283</v>
      </c>
      <c r="M101" s="19">
        <v>45960</v>
      </c>
      <c r="N101" s="20"/>
      <c r="O101" s="20"/>
    </row>
    <row r="102" ht="15" customHeight="1">
      <c r="A102" t="s">
        <v>441</v>
      </c>
      <c r="B102" t="s">
        <v>442</v>
      </c>
      <c r="C102" s="21" t="s">
        <v>227</v>
      </c>
      <c r="D102" t="s">
        <v>282</v>
      </c>
      <c r="E102" t="s">
        <v>283</v>
      </c>
      <c r="M102" s="19">
        <v>45960</v>
      </c>
      <c r="N102" s="20"/>
      <c r="O102" s="20"/>
    </row>
    <row r="103" ht="15" customHeight="1">
      <c r="A103" t="s">
        <v>443</v>
      </c>
      <c r="B103" t="s">
        <v>444</v>
      </c>
      <c r="C103" s="21" t="s">
        <v>227</v>
      </c>
      <c r="D103" t="s">
        <v>282</v>
      </c>
      <c r="E103" t="s">
        <v>283</v>
      </c>
      <c r="M103" s="19">
        <v>45960</v>
      </c>
      <c r="N103" s="20"/>
      <c r="O103" s="20"/>
    </row>
    <row r="104" ht="15" customHeight="1">
      <c r="A104" t="s">
        <v>445</v>
      </c>
      <c r="B104" t="s">
        <v>446</v>
      </c>
      <c r="C104" s="21" t="s">
        <v>227</v>
      </c>
      <c r="D104" t="s">
        <v>282</v>
      </c>
      <c r="E104" t="s">
        <v>283</v>
      </c>
      <c r="M104" s="19">
        <v>45960</v>
      </c>
      <c r="N104" s="20"/>
      <c r="O104" s="20"/>
    </row>
    <row r="105" ht="15" customHeight="1">
      <c r="A105" t="s">
        <v>447</v>
      </c>
      <c r="B105" t="s">
        <v>448</v>
      </c>
      <c r="C105" s="21" t="s">
        <v>227</v>
      </c>
      <c r="D105" t="s">
        <v>282</v>
      </c>
      <c r="E105" t="s">
        <v>283</v>
      </c>
      <c r="M105" s="19">
        <v>45960</v>
      </c>
      <c r="N105" s="20"/>
      <c r="O105" s="20"/>
    </row>
    <row r="106" ht="15" customHeight="1">
      <c r="A106" t="s">
        <v>449</v>
      </c>
      <c r="B106" t="s">
        <v>450</v>
      </c>
      <c r="C106" s="21" t="s">
        <v>227</v>
      </c>
      <c r="D106" t="s">
        <v>282</v>
      </c>
      <c r="E106" t="s">
        <v>283</v>
      </c>
      <c r="M106" s="19">
        <v>45960</v>
      </c>
      <c r="N106" s="20"/>
      <c r="O106" s="20"/>
    </row>
    <row r="107" ht="15" customHeight="1">
      <c r="A107" t="s">
        <v>451</v>
      </c>
      <c r="B107" t="s">
        <v>452</v>
      </c>
      <c r="C107" s="21" t="s">
        <v>227</v>
      </c>
      <c r="D107" t="s">
        <v>282</v>
      </c>
      <c r="E107" t="s">
        <v>283</v>
      </c>
      <c r="M107" s="19">
        <v>45960</v>
      </c>
      <c r="N107" s="20"/>
      <c r="O107" s="20"/>
    </row>
    <row r="108" ht="15" customHeight="1">
      <c r="A108" t="s">
        <v>453</v>
      </c>
      <c r="B108" t="s">
        <v>454</v>
      </c>
      <c r="C108" s="21" t="s">
        <v>227</v>
      </c>
      <c r="D108" t="s">
        <v>282</v>
      </c>
      <c r="E108" t="s">
        <v>283</v>
      </c>
      <c r="M108" s="19">
        <v>45960</v>
      </c>
      <c r="N108" s="20"/>
      <c r="O108" s="20"/>
    </row>
    <row r="109" ht="15" customHeight="1">
      <c r="A109" t="s">
        <v>455</v>
      </c>
      <c r="B109" t="s">
        <v>456</v>
      </c>
      <c r="C109" s="21" t="s">
        <v>227</v>
      </c>
      <c r="D109" t="s">
        <v>282</v>
      </c>
      <c r="E109" t="s">
        <v>283</v>
      </c>
      <c r="M109" s="19">
        <v>45960</v>
      </c>
      <c r="N109" s="20"/>
      <c r="O109" s="20"/>
    </row>
    <row r="110" ht="15" customHeight="1">
      <c r="A110" t="s">
        <v>457</v>
      </c>
      <c r="B110" t="s">
        <v>458</v>
      </c>
      <c r="C110" s="21" t="s">
        <v>227</v>
      </c>
      <c r="D110" t="s">
        <v>282</v>
      </c>
      <c r="E110" t="s">
        <v>283</v>
      </c>
      <c r="M110" s="19">
        <v>45960</v>
      </c>
      <c r="N110" s="20"/>
      <c r="O110" s="20"/>
    </row>
    <row r="111" ht="15" customHeight="1">
      <c r="A111" t="s">
        <v>459</v>
      </c>
      <c r="B111" t="s">
        <v>460</v>
      </c>
      <c r="C111" s="21" t="s">
        <v>227</v>
      </c>
      <c r="D111" t="s">
        <v>282</v>
      </c>
      <c r="E111" t="s">
        <v>283</v>
      </c>
      <c r="M111" s="19">
        <v>45960</v>
      </c>
      <c r="N111" s="20"/>
      <c r="O111" s="20"/>
    </row>
    <row r="112" ht="15" customHeight="1">
      <c r="A112" t="s">
        <v>461</v>
      </c>
      <c r="B112" t="s">
        <v>462</v>
      </c>
      <c r="C112" s="21" t="s">
        <v>227</v>
      </c>
      <c r="D112" t="s">
        <v>282</v>
      </c>
      <c r="E112" t="s">
        <v>283</v>
      </c>
      <c r="M112" s="19">
        <v>45960</v>
      </c>
      <c r="N112" s="20"/>
      <c r="O112" s="20"/>
    </row>
    <row r="113" ht="15" customHeight="1">
      <c r="A113" t="s">
        <v>463</v>
      </c>
      <c r="B113" t="s">
        <v>464</v>
      </c>
      <c r="C113" s="21" t="s">
        <v>227</v>
      </c>
      <c r="D113" t="s">
        <v>282</v>
      </c>
      <c r="E113" t="s">
        <v>283</v>
      </c>
      <c r="M113" s="19">
        <v>45960</v>
      </c>
      <c r="N113" s="20"/>
      <c r="O113" s="20"/>
    </row>
    <row r="114" ht="15" customHeight="1">
      <c r="A114" t="s">
        <v>465</v>
      </c>
      <c r="B114" t="s">
        <v>466</v>
      </c>
      <c r="C114" s="21" t="s">
        <v>227</v>
      </c>
      <c r="D114" t="s">
        <v>282</v>
      </c>
      <c r="E114" t="s">
        <v>283</v>
      </c>
      <c r="M114" s="19">
        <v>45960</v>
      </c>
      <c r="N114" s="20"/>
      <c r="O114" s="20"/>
    </row>
    <row r="115" ht="15" customHeight="1">
      <c r="A115" t="s">
        <v>467</v>
      </c>
      <c r="B115" t="s">
        <v>468</v>
      </c>
      <c r="C115" s="21" t="s">
        <v>227</v>
      </c>
      <c r="D115" t="s">
        <v>282</v>
      </c>
      <c r="E115" t="s">
        <v>283</v>
      </c>
      <c r="M115" s="19">
        <v>45960</v>
      </c>
      <c r="N115" s="20"/>
      <c r="O115" s="20"/>
    </row>
    <row r="116" ht="15" customHeight="1">
      <c r="A116" t="s">
        <v>469</v>
      </c>
      <c r="B116" t="s">
        <v>470</v>
      </c>
      <c r="C116" s="21" t="s">
        <v>227</v>
      </c>
      <c r="D116" t="s">
        <v>282</v>
      </c>
      <c r="E116" t="s">
        <v>283</v>
      </c>
      <c r="M116" s="19">
        <v>45960</v>
      </c>
      <c r="N116" s="20"/>
      <c r="O116" s="20"/>
    </row>
    <row r="117" ht="15" customHeight="1">
      <c r="A117" t="s">
        <v>471</v>
      </c>
      <c r="B117" t="s">
        <v>472</v>
      </c>
      <c r="C117" s="21" t="s">
        <v>227</v>
      </c>
      <c r="D117" t="s">
        <v>282</v>
      </c>
      <c r="E117" t="s">
        <v>283</v>
      </c>
      <c r="M117" s="19">
        <v>45960</v>
      </c>
      <c r="N117" s="20"/>
      <c r="O117" s="20"/>
    </row>
    <row r="118" ht="15" customHeight="1">
      <c r="A118" t="s">
        <v>473</v>
      </c>
      <c r="B118" t="s">
        <v>474</v>
      </c>
      <c r="C118" s="21" t="s">
        <v>227</v>
      </c>
      <c r="D118" t="s">
        <v>282</v>
      </c>
      <c r="E118" t="s">
        <v>283</v>
      </c>
      <c r="M118" s="19">
        <v>45960</v>
      </c>
      <c r="N118" s="20"/>
      <c r="O118" s="20"/>
    </row>
    <row r="119" ht="15" customHeight="1">
      <c r="A119" t="s">
        <v>475</v>
      </c>
      <c r="B119" t="s">
        <v>476</v>
      </c>
      <c r="C119" s="21" t="s">
        <v>227</v>
      </c>
      <c r="D119" t="s">
        <v>282</v>
      </c>
      <c r="E119" t="s">
        <v>283</v>
      </c>
      <c r="M119" s="19">
        <v>45960</v>
      </c>
      <c r="N119" s="20"/>
      <c r="O119" s="20"/>
    </row>
    <row r="120" ht="15" customHeight="1">
      <c r="A120" t="s">
        <v>477</v>
      </c>
      <c r="B120" t="s">
        <v>478</v>
      </c>
      <c r="C120" s="21" t="s">
        <v>227</v>
      </c>
      <c r="D120" t="s">
        <v>282</v>
      </c>
      <c r="E120" t="s">
        <v>283</v>
      </c>
      <c r="M120" s="19">
        <v>45960</v>
      </c>
      <c r="N120" s="20"/>
      <c r="O120" s="20"/>
    </row>
    <row r="121" ht="15" customHeight="1">
      <c r="A121" t="s">
        <v>479</v>
      </c>
      <c r="B121" t="s">
        <v>480</v>
      </c>
      <c r="C121" s="21" t="s">
        <v>227</v>
      </c>
      <c r="D121" t="s">
        <v>282</v>
      </c>
      <c r="E121" t="s">
        <v>283</v>
      </c>
      <c r="M121" s="19">
        <v>45960</v>
      </c>
      <c r="N121" s="20"/>
      <c r="O121" s="20"/>
    </row>
    <row r="122" ht="15" customHeight="1">
      <c r="A122" t="s">
        <v>481</v>
      </c>
      <c r="B122" t="s">
        <v>482</v>
      </c>
      <c r="C122" s="21" t="s">
        <v>227</v>
      </c>
      <c r="D122" t="s">
        <v>282</v>
      </c>
      <c r="E122" t="s">
        <v>283</v>
      </c>
      <c r="M122" s="19">
        <v>45960</v>
      </c>
      <c r="N122" s="20"/>
      <c r="O122" s="20"/>
    </row>
    <row r="123" ht="15" customHeight="1">
      <c r="A123" t="s">
        <v>483</v>
      </c>
      <c r="B123" t="s">
        <v>484</v>
      </c>
      <c r="C123" s="21" t="s">
        <v>227</v>
      </c>
      <c r="D123" t="s">
        <v>282</v>
      </c>
      <c r="E123" t="s">
        <v>283</v>
      </c>
      <c r="M123" s="19">
        <v>45960</v>
      </c>
      <c r="N123" s="20"/>
      <c r="O123" s="20"/>
    </row>
    <row r="124" ht="15" customHeight="1">
      <c r="A124" t="s">
        <v>485</v>
      </c>
      <c r="B124" t="s">
        <v>486</v>
      </c>
      <c r="C124" s="21" t="s">
        <v>227</v>
      </c>
      <c r="D124" t="s">
        <v>282</v>
      </c>
      <c r="E124" t="s">
        <v>283</v>
      </c>
      <c r="M124" s="19">
        <v>45960</v>
      </c>
      <c r="N124" s="20"/>
      <c r="O124" s="20"/>
    </row>
    <row r="125" ht="15" customHeight="1">
      <c r="A125" t="s">
        <v>487</v>
      </c>
      <c r="B125" t="s">
        <v>488</v>
      </c>
      <c r="C125" s="21" t="s">
        <v>227</v>
      </c>
      <c r="D125" t="s">
        <v>282</v>
      </c>
      <c r="E125" t="s">
        <v>283</v>
      </c>
      <c r="M125" s="19">
        <v>45960</v>
      </c>
      <c r="N125" s="20"/>
      <c r="O125" s="20"/>
    </row>
    <row r="126" ht="15" customHeight="1">
      <c r="A126" t="s">
        <v>489</v>
      </c>
      <c r="B126" t="s">
        <v>490</v>
      </c>
      <c r="C126" s="21" t="s">
        <v>227</v>
      </c>
      <c r="D126" t="s">
        <v>282</v>
      </c>
      <c r="E126" t="s">
        <v>283</v>
      </c>
      <c r="M126" s="19">
        <v>45960</v>
      </c>
      <c r="N126" s="20"/>
      <c r="O126" s="20"/>
    </row>
    <row r="127" ht="15" customHeight="1">
      <c r="A127" t="s">
        <v>491</v>
      </c>
      <c r="B127" t="s">
        <v>492</v>
      </c>
      <c r="C127" s="21" t="s">
        <v>227</v>
      </c>
      <c r="D127" t="s">
        <v>282</v>
      </c>
      <c r="E127" t="s">
        <v>283</v>
      </c>
      <c r="M127" s="19">
        <v>45960</v>
      </c>
      <c r="N127" s="20"/>
      <c r="O127" s="20"/>
    </row>
    <row r="128" ht="15" customHeight="1">
      <c r="A128" t="s">
        <v>493</v>
      </c>
      <c r="B128" t="s">
        <v>494</v>
      </c>
      <c r="C128" s="21" t="s">
        <v>227</v>
      </c>
      <c r="D128" t="s">
        <v>282</v>
      </c>
      <c r="E128" t="s">
        <v>283</v>
      </c>
      <c r="M128" s="19">
        <v>45960</v>
      </c>
      <c r="N128" s="20"/>
      <c r="O128" s="20"/>
    </row>
    <row r="129" ht="15" customHeight="1">
      <c r="A129" t="s">
        <v>495</v>
      </c>
      <c r="B129" t="s">
        <v>496</v>
      </c>
      <c r="C129" s="21" t="s">
        <v>227</v>
      </c>
      <c r="D129" t="s">
        <v>282</v>
      </c>
      <c r="E129" t="s">
        <v>283</v>
      </c>
      <c r="M129" s="19">
        <v>45960</v>
      </c>
      <c r="N129" s="20"/>
      <c r="O129" s="20"/>
    </row>
    <row r="130" ht="15" customHeight="1">
      <c r="A130" t="s">
        <v>497</v>
      </c>
      <c r="B130" t="s">
        <v>498</v>
      </c>
      <c r="C130" s="21" t="s">
        <v>227</v>
      </c>
      <c r="D130" t="s">
        <v>282</v>
      </c>
      <c r="E130" t="s">
        <v>283</v>
      </c>
      <c r="M130" s="19">
        <v>45960</v>
      </c>
      <c r="N130" s="20"/>
      <c r="O130" s="20"/>
    </row>
    <row r="131" ht="15" customHeight="1">
      <c r="A131" t="s">
        <v>499</v>
      </c>
      <c r="B131" t="s">
        <v>500</v>
      </c>
      <c r="C131" s="21" t="s">
        <v>227</v>
      </c>
      <c r="D131" t="s">
        <v>282</v>
      </c>
      <c r="E131" t="s">
        <v>283</v>
      </c>
      <c r="M131" s="19">
        <v>45960</v>
      </c>
      <c r="N131" s="20"/>
      <c r="O131" s="20"/>
    </row>
    <row r="132" ht="15" customHeight="1">
      <c r="A132" t="s">
        <v>501</v>
      </c>
      <c r="B132" t="s">
        <v>502</v>
      </c>
      <c r="C132" s="21" t="s">
        <v>227</v>
      </c>
      <c r="D132" t="s">
        <v>282</v>
      </c>
      <c r="E132" t="s">
        <v>283</v>
      </c>
      <c r="M132" s="19">
        <v>45960</v>
      </c>
      <c r="N132" s="20"/>
      <c r="O132" s="20"/>
    </row>
    <row r="133" ht="15" customHeight="1">
      <c r="A133" t="s">
        <v>503</v>
      </c>
      <c r="B133" t="s">
        <v>504</v>
      </c>
      <c r="C133" s="21" t="s">
        <v>227</v>
      </c>
      <c r="D133" t="s">
        <v>282</v>
      </c>
      <c r="E133" t="s">
        <v>283</v>
      </c>
      <c r="M133" s="19">
        <v>45960</v>
      </c>
      <c r="N133" s="20"/>
      <c r="O133" s="20"/>
    </row>
    <row r="134" ht="15" customHeight="1">
      <c r="A134" t="s">
        <v>505</v>
      </c>
      <c r="B134" t="s">
        <v>506</v>
      </c>
      <c r="C134" s="21" t="s">
        <v>227</v>
      </c>
      <c r="D134" t="s">
        <v>282</v>
      </c>
      <c r="E134" t="s">
        <v>283</v>
      </c>
      <c r="M134" s="19">
        <v>45960</v>
      </c>
      <c r="N134" s="20"/>
      <c r="O134" s="20"/>
    </row>
    <row r="135" ht="15" customHeight="1">
      <c r="A135" t="s">
        <v>507</v>
      </c>
      <c r="B135" t="s">
        <v>508</v>
      </c>
      <c r="C135" s="21" t="s">
        <v>227</v>
      </c>
      <c r="D135" t="s">
        <v>282</v>
      </c>
      <c r="E135" t="s">
        <v>283</v>
      </c>
      <c r="M135" s="19">
        <v>45960</v>
      </c>
      <c r="N135" s="20"/>
      <c r="O135" s="20"/>
    </row>
    <row r="136" ht="15" customHeight="1">
      <c r="A136" t="s">
        <v>509</v>
      </c>
      <c r="B136" t="s">
        <v>510</v>
      </c>
      <c r="C136" s="21" t="s">
        <v>227</v>
      </c>
      <c r="D136" t="s">
        <v>282</v>
      </c>
      <c r="E136" t="s">
        <v>283</v>
      </c>
      <c r="M136" s="19">
        <v>45960</v>
      </c>
      <c r="N136" s="20"/>
      <c r="O136" s="20"/>
    </row>
    <row r="137" ht="15" customHeight="1">
      <c r="A137" t="s">
        <v>511</v>
      </c>
      <c r="B137" t="s">
        <v>512</v>
      </c>
      <c r="C137" s="21" t="s">
        <v>227</v>
      </c>
      <c r="D137" t="s">
        <v>282</v>
      </c>
      <c r="E137" t="s">
        <v>283</v>
      </c>
      <c r="M137" s="19">
        <v>45960</v>
      </c>
      <c r="N137" s="20"/>
      <c r="O137" s="20"/>
    </row>
    <row r="138" ht="15" customHeight="1">
      <c r="A138" t="s">
        <v>513</v>
      </c>
      <c r="B138" t="s">
        <v>514</v>
      </c>
      <c r="C138" s="21" t="s">
        <v>227</v>
      </c>
      <c r="D138" t="s">
        <v>282</v>
      </c>
      <c r="E138" t="s">
        <v>283</v>
      </c>
      <c r="M138" s="19">
        <v>45960</v>
      </c>
      <c r="N138" s="20"/>
      <c r="O138" s="20"/>
    </row>
    <row r="139" ht="15" customHeight="1">
      <c r="A139" t="s">
        <v>515</v>
      </c>
      <c r="B139" t="s">
        <v>516</v>
      </c>
      <c r="C139" s="21" t="s">
        <v>227</v>
      </c>
      <c r="D139" t="s">
        <v>282</v>
      </c>
      <c r="E139" t="s">
        <v>283</v>
      </c>
      <c r="M139" s="19">
        <v>45960</v>
      </c>
      <c r="N139" s="20"/>
      <c r="O139" s="20"/>
    </row>
    <row r="140" ht="15" customHeight="1">
      <c r="A140" t="s">
        <v>517</v>
      </c>
      <c r="B140" t="s">
        <v>518</v>
      </c>
      <c r="C140" s="21" t="s">
        <v>227</v>
      </c>
      <c r="D140" t="s">
        <v>282</v>
      </c>
      <c r="E140" t="s">
        <v>283</v>
      </c>
      <c r="M140" s="19">
        <v>45960</v>
      </c>
      <c r="N140" s="20"/>
      <c r="O140" s="20"/>
    </row>
    <row r="141" ht="15" customHeight="1">
      <c r="A141" t="s">
        <v>519</v>
      </c>
      <c r="B141" t="s">
        <v>520</v>
      </c>
      <c r="C141" s="21" t="s">
        <v>227</v>
      </c>
      <c r="D141" t="s">
        <v>282</v>
      </c>
      <c r="E141" t="s">
        <v>283</v>
      </c>
      <c r="M141" s="19">
        <v>45960</v>
      </c>
      <c r="N141" s="20"/>
      <c r="O141" s="20"/>
    </row>
    <row r="142" ht="15" customHeight="1">
      <c r="A142" t="s">
        <v>521</v>
      </c>
      <c r="B142" t="s">
        <v>522</v>
      </c>
      <c r="C142" s="21" t="s">
        <v>227</v>
      </c>
      <c r="D142" t="s">
        <v>282</v>
      </c>
      <c r="E142" t="s">
        <v>283</v>
      </c>
      <c r="M142" s="19">
        <v>45960</v>
      </c>
      <c r="N142" s="20"/>
      <c r="O142" s="20"/>
    </row>
    <row r="143" ht="15" customHeight="1">
      <c r="A143" t="s">
        <v>523</v>
      </c>
      <c r="B143" t="s">
        <v>524</v>
      </c>
      <c r="C143" s="21" t="s">
        <v>227</v>
      </c>
      <c r="D143" t="s">
        <v>282</v>
      </c>
      <c r="E143" t="s">
        <v>283</v>
      </c>
      <c r="M143" s="19">
        <v>45960</v>
      </c>
      <c r="N143" s="20"/>
      <c r="O143" s="20"/>
    </row>
    <row r="144" ht="15" customHeight="1">
      <c r="A144" t="s">
        <v>525</v>
      </c>
      <c r="B144" t="s">
        <v>526</v>
      </c>
      <c r="C144" s="21" t="s">
        <v>227</v>
      </c>
      <c r="D144" t="s">
        <v>282</v>
      </c>
      <c r="E144" t="s">
        <v>283</v>
      </c>
      <c r="M144" s="19">
        <v>45960</v>
      </c>
      <c r="N144" s="20"/>
      <c r="O144" s="20"/>
    </row>
    <row r="145" ht="15" customHeight="1">
      <c r="A145" t="s">
        <v>527</v>
      </c>
      <c r="B145" t="s">
        <v>528</v>
      </c>
      <c r="C145" s="21" t="s">
        <v>227</v>
      </c>
      <c r="D145" t="s">
        <v>282</v>
      </c>
      <c r="E145" t="s">
        <v>283</v>
      </c>
      <c r="M145" s="19">
        <v>45960</v>
      </c>
      <c r="N145" s="20"/>
      <c r="O145" s="20"/>
    </row>
    <row r="146" ht="15" customHeight="1">
      <c r="A146" t="s">
        <v>529</v>
      </c>
      <c r="B146" t="s">
        <v>530</v>
      </c>
      <c r="C146" s="21" t="s">
        <v>227</v>
      </c>
      <c r="D146" t="s">
        <v>282</v>
      </c>
      <c r="E146" t="s">
        <v>283</v>
      </c>
      <c r="M146" s="19">
        <v>45960</v>
      </c>
      <c r="N146" s="20"/>
      <c r="O146" s="20"/>
    </row>
    <row r="147" ht="15" customHeight="1">
      <c r="A147" t="s">
        <v>531</v>
      </c>
      <c r="B147" t="s">
        <v>532</v>
      </c>
      <c r="C147" s="21" t="s">
        <v>227</v>
      </c>
      <c r="D147" t="s">
        <v>282</v>
      </c>
      <c r="E147" t="s">
        <v>283</v>
      </c>
      <c r="M147" s="19">
        <v>45960</v>
      </c>
      <c r="N147" s="20"/>
      <c r="O147" s="20"/>
    </row>
    <row r="148" ht="15" customHeight="1">
      <c r="A148" t="s">
        <v>533</v>
      </c>
      <c r="B148" t="s">
        <v>534</v>
      </c>
      <c r="C148" s="21" t="s">
        <v>227</v>
      </c>
      <c r="D148" t="s">
        <v>282</v>
      </c>
      <c r="E148" t="s">
        <v>283</v>
      </c>
      <c r="M148" s="19">
        <v>45960</v>
      </c>
      <c r="N148" s="20"/>
      <c r="O148" s="20"/>
    </row>
    <row r="149" ht="15" customHeight="1">
      <c r="A149" t="s">
        <v>535</v>
      </c>
      <c r="B149" t="s">
        <v>536</v>
      </c>
      <c r="C149" s="21" t="s">
        <v>227</v>
      </c>
      <c r="D149" t="s">
        <v>282</v>
      </c>
      <c r="E149" t="s">
        <v>283</v>
      </c>
      <c r="M149" s="19">
        <v>45960</v>
      </c>
      <c r="N149" s="20"/>
      <c r="O149" s="20"/>
    </row>
    <row r="150" ht="15" customHeight="1">
      <c r="A150" t="s">
        <v>537</v>
      </c>
      <c r="B150" t="s">
        <v>538</v>
      </c>
      <c r="C150" s="21" t="s">
        <v>227</v>
      </c>
      <c r="D150" t="s">
        <v>282</v>
      </c>
      <c r="E150" t="s">
        <v>283</v>
      </c>
      <c r="M150" s="19">
        <v>45960</v>
      </c>
      <c r="N150" s="20"/>
      <c r="O150" s="20"/>
    </row>
    <row r="151" ht="15" customHeight="1">
      <c r="A151" t="s">
        <v>539</v>
      </c>
      <c r="B151" t="s">
        <v>540</v>
      </c>
      <c r="C151" s="21" t="s">
        <v>227</v>
      </c>
      <c r="D151" t="s">
        <v>282</v>
      </c>
      <c r="E151" t="s">
        <v>283</v>
      </c>
      <c r="M151" s="19">
        <v>45960</v>
      </c>
      <c r="N151" s="20"/>
      <c r="O151" s="20"/>
    </row>
    <row r="152" ht="15" customHeight="1">
      <c r="A152" t="s">
        <v>541</v>
      </c>
      <c r="B152" t="s">
        <v>542</v>
      </c>
      <c r="C152" s="21" t="s">
        <v>227</v>
      </c>
      <c r="D152" t="s">
        <v>282</v>
      </c>
      <c r="E152" t="s">
        <v>283</v>
      </c>
      <c r="M152" s="19">
        <v>45960</v>
      </c>
      <c r="N152" s="20"/>
      <c r="O152" s="20"/>
    </row>
    <row r="153" ht="15" customHeight="1">
      <c r="A153" t="s">
        <v>543</v>
      </c>
      <c r="B153" t="s">
        <v>544</v>
      </c>
      <c r="C153" s="21" t="s">
        <v>227</v>
      </c>
      <c r="D153" t="s">
        <v>282</v>
      </c>
      <c r="E153" t="s">
        <v>283</v>
      </c>
      <c r="M153" s="19">
        <v>45960</v>
      </c>
      <c r="N153" s="20"/>
      <c r="O153" s="20"/>
    </row>
    <row r="154" ht="15" customHeight="1">
      <c r="A154" t="s">
        <v>545</v>
      </c>
      <c r="B154" t="s">
        <v>546</v>
      </c>
      <c r="C154" s="21" t="s">
        <v>227</v>
      </c>
      <c r="D154" t="s">
        <v>282</v>
      </c>
      <c r="E154" t="s">
        <v>283</v>
      </c>
      <c r="M154" s="19">
        <v>45960</v>
      </c>
      <c r="N154" s="20"/>
      <c r="O154" s="20"/>
    </row>
    <row r="155" ht="15" customHeight="1">
      <c r="A155" t="s">
        <v>547</v>
      </c>
      <c r="B155" t="s">
        <v>548</v>
      </c>
      <c r="C155" s="21" t="s">
        <v>227</v>
      </c>
      <c r="D155" t="s">
        <v>282</v>
      </c>
      <c r="E155" t="s">
        <v>283</v>
      </c>
      <c r="M155" s="19">
        <v>45960</v>
      </c>
      <c r="N155" s="20"/>
      <c r="O155" s="20"/>
    </row>
    <row r="156" ht="15" customHeight="1">
      <c r="A156" t="s">
        <v>549</v>
      </c>
      <c r="B156" t="s">
        <v>550</v>
      </c>
      <c r="C156" s="21" t="s">
        <v>227</v>
      </c>
      <c r="D156" t="s">
        <v>282</v>
      </c>
      <c r="E156" t="s">
        <v>283</v>
      </c>
      <c r="M156" s="19">
        <v>45960</v>
      </c>
      <c r="N156" s="20"/>
      <c r="O156" s="20"/>
    </row>
    <row r="157" ht="15" customHeight="1">
      <c r="A157" t="s">
        <v>551</v>
      </c>
      <c r="B157" t="s">
        <v>552</v>
      </c>
      <c r="C157" s="21" t="s">
        <v>227</v>
      </c>
      <c r="D157" t="s">
        <v>282</v>
      </c>
      <c r="E157" t="s">
        <v>283</v>
      </c>
      <c r="M157" s="19">
        <v>45960</v>
      </c>
      <c r="N157" s="20"/>
      <c r="O157" s="20"/>
    </row>
    <row r="158" ht="15" customHeight="1">
      <c r="A158" t="s">
        <v>553</v>
      </c>
      <c r="B158" t="s">
        <v>554</v>
      </c>
      <c r="C158" s="21" t="s">
        <v>227</v>
      </c>
      <c r="D158" t="s">
        <v>282</v>
      </c>
      <c r="E158" t="s">
        <v>283</v>
      </c>
      <c r="M158" s="19">
        <v>45960</v>
      </c>
      <c r="N158" s="20"/>
      <c r="O158" s="20"/>
    </row>
    <row r="159" ht="15" customHeight="1">
      <c r="A159" t="s">
        <v>555</v>
      </c>
      <c r="B159" t="s">
        <v>556</v>
      </c>
      <c r="C159" s="21" t="s">
        <v>227</v>
      </c>
      <c r="D159" t="s">
        <v>282</v>
      </c>
      <c r="E159" t="s">
        <v>283</v>
      </c>
      <c r="M159" s="19">
        <v>45960</v>
      </c>
      <c r="N159" s="20"/>
      <c r="O159" s="20"/>
    </row>
    <row r="160" ht="15" customHeight="1">
      <c r="A160" t="s">
        <v>557</v>
      </c>
      <c r="B160" t="s">
        <v>558</v>
      </c>
      <c r="C160" s="21" t="s">
        <v>227</v>
      </c>
      <c r="D160" t="s">
        <v>282</v>
      </c>
      <c r="E160" t="s">
        <v>283</v>
      </c>
      <c r="M160" s="19">
        <v>45960</v>
      </c>
      <c r="N160" s="20"/>
      <c r="O160" s="20"/>
    </row>
    <row r="161" ht="15" customHeight="1">
      <c r="A161" t="s">
        <v>559</v>
      </c>
      <c r="B161" t="s">
        <v>560</v>
      </c>
      <c r="C161" s="21" t="s">
        <v>227</v>
      </c>
      <c r="D161" t="s">
        <v>282</v>
      </c>
      <c r="E161" t="s">
        <v>283</v>
      </c>
      <c r="M161" s="19">
        <v>45960</v>
      </c>
      <c r="N161" s="20"/>
      <c r="O161" s="20"/>
    </row>
    <row r="162" ht="15" customHeight="1">
      <c r="A162" t="s">
        <v>561</v>
      </c>
      <c r="B162" t="s">
        <v>562</v>
      </c>
      <c r="C162" s="21" t="s">
        <v>227</v>
      </c>
      <c r="D162" t="s">
        <v>282</v>
      </c>
      <c r="E162" t="s">
        <v>283</v>
      </c>
      <c r="M162" s="19">
        <v>45960</v>
      </c>
      <c r="N162" s="20"/>
      <c r="O162" s="20"/>
    </row>
    <row r="163" ht="15" customHeight="1">
      <c r="A163" t="s">
        <v>563</v>
      </c>
      <c r="B163" t="s">
        <v>564</v>
      </c>
      <c r="C163" s="21" t="s">
        <v>227</v>
      </c>
      <c r="D163" t="s">
        <v>282</v>
      </c>
      <c r="E163" t="s">
        <v>283</v>
      </c>
      <c r="M163" s="19">
        <v>45960</v>
      </c>
      <c r="N163" s="20"/>
      <c r="O163" s="20"/>
    </row>
    <row r="164" ht="15" customHeight="1">
      <c r="A164" t="s">
        <v>565</v>
      </c>
      <c r="B164" t="s">
        <v>566</v>
      </c>
      <c r="C164" s="21" t="s">
        <v>227</v>
      </c>
      <c r="D164" t="s">
        <v>282</v>
      </c>
      <c r="E164" t="s">
        <v>283</v>
      </c>
      <c r="M164" s="19">
        <v>45960</v>
      </c>
      <c r="N164" s="20"/>
      <c r="O164" s="20"/>
    </row>
    <row r="165" ht="15" customHeight="1">
      <c r="A165" t="s">
        <v>567</v>
      </c>
      <c r="B165" t="s">
        <v>568</v>
      </c>
      <c r="C165" s="21" t="s">
        <v>227</v>
      </c>
      <c r="D165" t="s">
        <v>282</v>
      </c>
      <c r="E165" t="s">
        <v>283</v>
      </c>
      <c r="M165" s="19">
        <v>45960</v>
      </c>
      <c r="N165" s="20"/>
      <c r="O165" s="20"/>
    </row>
    <row r="166" ht="15" customHeight="1">
      <c r="A166" t="s">
        <v>569</v>
      </c>
      <c r="B166" t="s">
        <v>570</v>
      </c>
      <c r="C166" s="21" t="s">
        <v>227</v>
      </c>
      <c r="D166" t="s">
        <v>282</v>
      </c>
      <c r="E166" t="s">
        <v>283</v>
      </c>
      <c r="M166" s="19">
        <v>45960</v>
      </c>
      <c r="N166" s="20"/>
      <c r="O166" s="20"/>
    </row>
    <row r="167" ht="15" customHeight="1">
      <c r="A167" t="s">
        <v>571</v>
      </c>
      <c r="B167" t="s">
        <v>572</v>
      </c>
      <c r="C167" s="21" t="s">
        <v>227</v>
      </c>
      <c r="D167" t="s">
        <v>282</v>
      </c>
      <c r="E167" t="s">
        <v>283</v>
      </c>
      <c r="M167" s="19">
        <v>45960</v>
      </c>
      <c r="N167" s="20"/>
      <c r="O167" s="20"/>
    </row>
    <row r="168" ht="15" customHeight="1">
      <c r="A168" t="s">
        <v>573</v>
      </c>
      <c r="B168" t="s">
        <v>574</v>
      </c>
      <c r="C168" s="21" t="s">
        <v>227</v>
      </c>
      <c r="D168" t="s">
        <v>282</v>
      </c>
      <c r="E168" t="s">
        <v>283</v>
      </c>
      <c r="M168" s="19">
        <v>45960</v>
      </c>
      <c r="N168" s="20"/>
      <c r="O168" s="20"/>
    </row>
    <row r="169" ht="15" customHeight="1">
      <c r="A169" t="s">
        <v>575</v>
      </c>
      <c r="B169" t="s">
        <v>576</v>
      </c>
      <c r="C169" s="21" t="s">
        <v>227</v>
      </c>
      <c r="D169" t="s">
        <v>282</v>
      </c>
      <c r="E169" t="s">
        <v>283</v>
      </c>
      <c r="M169" s="19">
        <v>45960</v>
      </c>
      <c r="N169" s="20"/>
      <c r="O169" s="20"/>
    </row>
    <row r="170" ht="15" customHeight="1">
      <c r="A170" t="s">
        <v>577</v>
      </c>
      <c r="B170" t="s">
        <v>578</v>
      </c>
      <c r="C170" s="21" t="s">
        <v>227</v>
      </c>
      <c r="D170" t="s">
        <v>282</v>
      </c>
      <c r="E170" t="s">
        <v>283</v>
      </c>
      <c r="M170" s="19">
        <v>45960</v>
      </c>
      <c r="N170" s="20"/>
      <c r="O170" s="20"/>
    </row>
    <row r="171" ht="15" customHeight="1">
      <c r="A171" t="s">
        <v>579</v>
      </c>
      <c r="B171" t="s">
        <v>580</v>
      </c>
      <c r="C171" s="21" t="s">
        <v>227</v>
      </c>
      <c r="D171" t="s">
        <v>282</v>
      </c>
      <c r="E171" t="s">
        <v>283</v>
      </c>
      <c r="M171" s="19">
        <v>45960</v>
      </c>
      <c r="N171" s="20"/>
      <c r="O171" s="20"/>
    </row>
    <row r="172" ht="15" customHeight="1">
      <c r="A172" t="s">
        <v>581</v>
      </c>
      <c r="B172" t="s">
        <v>582</v>
      </c>
      <c r="C172" s="21" t="s">
        <v>227</v>
      </c>
      <c r="D172" t="s">
        <v>282</v>
      </c>
      <c r="E172" t="s">
        <v>283</v>
      </c>
      <c r="M172" s="19">
        <v>45960</v>
      </c>
      <c r="N172" s="20"/>
      <c r="O172" s="20"/>
    </row>
    <row r="173" ht="15" customHeight="1">
      <c r="A173" t="s">
        <v>583</v>
      </c>
      <c r="B173" t="s">
        <v>584</v>
      </c>
      <c r="C173" s="21" t="s">
        <v>227</v>
      </c>
      <c r="D173" t="s">
        <v>282</v>
      </c>
      <c r="E173" t="s">
        <v>283</v>
      </c>
      <c r="M173" s="19">
        <v>45960</v>
      </c>
      <c r="N173" s="20"/>
      <c r="O173" s="20"/>
    </row>
    <row r="174" ht="15" customHeight="1">
      <c r="A174" t="s">
        <v>585</v>
      </c>
      <c r="B174" t="s">
        <v>586</v>
      </c>
      <c r="C174" s="21" t="s">
        <v>227</v>
      </c>
      <c r="D174" t="s">
        <v>282</v>
      </c>
      <c r="E174" t="s">
        <v>283</v>
      </c>
      <c r="M174" s="19">
        <v>45960</v>
      </c>
      <c r="N174" s="20"/>
      <c r="O174" s="20"/>
    </row>
    <row r="175" ht="15" customHeight="1">
      <c r="A175" t="s">
        <v>587</v>
      </c>
      <c r="B175" t="s">
        <v>588</v>
      </c>
      <c r="C175" s="21" t="s">
        <v>227</v>
      </c>
      <c r="D175" t="s">
        <v>282</v>
      </c>
      <c r="E175" t="s">
        <v>283</v>
      </c>
      <c r="M175" s="19">
        <v>45960</v>
      </c>
      <c r="N175" s="20"/>
      <c r="O175" s="20"/>
    </row>
    <row r="176" ht="15" customHeight="1">
      <c r="A176" t="s">
        <v>589</v>
      </c>
      <c r="B176" t="s">
        <v>590</v>
      </c>
      <c r="C176" s="21" t="s">
        <v>227</v>
      </c>
      <c r="D176" t="s">
        <v>282</v>
      </c>
      <c r="E176" t="s">
        <v>283</v>
      </c>
      <c r="M176" s="19">
        <v>45960</v>
      </c>
      <c r="N176" s="20"/>
      <c r="O176" s="20"/>
    </row>
    <row r="177" ht="15" customHeight="1">
      <c r="A177" t="s">
        <v>591</v>
      </c>
      <c r="B177" t="s">
        <v>592</v>
      </c>
      <c r="C177" s="21" t="s">
        <v>227</v>
      </c>
      <c r="D177" t="s">
        <v>282</v>
      </c>
      <c r="E177" t="s">
        <v>283</v>
      </c>
      <c r="M177" s="19">
        <v>45960</v>
      </c>
      <c r="N177" s="20"/>
      <c r="O177" s="20"/>
    </row>
    <row r="178" ht="15" customHeight="1">
      <c r="A178" t="s">
        <v>593</v>
      </c>
      <c r="B178" t="s">
        <v>594</v>
      </c>
      <c r="C178" s="21" t="s">
        <v>227</v>
      </c>
      <c r="D178" t="s">
        <v>282</v>
      </c>
      <c r="E178" t="s">
        <v>283</v>
      </c>
      <c r="M178" s="19">
        <v>45960</v>
      </c>
      <c r="N178" s="20"/>
      <c r="O178" s="20"/>
    </row>
    <row r="179" ht="15" customHeight="1">
      <c r="A179" t="s">
        <v>595</v>
      </c>
      <c r="B179" t="s">
        <v>596</v>
      </c>
      <c r="C179" s="21" t="s">
        <v>227</v>
      </c>
      <c r="D179" t="s">
        <v>282</v>
      </c>
      <c r="E179" t="s">
        <v>283</v>
      </c>
      <c r="M179" s="19">
        <v>45960</v>
      </c>
      <c r="N179" s="20"/>
      <c r="O179" s="20"/>
    </row>
    <row r="180" ht="15" customHeight="1">
      <c r="A180" t="s">
        <v>597</v>
      </c>
      <c r="B180" t="s">
        <v>598</v>
      </c>
      <c r="C180" s="21" t="s">
        <v>227</v>
      </c>
      <c r="D180" t="s">
        <v>282</v>
      </c>
      <c r="E180" t="s">
        <v>283</v>
      </c>
      <c r="M180" s="19">
        <v>45960</v>
      </c>
      <c r="N180" s="20"/>
      <c r="O180" s="20"/>
    </row>
    <row r="181" ht="15" customHeight="1">
      <c r="A181" t="s">
        <v>599</v>
      </c>
      <c r="B181" t="s">
        <v>600</v>
      </c>
      <c r="C181" s="21" t="s">
        <v>227</v>
      </c>
      <c r="D181" t="s">
        <v>282</v>
      </c>
      <c r="E181" t="s">
        <v>283</v>
      </c>
      <c r="M181" s="19">
        <v>45960</v>
      </c>
      <c r="N181" s="20"/>
      <c r="O181" s="20"/>
    </row>
    <row r="182" ht="15" customHeight="1">
      <c r="A182" t="s">
        <v>601</v>
      </c>
      <c r="B182" t="s">
        <v>602</v>
      </c>
      <c r="C182" s="21" t="s">
        <v>227</v>
      </c>
      <c r="D182" t="s">
        <v>282</v>
      </c>
      <c r="E182" t="s">
        <v>283</v>
      </c>
      <c r="M182" s="19">
        <v>45960</v>
      </c>
      <c r="N182" s="20"/>
      <c r="O182" s="20"/>
    </row>
    <row r="183" ht="15" customHeight="1">
      <c r="A183" t="s">
        <v>603</v>
      </c>
      <c r="B183" t="s">
        <v>604</v>
      </c>
      <c r="C183" s="21" t="s">
        <v>227</v>
      </c>
      <c r="D183" t="s">
        <v>282</v>
      </c>
      <c r="E183" t="s">
        <v>283</v>
      </c>
      <c r="M183" s="19">
        <v>45960</v>
      </c>
      <c r="N183" s="20"/>
      <c r="O183" s="20"/>
    </row>
    <row r="184" ht="15" customHeight="1">
      <c r="A184" t="s">
        <v>605</v>
      </c>
      <c r="B184" t="s">
        <v>606</v>
      </c>
      <c r="C184" s="21" t="s">
        <v>227</v>
      </c>
      <c r="D184" t="s">
        <v>282</v>
      </c>
      <c r="E184" t="s">
        <v>283</v>
      </c>
      <c r="M184" s="19">
        <v>45960</v>
      </c>
      <c r="N184" s="20"/>
      <c r="O184" s="20"/>
    </row>
    <row r="185" ht="15" customHeight="1">
      <c r="A185" t="s">
        <v>607</v>
      </c>
      <c r="B185" t="s">
        <v>608</v>
      </c>
      <c r="C185" s="21" t="s">
        <v>227</v>
      </c>
      <c r="D185" t="s">
        <v>282</v>
      </c>
      <c r="E185" t="s">
        <v>283</v>
      </c>
      <c r="M185" s="19">
        <v>45960</v>
      </c>
      <c r="N185" s="20"/>
      <c r="O185" s="20"/>
    </row>
    <row r="186" ht="15" customHeight="1">
      <c r="A186" t="s">
        <v>609</v>
      </c>
      <c r="B186" t="s">
        <v>610</v>
      </c>
      <c r="C186" s="21" t="s">
        <v>227</v>
      </c>
      <c r="D186" t="s">
        <v>282</v>
      </c>
      <c r="E186" t="s">
        <v>283</v>
      </c>
      <c r="M186" s="19">
        <v>45960</v>
      </c>
      <c r="N186" s="20"/>
      <c r="O186" s="20"/>
    </row>
    <row r="187" ht="15" customHeight="1">
      <c r="A187" t="s">
        <v>611</v>
      </c>
      <c r="B187" t="s">
        <v>612</v>
      </c>
      <c r="C187" s="21" t="s">
        <v>227</v>
      </c>
      <c r="D187" t="s">
        <v>282</v>
      </c>
      <c r="E187" t="s">
        <v>283</v>
      </c>
      <c r="M187" s="19">
        <v>45960</v>
      </c>
      <c r="N187" s="20"/>
      <c r="O187" s="20"/>
    </row>
    <row r="188" ht="15" customHeight="1">
      <c r="A188" t="s">
        <v>613</v>
      </c>
      <c r="B188" t="s">
        <v>614</v>
      </c>
      <c r="C188" s="21" t="s">
        <v>227</v>
      </c>
      <c r="D188" t="s">
        <v>282</v>
      </c>
      <c r="E188" t="s">
        <v>283</v>
      </c>
      <c r="M188" s="19">
        <v>45960</v>
      </c>
      <c r="N188" s="20"/>
      <c r="O188" s="20"/>
    </row>
    <row r="189" ht="15" customHeight="1">
      <c r="A189" t="s">
        <v>615</v>
      </c>
      <c r="B189" t="s">
        <v>616</v>
      </c>
      <c r="C189" s="21" t="s">
        <v>227</v>
      </c>
      <c r="D189" t="s">
        <v>282</v>
      </c>
      <c r="E189" t="s">
        <v>283</v>
      </c>
      <c r="M189" s="19">
        <v>45960</v>
      </c>
      <c r="N189" s="20"/>
      <c r="O189" s="20"/>
    </row>
    <row r="190" ht="15" customHeight="1">
      <c r="A190" t="s">
        <v>617</v>
      </c>
      <c r="B190" t="s">
        <v>618</v>
      </c>
      <c r="C190" s="21" t="s">
        <v>227</v>
      </c>
      <c r="D190" t="s">
        <v>282</v>
      </c>
      <c r="E190" t="s">
        <v>283</v>
      </c>
      <c r="M190" s="19">
        <v>45960</v>
      </c>
      <c r="N190" s="20"/>
      <c r="O190" s="20"/>
    </row>
    <row r="191" ht="15" customHeight="1">
      <c r="A191" t="s">
        <v>619</v>
      </c>
      <c r="B191" t="s">
        <v>620</v>
      </c>
      <c r="C191" s="21" t="s">
        <v>227</v>
      </c>
      <c r="D191" t="s">
        <v>282</v>
      </c>
      <c r="E191" t="s">
        <v>283</v>
      </c>
      <c r="M191" s="19">
        <v>45960</v>
      </c>
      <c r="N191" s="20"/>
      <c r="O191" s="20"/>
    </row>
    <row r="192" ht="15" customHeight="1">
      <c r="A192" t="s">
        <v>621</v>
      </c>
      <c r="B192" t="s">
        <v>622</v>
      </c>
      <c r="C192" s="21" t="s">
        <v>227</v>
      </c>
      <c r="D192" t="s">
        <v>282</v>
      </c>
      <c r="E192" t="s">
        <v>283</v>
      </c>
      <c r="M192" s="19">
        <v>45960</v>
      </c>
      <c r="N192" s="20"/>
      <c r="O192" s="20"/>
    </row>
    <row r="193" ht="15" customHeight="1">
      <c r="A193" t="s">
        <v>623</v>
      </c>
      <c r="B193" t="s">
        <v>624</v>
      </c>
      <c r="C193" s="21" t="s">
        <v>227</v>
      </c>
      <c r="D193" t="s">
        <v>282</v>
      </c>
      <c r="E193" t="s">
        <v>283</v>
      </c>
      <c r="M193" s="19">
        <v>45960</v>
      </c>
      <c r="N193" s="20"/>
      <c r="O193" s="20"/>
    </row>
    <row r="194" ht="15" customHeight="1">
      <c r="A194" t="s">
        <v>625</v>
      </c>
      <c r="B194" t="s">
        <v>626</v>
      </c>
      <c r="C194" s="21" t="s">
        <v>227</v>
      </c>
      <c r="D194" t="s">
        <v>282</v>
      </c>
      <c r="E194" t="s">
        <v>283</v>
      </c>
      <c r="M194" s="19">
        <v>45960</v>
      </c>
      <c r="N194" s="20"/>
      <c r="O194" s="20"/>
    </row>
    <row r="195" ht="15" customHeight="1">
      <c r="A195" t="s">
        <v>627</v>
      </c>
      <c r="B195" t="s">
        <v>628</v>
      </c>
      <c r="C195" s="21" t="s">
        <v>227</v>
      </c>
      <c r="D195" t="s">
        <v>282</v>
      </c>
      <c r="E195" t="s">
        <v>283</v>
      </c>
      <c r="M195" s="19">
        <v>45960</v>
      </c>
      <c r="N195" s="20"/>
      <c r="O195" s="20"/>
    </row>
    <row r="196" ht="15" customHeight="1">
      <c r="A196" t="s">
        <v>629</v>
      </c>
      <c r="B196" t="s">
        <v>630</v>
      </c>
      <c r="C196" s="21" t="s">
        <v>227</v>
      </c>
      <c r="D196" t="s">
        <v>282</v>
      </c>
      <c r="E196" t="s">
        <v>283</v>
      </c>
      <c r="M196" s="19">
        <v>45960</v>
      </c>
      <c r="N196" s="20"/>
      <c r="O196" s="20"/>
    </row>
    <row r="197" ht="15" customHeight="1">
      <c r="A197" t="s">
        <v>631</v>
      </c>
      <c r="B197" t="s">
        <v>632</v>
      </c>
      <c r="C197" s="21" t="s">
        <v>227</v>
      </c>
      <c r="D197" t="s">
        <v>282</v>
      </c>
      <c r="E197" t="s">
        <v>283</v>
      </c>
      <c r="M197" s="19">
        <v>45960</v>
      </c>
      <c r="N197" s="20"/>
      <c r="O197" s="20"/>
    </row>
    <row r="198" ht="15" customHeight="1">
      <c r="A198" t="s">
        <v>633</v>
      </c>
      <c r="B198" t="s">
        <v>634</v>
      </c>
      <c r="C198" s="21" t="s">
        <v>227</v>
      </c>
      <c r="D198" t="s">
        <v>282</v>
      </c>
      <c r="E198" t="s">
        <v>283</v>
      </c>
      <c r="M198" s="19">
        <v>45960</v>
      </c>
      <c r="N198" s="20"/>
      <c r="O198" s="20"/>
    </row>
    <row r="199" ht="15" customHeight="1">
      <c r="A199" t="s">
        <v>635</v>
      </c>
      <c r="B199" t="s">
        <v>636</v>
      </c>
      <c r="C199" s="21" t="s">
        <v>227</v>
      </c>
      <c r="D199" t="s">
        <v>282</v>
      </c>
      <c r="E199" t="s">
        <v>283</v>
      </c>
      <c r="M199" s="19">
        <v>45960</v>
      </c>
      <c r="N199" s="20"/>
      <c r="O199" s="20"/>
    </row>
    <row r="200" ht="15" customHeight="1">
      <c r="A200" t="s">
        <v>637</v>
      </c>
      <c r="B200" t="s">
        <v>638</v>
      </c>
      <c r="C200" s="21" t="s">
        <v>227</v>
      </c>
      <c r="D200" t="s">
        <v>282</v>
      </c>
      <c r="E200" t="s">
        <v>283</v>
      </c>
      <c r="M200" s="19">
        <v>45960</v>
      </c>
      <c r="N200" s="20"/>
      <c r="O200" s="20"/>
    </row>
    <row r="201" ht="15" customHeight="1">
      <c r="A201" t="s">
        <v>639</v>
      </c>
      <c r="B201" t="s">
        <v>640</v>
      </c>
      <c r="C201" s="21" t="s">
        <v>227</v>
      </c>
      <c r="D201" t="s">
        <v>282</v>
      </c>
      <c r="E201" t="s">
        <v>283</v>
      </c>
      <c r="M201" s="19">
        <v>45960</v>
      </c>
      <c r="N201" s="20"/>
      <c r="O201" s="20"/>
    </row>
    <row r="202" ht="15" customHeight="1">
      <c r="A202" t="s">
        <v>641</v>
      </c>
      <c r="B202" t="s">
        <v>642</v>
      </c>
      <c r="C202" s="21" t="s">
        <v>227</v>
      </c>
      <c r="D202" t="s">
        <v>282</v>
      </c>
      <c r="E202" t="s">
        <v>283</v>
      </c>
      <c r="M202" s="19">
        <v>45960</v>
      </c>
      <c r="N202" s="20"/>
      <c r="O202" s="20"/>
    </row>
    <row r="203" ht="15" customHeight="1">
      <c r="A203" t="s">
        <v>643</v>
      </c>
      <c r="B203" t="s">
        <v>644</v>
      </c>
      <c r="C203" s="21" t="s">
        <v>227</v>
      </c>
      <c r="D203" t="s">
        <v>282</v>
      </c>
      <c r="E203" t="s">
        <v>283</v>
      </c>
      <c r="M203" s="19">
        <v>45960</v>
      </c>
      <c r="N203" s="20"/>
      <c r="O203" s="20"/>
    </row>
    <row r="204" ht="15" customHeight="1">
      <c r="A204" t="s">
        <v>645</v>
      </c>
      <c r="B204" t="s">
        <v>646</v>
      </c>
      <c r="C204" s="21" t="s">
        <v>227</v>
      </c>
      <c r="D204" t="s">
        <v>282</v>
      </c>
      <c r="E204" t="s">
        <v>283</v>
      </c>
      <c r="M204" s="19">
        <v>45960</v>
      </c>
      <c r="N204" s="20"/>
      <c r="O204" s="20"/>
    </row>
    <row r="205" ht="15" customHeight="1">
      <c r="A205" t="s">
        <v>647</v>
      </c>
      <c r="B205" t="s">
        <v>648</v>
      </c>
      <c r="C205" s="21" t="s">
        <v>227</v>
      </c>
      <c r="D205" t="s">
        <v>282</v>
      </c>
      <c r="E205" t="s">
        <v>283</v>
      </c>
      <c r="M205" s="19">
        <v>45960</v>
      </c>
      <c r="N205" s="20"/>
      <c r="O205" s="20"/>
    </row>
    <row r="206" ht="15" customHeight="1">
      <c r="A206" t="s">
        <v>649</v>
      </c>
      <c r="B206" t="s">
        <v>650</v>
      </c>
      <c r="C206" s="21" t="s">
        <v>227</v>
      </c>
      <c r="D206" t="s">
        <v>282</v>
      </c>
      <c r="E206" t="s">
        <v>283</v>
      </c>
      <c r="M206" s="19">
        <v>45960</v>
      </c>
      <c r="N206" s="20"/>
      <c r="O206" s="20"/>
    </row>
    <row r="207" ht="15" customHeight="1">
      <c r="A207" t="s">
        <v>651</v>
      </c>
      <c r="B207" t="s">
        <v>652</v>
      </c>
      <c r="C207" s="21" t="s">
        <v>227</v>
      </c>
      <c r="D207" t="s">
        <v>282</v>
      </c>
      <c r="E207" t="s">
        <v>283</v>
      </c>
      <c r="M207" s="19">
        <v>45960</v>
      </c>
      <c r="N207" s="20"/>
      <c r="O207" s="20"/>
    </row>
    <row r="208" ht="15" customHeight="1">
      <c r="A208" t="s">
        <v>653</v>
      </c>
      <c r="B208" t="s">
        <v>654</v>
      </c>
      <c r="C208" s="21" t="s">
        <v>227</v>
      </c>
      <c r="D208" t="s">
        <v>282</v>
      </c>
      <c r="E208" t="s">
        <v>283</v>
      </c>
      <c r="M208" s="19">
        <v>45960</v>
      </c>
      <c r="N208" s="20"/>
      <c r="O208" s="20"/>
    </row>
    <row r="209" ht="15" customHeight="1">
      <c r="A209" t="s">
        <v>655</v>
      </c>
      <c r="B209" t="s">
        <v>656</v>
      </c>
      <c r="C209" s="21" t="s">
        <v>227</v>
      </c>
      <c r="D209" t="s">
        <v>282</v>
      </c>
      <c r="E209" t="s">
        <v>283</v>
      </c>
      <c r="M209" s="19">
        <v>45960</v>
      </c>
      <c r="N209" s="20"/>
      <c r="O209" s="20"/>
    </row>
    <row r="210" ht="15" customHeight="1">
      <c r="A210" t="s">
        <v>657</v>
      </c>
      <c r="B210" t="s">
        <v>658</v>
      </c>
      <c r="C210" s="21" t="s">
        <v>227</v>
      </c>
      <c r="D210" t="s">
        <v>282</v>
      </c>
      <c r="E210" t="s">
        <v>283</v>
      </c>
      <c r="M210" s="19">
        <v>45960</v>
      </c>
      <c r="N210" s="20"/>
      <c r="O210" s="20"/>
    </row>
    <row r="211" ht="15" customHeight="1">
      <c r="A211" t="s">
        <v>659</v>
      </c>
      <c r="B211" t="s">
        <v>660</v>
      </c>
      <c r="C211" s="21" t="s">
        <v>227</v>
      </c>
      <c r="D211" t="s">
        <v>282</v>
      </c>
      <c r="E211" t="s">
        <v>283</v>
      </c>
      <c r="M211" s="19">
        <v>45960</v>
      </c>
      <c r="N211" s="20"/>
      <c r="O211" s="20"/>
    </row>
    <row r="212" ht="15" customHeight="1">
      <c r="A212" t="s">
        <v>661</v>
      </c>
      <c r="B212" t="s">
        <v>662</v>
      </c>
      <c r="C212" s="21" t="s">
        <v>227</v>
      </c>
      <c r="D212" t="s">
        <v>282</v>
      </c>
      <c r="E212" t="s">
        <v>283</v>
      </c>
      <c r="M212" s="19">
        <v>45960</v>
      </c>
      <c r="N212" s="20"/>
      <c r="O212" s="20"/>
    </row>
    <row r="213" ht="15" customHeight="1">
      <c r="A213" t="s">
        <v>663</v>
      </c>
      <c r="B213" t="s">
        <v>664</v>
      </c>
      <c r="C213" s="21" t="s">
        <v>227</v>
      </c>
      <c r="D213" t="s">
        <v>282</v>
      </c>
      <c r="E213" t="s">
        <v>283</v>
      </c>
      <c r="M213" s="19">
        <v>45960</v>
      </c>
      <c r="N213" s="20"/>
      <c r="O213" s="20"/>
    </row>
    <row r="214" ht="15" customHeight="1">
      <c r="A214" t="s">
        <v>665</v>
      </c>
      <c r="B214" t="s">
        <v>666</v>
      </c>
      <c r="C214" s="21" t="s">
        <v>227</v>
      </c>
      <c r="D214" t="s">
        <v>282</v>
      </c>
      <c r="E214" t="s">
        <v>283</v>
      </c>
      <c r="M214" s="19">
        <v>45960</v>
      </c>
      <c r="N214" s="20"/>
      <c r="O214" s="20"/>
    </row>
    <row r="215" ht="15" customHeight="1">
      <c r="A215" t="s">
        <v>667</v>
      </c>
      <c r="B215" t="s">
        <v>668</v>
      </c>
      <c r="C215" s="21" t="s">
        <v>227</v>
      </c>
      <c r="D215" t="s">
        <v>282</v>
      </c>
      <c r="E215" t="s">
        <v>283</v>
      </c>
      <c r="M215" s="19">
        <v>45960</v>
      </c>
      <c r="N215" s="20"/>
      <c r="O215" s="20"/>
    </row>
    <row r="216" ht="15" customHeight="1">
      <c r="A216" t="s">
        <v>669</v>
      </c>
      <c r="B216" t="s">
        <v>670</v>
      </c>
      <c r="C216" s="21" t="s">
        <v>227</v>
      </c>
      <c r="D216" t="s">
        <v>282</v>
      </c>
      <c r="E216" t="s">
        <v>283</v>
      </c>
      <c r="M216" s="19">
        <v>45960</v>
      </c>
      <c r="N216" s="20"/>
      <c r="O216" s="20"/>
    </row>
    <row r="217" ht="15" customHeight="1">
      <c r="A217" t="s">
        <v>671</v>
      </c>
      <c r="B217" t="s">
        <v>672</v>
      </c>
      <c r="C217" s="21" t="s">
        <v>227</v>
      </c>
      <c r="D217" t="s">
        <v>282</v>
      </c>
      <c r="E217" t="s">
        <v>283</v>
      </c>
      <c r="M217" s="19">
        <v>45960</v>
      </c>
      <c r="N217" s="20"/>
      <c r="O217" s="20"/>
    </row>
    <row r="218" ht="15" customHeight="1">
      <c r="A218" t="s">
        <v>673</v>
      </c>
      <c r="B218" t="s">
        <v>674</v>
      </c>
      <c r="C218" s="21" t="s">
        <v>227</v>
      </c>
      <c r="D218" t="s">
        <v>282</v>
      </c>
      <c r="E218" t="s">
        <v>283</v>
      </c>
      <c r="M218" s="19">
        <v>45960</v>
      </c>
      <c r="N218" s="20"/>
      <c r="O218" s="20"/>
    </row>
    <row r="219" ht="15" customHeight="1">
      <c r="A219" t="s">
        <v>675</v>
      </c>
      <c r="B219" t="s">
        <v>676</v>
      </c>
      <c r="C219" s="21" t="s">
        <v>227</v>
      </c>
      <c r="D219" t="s">
        <v>282</v>
      </c>
      <c r="E219" t="s">
        <v>283</v>
      </c>
      <c r="M219" s="19">
        <v>45960</v>
      </c>
      <c r="N219" s="20"/>
      <c r="O219" s="20"/>
    </row>
    <row r="220" ht="15" customHeight="1">
      <c r="A220" t="s">
        <v>677</v>
      </c>
      <c r="B220" t="s">
        <v>678</v>
      </c>
      <c r="C220" s="21" t="s">
        <v>227</v>
      </c>
      <c r="D220" t="s">
        <v>282</v>
      </c>
      <c r="E220" t="s">
        <v>283</v>
      </c>
      <c r="M220" s="19">
        <v>45960</v>
      </c>
      <c r="N220" s="20"/>
      <c r="O220" s="20"/>
    </row>
    <row r="221" ht="15" customHeight="1">
      <c r="A221" t="s">
        <v>679</v>
      </c>
      <c r="B221" t="s">
        <v>680</v>
      </c>
      <c r="C221" s="21" t="s">
        <v>227</v>
      </c>
      <c r="D221" t="s">
        <v>282</v>
      </c>
      <c r="E221" t="s">
        <v>283</v>
      </c>
      <c r="M221" s="19">
        <v>45960</v>
      </c>
      <c r="N221" s="20"/>
      <c r="O221" s="20"/>
    </row>
    <row r="222" ht="15" customHeight="1">
      <c r="A222" t="s">
        <v>681</v>
      </c>
      <c r="B222" t="s">
        <v>682</v>
      </c>
      <c r="C222" s="21" t="s">
        <v>227</v>
      </c>
      <c r="D222" t="s">
        <v>282</v>
      </c>
      <c r="E222" t="s">
        <v>283</v>
      </c>
      <c r="M222" s="19">
        <v>45960</v>
      </c>
      <c r="N222" s="20"/>
      <c r="O222" s="20"/>
    </row>
    <row r="223" ht="15" customHeight="1">
      <c r="A223" t="s">
        <v>683</v>
      </c>
      <c r="B223" t="s">
        <v>684</v>
      </c>
      <c r="C223" s="21" t="s">
        <v>227</v>
      </c>
      <c r="D223" t="s">
        <v>282</v>
      </c>
      <c r="E223" t="s">
        <v>283</v>
      </c>
      <c r="M223" s="19">
        <v>45960</v>
      </c>
      <c r="N223" s="20"/>
      <c r="O223" s="20"/>
    </row>
    <row r="224" ht="15" customHeight="1">
      <c r="A224" t="s">
        <v>685</v>
      </c>
      <c r="B224" t="s">
        <v>686</v>
      </c>
      <c r="C224" s="21" t="s">
        <v>227</v>
      </c>
      <c r="D224" t="s">
        <v>282</v>
      </c>
      <c r="E224" t="s">
        <v>283</v>
      </c>
      <c r="M224" s="19">
        <v>45960</v>
      </c>
      <c r="N224" s="20"/>
      <c r="O224" s="20"/>
    </row>
    <row r="225" ht="15" customHeight="1">
      <c r="A225" t="s">
        <v>687</v>
      </c>
      <c r="B225" t="s">
        <v>688</v>
      </c>
      <c r="C225" s="21" t="s">
        <v>227</v>
      </c>
      <c r="D225" t="s">
        <v>282</v>
      </c>
      <c r="E225" t="s">
        <v>283</v>
      </c>
      <c r="M225" s="19">
        <v>45960</v>
      </c>
      <c r="N225" s="20"/>
      <c r="O225" s="20"/>
    </row>
    <row r="226" ht="15" customHeight="1">
      <c r="A226" t="s">
        <v>689</v>
      </c>
      <c r="B226" t="s">
        <v>690</v>
      </c>
      <c r="C226" s="21" t="s">
        <v>227</v>
      </c>
      <c r="D226" t="s">
        <v>282</v>
      </c>
      <c r="E226" t="s">
        <v>283</v>
      </c>
      <c r="M226" s="19">
        <v>45960</v>
      </c>
      <c r="N226" s="20"/>
      <c r="O226" s="20"/>
    </row>
    <row r="227" ht="15" customHeight="1">
      <c r="A227" t="s">
        <v>691</v>
      </c>
      <c r="B227" t="s">
        <v>692</v>
      </c>
      <c r="C227" s="21" t="s">
        <v>227</v>
      </c>
      <c r="D227" t="s">
        <v>282</v>
      </c>
      <c r="E227" t="s">
        <v>283</v>
      </c>
      <c r="M227" s="19">
        <v>45960</v>
      </c>
      <c r="N227" s="20"/>
      <c r="O227" s="20"/>
    </row>
    <row r="228" ht="15" customHeight="1">
      <c r="A228" t="s">
        <v>693</v>
      </c>
      <c r="B228" t="s">
        <v>694</v>
      </c>
      <c r="C228" s="21" t="s">
        <v>227</v>
      </c>
      <c r="D228" t="s">
        <v>282</v>
      </c>
      <c r="E228" t="s">
        <v>283</v>
      </c>
      <c r="M228" s="19">
        <v>45960</v>
      </c>
      <c r="N228" s="20"/>
      <c r="O228" s="20"/>
    </row>
    <row r="229" ht="15" customHeight="1">
      <c r="A229" t="s">
        <v>695</v>
      </c>
      <c r="B229" t="s">
        <v>696</v>
      </c>
      <c r="C229" s="21" t="s">
        <v>227</v>
      </c>
      <c r="D229" t="s">
        <v>282</v>
      </c>
      <c r="E229" t="s">
        <v>283</v>
      </c>
      <c r="M229" s="19">
        <v>45960</v>
      </c>
      <c r="N229" s="20"/>
      <c r="O229" s="20"/>
    </row>
    <row r="230" ht="15" customHeight="1">
      <c r="A230" t="s">
        <v>697</v>
      </c>
      <c r="B230" t="s">
        <v>698</v>
      </c>
      <c r="C230" s="21" t="s">
        <v>227</v>
      </c>
      <c r="D230" t="s">
        <v>282</v>
      </c>
      <c r="E230" t="s">
        <v>283</v>
      </c>
      <c r="M230" s="19">
        <v>45960</v>
      </c>
      <c r="N230" s="20"/>
      <c r="O230" s="20"/>
    </row>
    <row r="231" ht="15" customHeight="1">
      <c r="A231" t="s">
        <v>699</v>
      </c>
      <c r="B231" t="s">
        <v>700</v>
      </c>
      <c r="C231" s="21" t="s">
        <v>227</v>
      </c>
      <c r="D231" t="s">
        <v>282</v>
      </c>
      <c r="E231" t="s">
        <v>283</v>
      </c>
      <c r="M231" s="19">
        <v>45960</v>
      </c>
      <c r="N231" s="20"/>
      <c r="O231" s="20"/>
    </row>
    <row r="232" ht="15" customHeight="1">
      <c r="A232" t="s">
        <v>701</v>
      </c>
      <c r="B232" t="s">
        <v>702</v>
      </c>
      <c r="C232" s="21" t="s">
        <v>227</v>
      </c>
      <c r="D232" t="s">
        <v>282</v>
      </c>
      <c r="E232" t="s">
        <v>283</v>
      </c>
      <c r="M232" s="19">
        <v>45960</v>
      </c>
      <c r="N232" s="20"/>
      <c r="O232" s="20"/>
    </row>
    <row r="233" ht="15" customHeight="1">
      <c r="A233" t="s">
        <v>703</v>
      </c>
      <c r="B233" t="s">
        <v>704</v>
      </c>
      <c r="C233" s="21" t="s">
        <v>227</v>
      </c>
      <c r="D233" t="s">
        <v>282</v>
      </c>
      <c r="E233" t="s">
        <v>283</v>
      </c>
      <c r="M233" s="19">
        <v>45960</v>
      </c>
      <c r="N233" s="20"/>
      <c r="O233" s="20"/>
    </row>
    <row r="234" ht="15" customHeight="1">
      <c r="A234" t="s">
        <v>705</v>
      </c>
      <c r="B234" t="s">
        <v>706</v>
      </c>
      <c r="C234" s="21" t="s">
        <v>227</v>
      </c>
      <c r="D234" t="s">
        <v>282</v>
      </c>
      <c r="E234" t="s">
        <v>283</v>
      </c>
      <c r="M234" s="19">
        <v>45960</v>
      </c>
      <c r="N234" s="20"/>
      <c r="O234" s="20"/>
    </row>
    <row r="235" ht="15" customHeight="1">
      <c r="A235" t="s">
        <v>707</v>
      </c>
      <c r="B235" t="s">
        <v>708</v>
      </c>
      <c r="C235" s="21" t="s">
        <v>227</v>
      </c>
      <c r="D235" t="s">
        <v>282</v>
      </c>
      <c r="E235" t="s">
        <v>283</v>
      </c>
      <c r="M235" s="19">
        <v>45960</v>
      </c>
      <c r="N235" s="20"/>
      <c r="O235" s="20"/>
    </row>
    <row r="236" ht="15" customHeight="1">
      <c r="A236" t="s">
        <v>709</v>
      </c>
      <c r="B236" t="s">
        <v>710</v>
      </c>
      <c r="C236" s="21" t="s">
        <v>227</v>
      </c>
      <c r="D236" t="s">
        <v>282</v>
      </c>
      <c r="E236" t="s">
        <v>283</v>
      </c>
      <c r="M236" s="19">
        <v>45960</v>
      </c>
      <c r="N236" s="20"/>
      <c r="O236" s="20"/>
    </row>
    <row r="237" ht="15" customHeight="1">
      <c r="A237" t="s">
        <v>711</v>
      </c>
      <c r="B237" t="s">
        <v>712</v>
      </c>
      <c r="C237" s="21" t="s">
        <v>227</v>
      </c>
      <c r="D237" t="s">
        <v>282</v>
      </c>
      <c r="E237" t="s">
        <v>283</v>
      </c>
      <c r="M237" s="19">
        <v>45960</v>
      </c>
      <c r="N237" s="20"/>
      <c r="O237" s="20"/>
    </row>
    <row r="238" ht="15" customHeight="1">
      <c r="A238" t="s">
        <v>713</v>
      </c>
      <c r="B238" t="s">
        <v>714</v>
      </c>
      <c r="C238" s="21" t="s">
        <v>227</v>
      </c>
      <c r="D238" t="s">
        <v>282</v>
      </c>
      <c r="E238" t="s">
        <v>283</v>
      </c>
      <c r="M238" s="19">
        <v>45960</v>
      </c>
      <c r="N238" s="20"/>
      <c r="O238" s="20"/>
    </row>
    <row r="239" ht="15" customHeight="1">
      <c r="A239" t="s">
        <v>715</v>
      </c>
      <c r="B239" t="s">
        <v>716</v>
      </c>
      <c r="C239" s="21" t="s">
        <v>227</v>
      </c>
      <c r="D239" t="s">
        <v>282</v>
      </c>
      <c r="E239" t="s">
        <v>283</v>
      </c>
      <c r="M239" s="19">
        <v>45960</v>
      </c>
      <c r="N239" s="20"/>
      <c r="O239" s="20"/>
    </row>
    <row r="240" ht="15" customHeight="1">
      <c r="A240" t="s">
        <v>717</v>
      </c>
      <c r="B240" t="s">
        <v>718</v>
      </c>
      <c r="C240" s="21" t="s">
        <v>227</v>
      </c>
      <c r="D240" t="s">
        <v>282</v>
      </c>
      <c r="E240" t="s">
        <v>283</v>
      </c>
      <c r="M240" s="19">
        <v>45960</v>
      </c>
      <c r="N240" s="20"/>
      <c r="O240" s="20"/>
    </row>
    <row r="241" ht="15" customHeight="1">
      <c r="A241" t="s">
        <v>719</v>
      </c>
      <c r="B241" t="s">
        <v>720</v>
      </c>
      <c r="C241" s="21" t="s">
        <v>227</v>
      </c>
      <c r="D241" t="s">
        <v>282</v>
      </c>
      <c r="E241" t="s">
        <v>283</v>
      </c>
      <c r="M241" s="19">
        <v>45960</v>
      </c>
      <c r="N241" s="20"/>
      <c r="O241" s="20"/>
    </row>
    <row r="242" ht="15" customHeight="1">
      <c r="A242" t="s">
        <v>721</v>
      </c>
      <c r="B242" t="s">
        <v>722</v>
      </c>
      <c r="C242" s="21" t="s">
        <v>227</v>
      </c>
      <c r="D242" t="s">
        <v>282</v>
      </c>
      <c r="E242" t="s">
        <v>283</v>
      </c>
      <c r="M242" s="19">
        <v>45960</v>
      </c>
      <c r="N242" s="20"/>
      <c r="O242" s="20"/>
    </row>
    <row r="243" ht="15" customHeight="1">
      <c r="A243" t="s">
        <v>723</v>
      </c>
      <c r="B243" t="s">
        <v>724</v>
      </c>
      <c r="C243" s="21" t="s">
        <v>227</v>
      </c>
      <c r="D243" t="s">
        <v>282</v>
      </c>
      <c r="E243" t="s">
        <v>283</v>
      </c>
      <c r="M243" s="19">
        <v>45960</v>
      </c>
      <c r="N243" s="20"/>
      <c r="O243" s="20"/>
    </row>
    <row r="244" ht="15" customHeight="1">
      <c r="A244" t="s">
        <v>725</v>
      </c>
      <c r="B244" t="s">
        <v>726</v>
      </c>
      <c r="C244" s="21" t="s">
        <v>227</v>
      </c>
      <c r="D244" t="s">
        <v>282</v>
      </c>
      <c r="E244" t="s">
        <v>283</v>
      </c>
      <c r="M244" s="19">
        <v>45960</v>
      </c>
      <c r="N244" s="20"/>
      <c r="O244" s="20"/>
    </row>
    <row r="245" ht="15" customHeight="1">
      <c r="A245" t="s">
        <v>727</v>
      </c>
      <c r="B245" t="s">
        <v>728</v>
      </c>
      <c r="C245" s="21" t="s">
        <v>227</v>
      </c>
      <c r="D245" t="s">
        <v>282</v>
      </c>
      <c r="E245" t="s">
        <v>283</v>
      </c>
      <c r="M245" s="19">
        <v>45960</v>
      </c>
      <c r="N245" s="20"/>
      <c r="O245" s="20"/>
    </row>
    <row r="246" ht="15" customHeight="1">
      <c r="A246" t="s">
        <v>729</v>
      </c>
      <c r="B246" t="s">
        <v>730</v>
      </c>
      <c r="C246" s="21" t="s">
        <v>227</v>
      </c>
      <c r="D246" t="s">
        <v>282</v>
      </c>
      <c r="E246" t="s">
        <v>283</v>
      </c>
      <c r="M246" s="19">
        <v>45960</v>
      </c>
      <c r="N246" s="20"/>
      <c r="O246" s="20"/>
    </row>
    <row r="247" ht="15" customHeight="1">
      <c r="A247" t="s">
        <v>731</v>
      </c>
      <c r="B247" t="s">
        <v>732</v>
      </c>
      <c r="C247" s="21" t="s">
        <v>227</v>
      </c>
      <c r="D247" t="s">
        <v>282</v>
      </c>
      <c r="E247" t="s">
        <v>283</v>
      </c>
      <c r="M247" s="19">
        <v>45960</v>
      </c>
      <c r="N247" s="20"/>
      <c r="O247" s="20"/>
    </row>
    <row r="248" ht="15" customHeight="1">
      <c r="A248" t="s">
        <v>733</v>
      </c>
      <c r="B248" t="s">
        <v>734</v>
      </c>
      <c r="C248" s="21" t="s">
        <v>227</v>
      </c>
      <c r="D248" t="s">
        <v>282</v>
      </c>
      <c r="E248" t="s">
        <v>283</v>
      </c>
      <c r="M248" s="19">
        <v>45960</v>
      </c>
      <c r="N248" s="20"/>
      <c r="O248" s="20"/>
    </row>
    <row r="249" ht="15" customHeight="1">
      <c r="A249" t="s">
        <v>735</v>
      </c>
      <c r="B249" t="s">
        <v>736</v>
      </c>
      <c r="C249" s="21" t="s">
        <v>227</v>
      </c>
      <c r="D249" t="s">
        <v>282</v>
      </c>
      <c r="E249" t="s">
        <v>283</v>
      </c>
      <c r="M249" s="19">
        <v>45960</v>
      </c>
      <c r="N249" s="20"/>
      <c r="O249" s="20"/>
    </row>
    <row r="250" ht="15" customHeight="1">
      <c r="A250" t="s">
        <v>737</v>
      </c>
      <c r="B250" t="s">
        <v>738</v>
      </c>
      <c r="C250" s="21" t="s">
        <v>227</v>
      </c>
      <c r="D250" t="s">
        <v>282</v>
      </c>
      <c r="E250" t="s">
        <v>283</v>
      </c>
      <c r="M250" s="19">
        <v>45960</v>
      </c>
      <c r="N250" s="20"/>
      <c r="O250" s="20"/>
    </row>
    <row r="251" ht="15" customHeight="1">
      <c r="A251" t="s">
        <v>739</v>
      </c>
      <c r="B251" t="s">
        <v>740</v>
      </c>
      <c r="C251" s="21" t="s">
        <v>227</v>
      </c>
      <c r="D251" t="s">
        <v>282</v>
      </c>
      <c r="E251" t="s">
        <v>283</v>
      </c>
      <c r="M251" s="19">
        <v>45960</v>
      </c>
      <c r="N251" s="20"/>
      <c r="O251" s="20"/>
    </row>
    <row r="252" ht="15" customHeight="1">
      <c r="A252" t="s">
        <v>741</v>
      </c>
      <c r="B252" t="s">
        <v>742</v>
      </c>
      <c r="C252" s="21" t="s">
        <v>227</v>
      </c>
      <c r="D252" t="s">
        <v>282</v>
      </c>
      <c r="E252" t="s">
        <v>283</v>
      </c>
      <c r="M252" s="19">
        <v>45960</v>
      </c>
      <c r="N252" s="20"/>
      <c r="O252" s="20"/>
    </row>
    <row r="253" ht="15" customHeight="1">
      <c r="A253" t="s">
        <v>743</v>
      </c>
      <c r="B253" t="s">
        <v>744</v>
      </c>
      <c r="C253" s="21" t="s">
        <v>227</v>
      </c>
      <c r="D253" t="s">
        <v>282</v>
      </c>
      <c r="E253" t="s">
        <v>283</v>
      </c>
      <c r="M253" s="19">
        <v>45960</v>
      </c>
      <c r="N253" s="20"/>
      <c r="O253" s="20"/>
    </row>
    <row r="254" ht="15" customHeight="1">
      <c r="A254" t="s">
        <v>745</v>
      </c>
      <c r="B254" t="s">
        <v>746</v>
      </c>
      <c r="C254" s="21" t="s">
        <v>227</v>
      </c>
      <c r="D254" t="s">
        <v>282</v>
      </c>
      <c r="E254" t="s">
        <v>283</v>
      </c>
      <c r="M254" s="19">
        <v>45960</v>
      </c>
      <c r="N254" s="20"/>
      <c r="O254" s="20"/>
    </row>
    <row r="255" ht="15" customHeight="1">
      <c r="A255" t="s">
        <v>747</v>
      </c>
      <c r="B255" t="s">
        <v>748</v>
      </c>
      <c r="C255" s="21" t="s">
        <v>227</v>
      </c>
      <c r="D255" t="s">
        <v>282</v>
      </c>
      <c r="E255" t="s">
        <v>283</v>
      </c>
      <c r="M255" s="19">
        <v>45960</v>
      </c>
      <c r="N255" s="20"/>
      <c r="O255" s="20"/>
    </row>
    <row r="256" ht="15" customHeight="1">
      <c r="A256" t="s">
        <v>749</v>
      </c>
      <c r="B256" t="s">
        <v>750</v>
      </c>
      <c r="C256" s="21" t="s">
        <v>227</v>
      </c>
      <c r="D256" t="s">
        <v>282</v>
      </c>
      <c r="E256" t="s">
        <v>283</v>
      </c>
      <c r="M256" s="19">
        <v>45960</v>
      </c>
      <c r="N256" s="20"/>
      <c r="O256" s="20"/>
    </row>
    <row r="257" ht="15" customHeight="1">
      <c r="A257" t="s">
        <v>751</v>
      </c>
      <c r="B257" t="s">
        <v>752</v>
      </c>
      <c r="C257" s="21" t="s">
        <v>227</v>
      </c>
      <c r="D257" t="s">
        <v>282</v>
      </c>
      <c r="E257" t="s">
        <v>283</v>
      </c>
      <c r="M257" s="19">
        <v>45960</v>
      </c>
      <c r="N257" s="20"/>
      <c r="O257" s="20"/>
    </row>
    <row r="258" ht="15" customHeight="1">
      <c r="A258" t="s">
        <v>753</v>
      </c>
      <c r="B258" t="s">
        <v>754</v>
      </c>
      <c r="C258" s="21" t="s">
        <v>227</v>
      </c>
      <c r="D258" t="s">
        <v>282</v>
      </c>
      <c r="E258" t="s">
        <v>283</v>
      </c>
      <c r="M258" s="19">
        <v>45960</v>
      </c>
      <c r="N258" s="20"/>
      <c r="O258" s="20"/>
    </row>
    <row r="259" ht="15" customHeight="1">
      <c r="A259" t="s">
        <v>755</v>
      </c>
      <c r="B259" t="s">
        <v>756</v>
      </c>
      <c r="C259" s="21" t="s">
        <v>227</v>
      </c>
      <c r="D259" t="s">
        <v>282</v>
      </c>
      <c r="E259" t="s">
        <v>283</v>
      </c>
      <c r="M259" s="19">
        <v>45960</v>
      </c>
      <c r="N259" s="20"/>
      <c r="O259" s="20"/>
    </row>
    <row r="260" ht="15" customHeight="1">
      <c r="A260" t="s">
        <v>757</v>
      </c>
      <c r="B260" t="s">
        <v>758</v>
      </c>
      <c r="C260" s="21" t="s">
        <v>227</v>
      </c>
      <c r="D260" t="s">
        <v>282</v>
      </c>
      <c r="E260" t="s">
        <v>283</v>
      </c>
      <c r="M260" s="19">
        <v>45960</v>
      </c>
      <c r="N260" s="20"/>
      <c r="O260" s="20"/>
    </row>
    <row r="261" ht="15" customHeight="1">
      <c r="A261" t="s">
        <v>759</v>
      </c>
      <c r="B261" t="s">
        <v>760</v>
      </c>
      <c r="C261" s="21" t="s">
        <v>227</v>
      </c>
      <c r="D261" t="s">
        <v>282</v>
      </c>
      <c r="E261" t="s">
        <v>283</v>
      </c>
      <c r="M261" s="19">
        <v>45960</v>
      </c>
      <c r="N261" s="20"/>
      <c r="O261" s="20"/>
    </row>
    <row r="262" ht="15" customHeight="1">
      <c r="A262" t="s">
        <v>761</v>
      </c>
      <c r="B262" t="s">
        <v>762</v>
      </c>
      <c r="C262" s="21" t="s">
        <v>227</v>
      </c>
      <c r="D262" t="s">
        <v>282</v>
      </c>
      <c r="E262" t="s">
        <v>283</v>
      </c>
      <c r="M262" s="19">
        <v>45960</v>
      </c>
      <c r="N262" s="20"/>
      <c r="O262" s="20"/>
    </row>
    <row r="263" ht="15" customHeight="1">
      <c r="A263" t="s">
        <v>763</v>
      </c>
      <c r="B263" t="s">
        <v>764</v>
      </c>
      <c r="C263" s="21" t="s">
        <v>227</v>
      </c>
      <c r="D263" t="s">
        <v>282</v>
      </c>
      <c r="E263" t="s">
        <v>283</v>
      </c>
      <c r="M263" s="19">
        <v>45960</v>
      </c>
      <c r="N263" s="20"/>
      <c r="O263" s="20"/>
    </row>
    <row r="264" ht="15" customHeight="1">
      <c r="A264" t="s">
        <v>765</v>
      </c>
      <c r="B264" t="s">
        <v>766</v>
      </c>
      <c r="C264" s="21" t="s">
        <v>227</v>
      </c>
      <c r="D264" t="s">
        <v>282</v>
      </c>
      <c r="E264" t="s">
        <v>283</v>
      </c>
      <c r="M264" s="19">
        <v>45960</v>
      </c>
      <c r="N264" s="20"/>
      <c r="O264" s="20"/>
    </row>
    <row r="265" ht="15" customHeight="1">
      <c r="A265" t="s">
        <v>767</v>
      </c>
      <c r="B265" t="s">
        <v>768</v>
      </c>
      <c r="C265" s="21" t="s">
        <v>227</v>
      </c>
      <c r="D265" t="s">
        <v>282</v>
      </c>
      <c r="E265" t="s">
        <v>283</v>
      </c>
      <c r="M265" s="19">
        <v>45960</v>
      </c>
      <c r="N265" s="20"/>
      <c r="O265" s="20"/>
    </row>
    <row r="266" ht="15" customHeight="1">
      <c r="A266" t="s">
        <v>769</v>
      </c>
      <c r="B266" t="s">
        <v>770</v>
      </c>
      <c r="C266" s="21" t="s">
        <v>227</v>
      </c>
      <c r="D266" t="s">
        <v>282</v>
      </c>
      <c r="E266" t="s">
        <v>283</v>
      </c>
      <c r="M266" s="19">
        <v>45960</v>
      </c>
      <c r="N266" s="20"/>
      <c r="O266" s="20"/>
    </row>
    <row r="267" ht="15" customHeight="1">
      <c r="A267" t="s">
        <v>771</v>
      </c>
      <c r="B267" t="s">
        <v>772</v>
      </c>
      <c r="C267" s="21" t="s">
        <v>227</v>
      </c>
      <c r="D267" t="s">
        <v>282</v>
      </c>
      <c r="E267" t="s">
        <v>283</v>
      </c>
      <c r="M267" s="19">
        <v>45960</v>
      </c>
      <c r="N267" s="20"/>
      <c r="O267" s="20"/>
    </row>
    <row r="268" ht="15" customHeight="1">
      <c r="A268" t="s">
        <v>773</v>
      </c>
      <c r="B268" t="s">
        <v>774</v>
      </c>
      <c r="C268" s="21" t="s">
        <v>227</v>
      </c>
      <c r="D268" t="s">
        <v>282</v>
      </c>
      <c r="E268" t="s">
        <v>283</v>
      </c>
      <c r="M268" s="19">
        <v>45960</v>
      </c>
      <c r="N268" s="20"/>
      <c r="O268" s="20"/>
    </row>
    <row r="269" ht="15" customHeight="1">
      <c r="A269" t="s">
        <v>775</v>
      </c>
      <c r="B269" t="s">
        <v>776</v>
      </c>
      <c r="C269" s="21" t="s">
        <v>227</v>
      </c>
      <c r="D269" t="s">
        <v>282</v>
      </c>
      <c r="E269" t="s">
        <v>283</v>
      </c>
      <c r="M269" s="19">
        <v>45960</v>
      </c>
      <c r="N269" s="20"/>
      <c r="O269" s="20"/>
    </row>
    <row r="270" ht="15" customHeight="1">
      <c r="A270" t="s">
        <v>777</v>
      </c>
      <c r="B270" t="s">
        <v>778</v>
      </c>
      <c r="C270" s="21" t="s">
        <v>227</v>
      </c>
      <c r="D270" t="s">
        <v>282</v>
      </c>
      <c r="E270" t="s">
        <v>283</v>
      </c>
      <c r="M270" s="19">
        <v>45960</v>
      </c>
      <c r="N270" s="20"/>
      <c r="O270" s="20"/>
    </row>
    <row r="271" ht="15" customHeight="1">
      <c r="A271" t="s">
        <v>779</v>
      </c>
      <c r="B271" t="s">
        <v>780</v>
      </c>
      <c r="C271" s="21" t="s">
        <v>227</v>
      </c>
      <c r="D271" t="s">
        <v>282</v>
      </c>
      <c r="E271" t="s">
        <v>283</v>
      </c>
      <c r="M271" s="19">
        <v>45960</v>
      </c>
      <c r="N271" s="20"/>
      <c r="O271" s="20"/>
    </row>
    <row r="272" ht="15" customHeight="1">
      <c r="A272" t="s">
        <v>781</v>
      </c>
      <c r="B272" t="s">
        <v>782</v>
      </c>
      <c r="C272" s="21" t="s">
        <v>227</v>
      </c>
      <c r="D272" t="s">
        <v>282</v>
      </c>
      <c r="E272" t="s">
        <v>283</v>
      </c>
      <c r="M272" s="19">
        <v>45960</v>
      </c>
      <c r="N272" s="20"/>
      <c r="O272" s="20"/>
    </row>
    <row r="273" ht="15" customHeight="1">
      <c r="A273" t="s">
        <v>783</v>
      </c>
      <c r="B273" t="s">
        <v>784</v>
      </c>
      <c r="C273" s="21" t="s">
        <v>227</v>
      </c>
      <c r="D273" t="s">
        <v>282</v>
      </c>
      <c r="E273" t="s">
        <v>283</v>
      </c>
      <c r="M273" s="19">
        <v>45960</v>
      </c>
      <c r="N273" s="20"/>
      <c r="O273" s="20"/>
    </row>
    <row r="274" ht="15" customHeight="1">
      <c r="A274" t="s">
        <v>785</v>
      </c>
      <c r="B274" t="s">
        <v>786</v>
      </c>
      <c r="C274" s="21" t="s">
        <v>227</v>
      </c>
      <c r="D274" t="s">
        <v>282</v>
      </c>
      <c r="E274" t="s">
        <v>283</v>
      </c>
      <c r="M274" s="19">
        <v>45960</v>
      </c>
      <c r="N274" s="20"/>
      <c r="O274" s="20"/>
    </row>
    <row r="275" ht="15" customHeight="1">
      <c r="A275" t="s">
        <v>787</v>
      </c>
      <c r="B275" t="s">
        <v>788</v>
      </c>
      <c r="C275" s="21" t="s">
        <v>227</v>
      </c>
      <c r="D275" t="s">
        <v>282</v>
      </c>
      <c r="E275" t="s">
        <v>283</v>
      </c>
      <c r="M275" s="19">
        <v>45960</v>
      </c>
      <c r="N275" s="20"/>
      <c r="O275" s="20"/>
    </row>
    <row r="276" ht="15" customHeight="1">
      <c r="A276" t="s">
        <v>789</v>
      </c>
      <c r="B276" t="s">
        <v>790</v>
      </c>
      <c r="C276" s="23" t="s">
        <v>309</v>
      </c>
      <c r="D276" t="s">
        <v>232</v>
      </c>
      <c r="E276" t="s">
        <v>233</v>
      </c>
      <c r="K276" t="s">
        <v>791</v>
      </c>
      <c r="M276" s="19">
        <v>45960</v>
      </c>
      <c r="N276" s="20"/>
      <c r="O276" s="20"/>
    </row>
    <row r="277" ht="15" customHeight="1">
      <c r="A277" t="s">
        <v>792</v>
      </c>
      <c r="B277" t="s">
        <v>793</v>
      </c>
      <c r="C277" s="21" t="s">
        <v>227</v>
      </c>
      <c r="D277" t="s">
        <v>232</v>
      </c>
      <c r="E277" t="s">
        <v>233</v>
      </c>
      <c r="M277" s="19">
        <v>45958</v>
      </c>
      <c r="N277" s="20"/>
      <c r="O277" s="20"/>
    </row>
    <row r="278" ht="15" customHeight="1">
      <c r="A278" t="s">
        <v>794</v>
      </c>
      <c r="B278" t="s">
        <v>795</v>
      </c>
      <c r="C278" s="22" t="s">
        <v>55</v>
      </c>
      <c r="D278" t="s">
        <v>232</v>
      </c>
      <c r="E278" t="s">
        <v>233</v>
      </c>
      <c r="K278" t="s">
        <v>791</v>
      </c>
      <c r="M278" s="19">
        <v>45958</v>
      </c>
      <c r="N278" s="20"/>
      <c r="O278" s="20"/>
    </row>
    <row r="279" ht="15" customHeight="1">
      <c r="A279" t="s">
        <v>796</v>
      </c>
      <c r="B279" t="s">
        <v>797</v>
      </c>
      <c r="C279" s="21" t="s">
        <v>227</v>
      </c>
      <c r="D279" t="s">
        <v>232</v>
      </c>
      <c r="E279" t="s">
        <v>233</v>
      </c>
      <c r="H279">
        <v>8</v>
      </c>
      <c r="M279" s="19">
        <v>45958</v>
      </c>
      <c r="N279" s="20"/>
      <c r="O279" s="20"/>
    </row>
    <row r="280" ht="15" customHeight="1">
      <c r="A280" t="s">
        <v>798</v>
      </c>
      <c r="B280" t="s">
        <v>799</v>
      </c>
      <c r="C280" s="21" t="s">
        <v>227</v>
      </c>
      <c r="D280" t="s">
        <v>232</v>
      </c>
      <c r="E280" t="s">
        <v>233</v>
      </c>
      <c r="K280" t="s">
        <v>319</v>
      </c>
      <c r="M280" s="19">
        <v>45957</v>
      </c>
      <c r="N280" s="20"/>
      <c r="O280" s="20"/>
    </row>
    <row r="281" ht="15" customHeight="1">
      <c r="A281" t="s">
        <v>800</v>
      </c>
      <c r="B281" t="s">
        <v>801</v>
      </c>
      <c r="C281" s="23" t="s">
        <v>309</v>
      </c>
      <c r="D281" t="s">
        <v>232</v>
      </c>
      <c r="E281" t="s">
        <v>233</v>
      </c>
      <c r="K281" t="s">
        <v>802</v>
      </c>
      <c r="M281" s="19">
        <v>45957</v>
      </c>
      <c r="N281" s="20"/>
      <c r="O281" s="20"/>
    </row>
    <row r="282" ht="15" customHeight="1">
      <c r="A282" t="s">
        <v>803</v>
      </c>
      <c r="B282" t="s">
        <v>804</v>
      </c>
      <c r="C282" s="21" t="s">
        <v>227</v>
      </c>
      <c r="D282" t="s">
        <v>282</v>
      </c>
      <c r="E282" t="s">
        <v>283</v>
      </c>
      <c r="M282" s="19">
        <v>45954</v>
      </c>
      <c r="N282" s="20"/>
      <c r="O282" s="20"/>
    </row>
    <row r="283" ht="15" customHeight="1">
      <c r="A283" t="s">
        <v>805</v>
      </c>
      <c r="B283" t="s">
        <v>806</v>
      </c>
      <c r="C283" s="21" t="s">
        <v>227</v>
      </c>
      <c r="D283" t="s">
        <v>282</v>
      </c>
      <c r="E283" t="s">
        <v>283</v>
      </c>
      <c r="M283" s="19">
        <v>45954</v>
      </c>
      <c r="N283" s="20"/>
      <c r="O283" s="20"/>
    </row>
    <row r="284" ht="15" customHeight="1">
      <c r="A284" t="s">
        <v>807</v>
      </c>
      <c r="B284" t="s">
        <v>808</v>
      </c>
      <c r="C284" s="21" t="s">
        <v>227</v>
      </c>
      <c r="D284" t="s">
        <v>232</v>
      </c>
      <c r="E284" t="s">
        <v>233</v>
      </c>
      <c r="M284" s="19">
        <v>45952</v>
      </c>
      <c r="N284" s="20"/>
      <c r="O284" s="20"/>
    </row>
    <row r="285" ht="15" customHeight="1">
      <c r="A285" t="s">
        <v>809</v>
      </c>
      <c r="B285" t="s">
        <v>810</v>
      </c>
      <c r="C285" s="21" t="s">
        <v>227</v>
      </c>
      <c r="D285" t="s">
        <v>232</v>
      </c>
      <c r="E285" t="s">
        <v>233</v>
      </c>
      <c r="M285" s="19">
        <v>45951</v>
      </c>
      <c r="N285" s="20"/>
      <c r="O285" s="20"/>
    </row>
    <row r="286" ht="15" customHeight="1">
      <c r="A286" t="s">
        <v>811</v>
      </c>
      <c r="B286" t="s">
        <v>812</v>
      </c>
      <c r="C286" s="22" t="s">
        <v>55</v>
      </c>
      <c r="D286" t="s">
        <v>813</v>
      </c>
      <c r="E286" t="s">
        <v>814</v>
      </c>
      <c r="K286" t="s">
        <v>815</v>
      </c>
      <c r="M286" s="19">
        <v>45951</v>
      </c>
      <c r="N286" s="20"/>
      <c r="O286" s="20"/>
    </row>
    <row r="287" ht="15" customHeight="1">
      <c r="A287" t="s">
        <v>816</v>
      </c>
      <c r="B287" t="s">
        <v>817</v>
      </c>
      <c r="C287" s="21" t="s">
        <v>227</v>
      </c>
      <c r="D287" t="s">
        <v>813</v>
      </c>
      <c r="E287" t="s">
        <v>814</v>
      </c>
      <c r="K287" t="s">
        <v>815</v>
      </c>
      <c r="M287" s="19">
        <v>45951</v>
      </c>
      <c r="N287" s="20"/>
      <c r="O287" s="20"/>
    </row>
    <row r="288" ht="15" customHeight="1">
      <c r="A288" t="s">
        <v>818</v>
      </c>
      <c r="B288" t="s">
        <v>819</v>
      </c>
      <c r="C288" s="21" t="s">
        <v>227</v>
      </c>
      <c r="D288" t="s">
        <v>232</v>
      </c>
      <c r="E288" t="s">
        <v>233</v>
      </c>
      <c r="M288" s="19">
        <v>45950</v>
      </c>
      <c r="N288" s="20"/>
      <c r="O288" s="20"/>
    </row>
    <row r="289" ht="15" customHeight="1">
      <c r="A289" t="s">
        <v>820</v>
      </c>
      <c r="B289" t="s">
        <v>821</v>
      </c>
      <c r="C289" s="21" t="s">
        <v>227</v>
      </c>
      <c r="D289" t="s">
        <v>232</v>
      </c>
      <c r="E289" t="s">
        <v>233</v>
      </c>
      <c r="M289" s="19">
        <v>45950</v>
      </c>
      <c r="N289" s="20"/>
      <c r="O289" s="20"/>
    </row>
    <row r="290" ht="15" customHeight="1">
      <c r="A290" t="s">
        <v>822</v>
      </c>
      <c r="B290" t="s">
        <v>823</v>
      </c>
      <c r="C290" s="21" t="s">
        <v>227</v>
      </c>
      <c r="D290" t="s">
        <v>232</v>
      </c>
      <c r="E290" t="s">
        <v>233</v>
      </c>
      <c r="M290" s="19">
        <v>45950</v>
      </c>
      <c r="N290" s="20"/>
      <c r="O290" s="20"/>
    </row>
    <row r="291" ht="15" customHeight="1">
      <c r="A291" t="s">
        <v>824</v>
      </c>
      <c r="B291" t="s">
        <v>825</v>
      </c>
      <c r="C291" s="21" t="s">
        <v>227</v>
      </c>
      <c r="D291" t="s">
        <v>232</v>
      </c>
      <c r="E291" t="s">
        <v>233</v>
      </c>
      <c r="M291" s="19">
        <v>45947</v>
      </c>
      <c r="N291" s="20"/>
      <c r="O291" s="20"/>
    </row>
    <row r="292" ht="15" customHeight="1">
      <c r="A292" t="s">
        <v>826</v>
      </c>
      <c r="B292" t="s">
        <v>827</v>
      </c>
      <c r="C292" s="21" t="s">
        <v>227</v>
      </c>
      <c r="D292" t="s">
        <v>232</v>
      </c>
      <c r="E292" t="s">
        <v>233</v>
      </c>
      <c r="M292" s="19">
        <v>45945</v>
      </c>
      <c r="N292" s="20"/>
      <c r="O292" s="20"/>
    </row>
    <row r="293" ht="15" customHeight="1">
      <c r="A293" t="s">
        <v>828</v>
      </c>
      <c r="B293" t="s">
        <v>829</v>
      </c>
      <c r="C293" s="22" t="s">
        <v>55</v>
      </c>
      <c r="D293" t="s">
        <v>228</v>
      </c>
      <c r="E293" t="s">
        <v>229</v>
      </c>
      <c r="H293">
        <v>2</v>
      </c>
      <c r="K293" t="s">
        <v>286</v>
      </c>
      <c r="M293" s="19">
        <v>45944</v>
      </c>
      <c r="N293" s="20"/>
      <c r="O293" s="20"/>
    </row>
    <row r="294" ht="15" customHeight="1">
      <c r="A294" t="s">
        <v>830</v>
      </c>
      <c r="B294" t="s">
        <v>831</v>
      </c>
      <c r="C294" s="21" t="s">
        <v>227</v>
      </c>
      <c r="D294" t="s">
        <v>232</v>
      </c>
      <c r="E294" t="s">
        <v>233</v>
      </c>
      <c r="M294" s="19">
        <v>45944</v>
      </c>
      <c r="N294" s="20"/>
      <c r="O294" s="20"/>
    </row>
    <row r="295" ht="15" customHeight="1">
      <c r="A295" t="s">
        <v>832</v>
      </c>
      <c r="B295" t="s">
        <v>833</v>
      </c>
      <c r="C295" s="21" t="s">
        <v>227</v>
      </c>
      <c r="D295" t="s">
        <v>232</v>
      </c>
      <c r="E295" t="s">
        <v>233</v>
      </c>
      <c r="H295">
        <v>5</v>
      </c>
      <c r="M295" s="19">
        <v>45944</v>
      </c>
      <c r="N295" s="20"/>
      <c r="O295" s="20"/>
    </row>
    <row r="296" ht="15" customHeight="1">
      <c r="A296" t="s">
        <v>834</v>
      </c>
      <c r="B296" t="s">
        <v>835</v>
      </c>
      <c r="C296" s="21" t="s">
        <v>227</v>
      </c>
      <c r="D296" t="s">
        <v>228</v>
      </c>
      <c r="E296" t="s">
        <v>229</v>
      </c>
      <c r="M296" s="19">
        <v>45940</v>
      </c>
      <c r="N296" s="20"/>
      <c r="O296" s="20"/>
    </row>
    <row r="297" ht="15" customHeight="1">
      <c r="A297" t="s">
        <v>836</v>
      </c>
      <c r="B297" t="s">
        <v>837</v>
      </c>
      <c r="C297" s="21" t="s">
        <v>227</v>
      </c>
      <c r="D297" t="s">
        <v>232</v>
      </c>
      <c r="E297" t="s">
        <v>233</v>
      </c>
      <c r="M297" s="19">
        <v>45940</v>
      </c>
      <c r="N297" s="20"/>
      <c r="O297" s="20"/>
    </row>
    <row r="298" ht="15" customHeight="1">
      <c r="A298" t="s">
        <v>838</v>
      </c>
      <c r="B298" t="s">
        <v>839</v>
      </c>
      <c r="C298" s="21" t="s">
        <v>227</v>
      </c>
      <c r="D298" t="s">
        <v>232</v>
      </c>
      <c r="E298" t="s">
        <v>233</v>
      </c>
      <c r="M298" s="19">
        <v>45940</v>
      </c>
      <c r="N298" s="20"/>
      <c r="O298" s="20"/>
    </row>
    <row r="299" ht="15" customHeight="1">
      <c r="A299" t="s">
        <v>840</v>
      </c>
      <c r="B299" t="s">
        <v>841</v>
      </c>
      <c r="C299" s="21" t="s">
        <v>227</v>
      </c>
      <c r="D299" t="s">
        <v>232</v>
      </c>
      <c r="E299" t="s">
        <v>233</v>
      </c>
      <c r="M299" s="19">
        <v>45940</v>
      </c>
      <c r="N299" s="20"/>
      <c r="O299" s="20"/>
    </row>
    <row r="300" ht="15" customHeight="1">
      <c r="A300" t="s">
        <v>842</v>
      </c>
      <c r="B300" t="s">
        <v>843</v>
      </c>
      <c r="C300" s="21" t="s">
        <v>227</v>
      </c>
      <c r="D300" t="s">
        <v>232</v>
      </c>
      <c r="E300" t="s">
        <v>233</v>
      </c>
      <c r="G300" t="s">
        <v>844</v>
      </c>
      <c r="M300" s="19">
        <v>45939</v>
      </c>
      <c r="N300" s="20"/>
      <c r="O300" s="20"/>
    </row>
    <row r="301" ht="15" customHeight="1">
      <c r="A301" t="s">
        <v>845</v>
      </c>
      <c r="B301" t="s">
        <v>846</v>
      </c>
      <c r="C301" s="21" t="s">
        <v>227</v>
      </c>
      <c r="D301" t="s">
        <v>232</v>
      </c>
      <c r="E301" t="s">
        <v>233</v>
      </c>
      <c r="M301" s="19">
        <v>45939</v>
      </c>
      <c r="N301" s="20"/>
      <c r="O301" s="20"/>
    </row>
    <row r="302" ht="15" customHeight="1">
      <c r="A302" t="s">
        <v>847</v>
      </c>
      <c r="B302" t="s">
        <v>848</v>
      </c>
      <c r="C302" s="21" t="s">
        <v>227</v>
      </c>
      <c r="D302" t="s">
        <v>232</v>
      </c>
      <c r="E302" t="s">
        <v>233</v>
      </c>
      <c r="M302" s="19">
        <v>45939</v>
      </c>
      <c r="N302" s="20"/>
      <c r="O302" s="20"/>
    </row>
    <row r="303" ht="15" customHeight="1">
      <c r="A303" t="s">
        <v>849</v>
      </c>
      <c r="B303" t="s">
        <v>850</v>
      </c>
      <c r="C303" s="21" t="s">
        <v>227</v>
      </c>
      <c r="D303" t="s">
        <v>232</v>
      </c>
      <c r="E303" t="s">
        <v>233</v>
      </c>
      <c r="M303" s="19">
        <v>45939</v>
      </c>
      <c r="N303" s="20"/>
      <c r="O303" s="20"/>
    </row>
    <row r="304" ht="15" customHeight="1">
      <c r="A304" t="s">
        <v>851</v>
      </c>
      <c r="B304" t="s">
        <v>852</v>
      </c>
      <c r="C304" s="21" t="s">
        <v>227</v>
      </c>
      <c r="D304" t="s">
        <v>232</v>
      </c>
      <c r="E304" t="s">
        <v>233</v>
      </c>
      <c r="M304" s="19">
        <v>45939</v>
      </c>
      <c r="N304" s="20"/>
      <c r="O304" s="20"/>
    </row>
    <row r="305" ht="15" customHeight="1">
      <c r="A305" t="s">
        <v>853</v>
      </c>
      <c r="B305" t="s">
        <v>854</v>
      </c>
      <c r="C305" s="21" t="s">
        <v>227</v>
      </c>
      <c r="D305" t="s">
        <v>232</v>
      </c>
      <c r="E305" t="s">
        <v>233</v>
      </c>
      <c r="M305" s="19">
        <v>45939</v>
      </c>
      <c r="N305" s="20"/>
      <c r="O305" s="20"/>
    </row>
    <row r="306" ht="15" customHeight="1">
      <c r="A306" t="s">
        <v>855</v>
      </c>
      <c r="B306" t="s">
        <v>856</v>
      </c>
      <c r="C306" s="21" t="s">
        <v>227</v>
      </c>
      <c r="D306" t="s">
        <v>232</v>
      </c>
      <c r="E306" t="s">
        <v>233</v>
      </c>
      <c r="M306" s="19">
        <v>45939</v>
      </c>
      <c r="N306" s="20"/>
      <c r="O306" s="20"/>
    </row>
    <row r="307" ht="15" customHeight="1">
      <c r="A307" t="s">
        <v>857</v>
      </c>
      <c r="B307" t="s">
        <v>858</v>
      </c>
      <c r="C307" s="22" t="s">
        <v>55</v>
      </c>
      <c r="D307" t="s">
        <v>232</v>
      </c>
      <c r="E307" t="s">
        <v>233</v>
      </c>
      <c r="H307">
        <v>3</v>
      </c>
      <c r="K307" t="s">
        <v>859</v>
      </c>
      <c r="M307" s="19">
        <v>45939</v>
      </c>
      <c r="N307" s="20"/>
      <c r="O307" s="20"/>
    </row>
    <row r="308" ht="15" customHeight="1">
      <c r="A308" t="s">
        <v>860</v>
      </c>
      <c r="B308" t="s">
        <v>861</v>
      </c>
      <c r="C308" s="23" t="s">
        <v>309</v>
      </c>
      <c r="D308" t="s">
        <v>232</v>
      </c>
      <c r="E308" t="s">
        <v>233</v>
      </c>
      <c r="M308" s="19">
        <v>45939</v>
      </c>
      <c r="N308" s="20"/>
      <c r="O308" s="20"/>
    </row>
    <row r="309" ht="15" customHeight="1">
      <c r="A309" t="s">
        <v>862</v>
      </c>
      <c r="B309" t="s">
        <v>863</v>
      </c>
      <c r="C309" s="21" t="s">
        <v>227</v>
      </c>
      <c r="D309" t="s">
        <v>232</v>
      </c>
      <c r="E309" t="s">
        <v>233</v>
      </c>
      <c r="M309" s="19">
        <v>45938</v>
      </c>
      <c r="N309" s="20"/>
      <c r="O309" s="20"/>
    </row>
    <row r="310" ht="15" customHeight="1">
      <c r="A310" t="s">
        <v>864</v>
      </c>
      <c r="B310" t="s">
        <v>865</v>
      </c>
      <c r="C310" s="23" t="s">
        <v>309</v>
      </c>
      <c r="D310" t="s">
        <v>232</v>
      </c>
      <c r="E310" t="s">
        <v>233</v>
      </c>
      <c r="K310" t="s">
        <v>866</v>
      </c>
      <c r="M310" s="19">
        <v>45938</v>
      </c>
      <c r="N310" s="20"/>
      <c r="O310" s="20"/>
    </row>
    <row r="311" ht="15" customHeight="1">
      <c r="A311" t="s">
        <v>867</v>
      </c>
      <c r="B311" t="s">
        <v>868</v>
      </c>
      <c r="C311" s="21" t="s">
        <v>227</v>
      </c>
      <c r="D311" t="s">
        <v>250</v>
      </c>
      <c r="E311" t="s">
        <v>251</v>
      </c>
      <c r="M311" s="19">
        <v>45937</v>
      </c>
      <c r="N311" s="20"/>
      <c r="O311" s="20"/>
    </row>
    <row r="312" ht="15" customHeight="1">
      <c r="A312" t="s">
        <v>869</v>
      </c>
      <c r="B312" t="s">
        <v>870</v>
      </c>
      <c r="C312" s="21" t="s">
        <v>227</v>
      </c>
      <c r="D312" t="s">
        <v>250</v>
      </c>
      <c r="E312" t="s">
        <v>251</v>
      </c>
      <c r="M312" s="19">
        <v>45937</v>
      </c>
      <c r="N312" s="20"/>
      <c r="O312" s="20"/>
    </row>
    <row r="313" ht="15" customHeight="1">
      <c r="A313" t="s">
        <v>871</v>
      </c>
      <c r="B313" t="s">
        <v>872</v>
      </c>
      <c r="C313" s="21" t="s">
        <v>227</v>
      </c>
      <c r="D313" t="s">
        <v>232</v>
      </c>
      <c r="E313" t="s">
        <v>233</v>
      </c>
      <c r="M313" s="19">
        <v>45937</v>
      </c>
      <c r="N313" s="20"/>
      <c r="O313" s="20"/>
    </row>
    <row r="314" ht="15" customHeight="1">
      <c r="A314" t="s">
        <v>873</v>
      </c>
      <c r="B314" t="s">
        <v>874</v>
      </c>
      <c r="C314" s="21" t="s">
        <v>227</v>
      </c>
      <c r="D314" t="s">
        <v>232</v>
      </c>
      <c r="E314" t="s">
        <v>233</v>
      </c>
      <c r="H314">
        <v>3</v>
      </c>
      <c r="M314" s="19">
        <v>45937</v>
      </c>
      <c r="N314" s="20"/>
      <c r="O314" s="20"/>
    </row>
    <row r="315" ht="15" customHeight="1">
      <c r="A315" t="s">
        <v>875</v>
      </c>
      <c r="B315" t="s">
        <v>876</v>
      </c>
      <c r="C315" s="21" t="s">
        <v>227</v>
      </c>
      <c r="D315" t="s">
        <v>232</v>
      </c>
      <c r="E315" t="s">
        <v>233</v>
      </c>
      <c r="M315" s="19">
        <v>45937</v>
      </c>
      <c r="N315" s="20"/>
      <c r="O315" s="20"/>
    </row>
    <row r="316" ht="15" customHeight="1">
      <c r="A316" t="s">
        <v>877</v>
      </c>
      <c r="B316" t="s">
        <v>878</v>
      </c>
      <c r="C316" s="21" t="s">
        <v>227</v>
      </c>
      <c r="D316" t="s">
        <v>250</v>
      </c>
      <c r="E316" t="s">
        <v>251</v>
      </c>
      <c r="K316" t="s">
        <v>326</v>
      </c>
      <c r="M316" s="19">
        <v>45933</v>
      </c>
      <c r="N316" s="20"/>
      <c r="O316" s="20"/>
    </row>
    <row r="317" ht="15" customHeight="1">
      <c r="A317" t="s">
        <v>879</v>
      </c>
      <c r="B317" t="s">
        <v>880</v>
      </c>
      <c r="C317" s="21" t="s">
        <v>227</v>
      </c>
      <c r="D317" t="s">
        <v>232</v>
      </c>
      <c r="E317" t="s">
        <v>233</v>
      </c>
      <c r="M317" s="19">
        <v>45933</v>
      </c>
      <c r="N317" s="20"/>
      <c r="O317" s="20"/>
    </row>
    <row r="318" ht="15" customHeight="1">
      <c r="A318" t="s">
        <v>881</v>
      </c>
      <c r="B318" t="s">
        <v>882</v>
      </c>
      <c r="C318" s="21" t="s">
        <v>227</v>
      </c>
      <c r="D318" t="s">
        <v>232</v>
      </c>
      <c r="E318" t="s">
        <v>233</v>
      </c>
      <c r="M318" s="19">
        <v>45933</v>
      </c>
      <c r="N318" s="20"/>
      <c r="O318" s="20"/>
    </row>
    <row r="319" ht="15" customHeight="1">
      <c r="A319" t="s">
        <v>883</v>
      </c>
      <c r="B319" t="s">
        <v>884</v>
      </c>
      <c r="C319" s="21" t="s">
        <v>227</v>
      </c>
      <c r="D319" t="s">
        <v>232</v>
      </c>
      <c r="E319" t="s">
        <v>233</v>
      </c>
      <c r="M319" s="19">
        <v>45933</v>
      </c>
      <c r="N319" s="20"/>
      <c r="O319" s="20"/>
    </row>
    <row r="320" ht="15" customHeight="1">
      <c r="A320" t="s">
        <v>885</v>
      </c>
      <c r="B320" t="s">
        <v>886</v>
      </c>
      <c r="C320" s="21" t="s">
        <v>227</v>
      </c>
      <c r="D320" t="s">
        <v>232</v>
      </c>
      <c r="E320" t="s">
        <v>233</v>
      </c>
      <c r="M320" s="19">
        <v>45933</v>
      </c>
      <c r="N320" s="20"/>
      <c r="O320" s="20"/>
    </row>
    <row r="321" ht="15" customHeight="1">
      <c r="A321" t="s">
        <v>887</v>
      </c>
      <c r="B321" t="s">
        <v>888</v>
      </c>
      <c r="C321" s="21" t="s">
        <v>227</v>
      </c>
      <c r="D321" t="s">
        <v>232</v>
      </c>
      <c r="E321" t="s">
        <v>233</v>
      </c>
      <c r="M321" s="19">
        <v>45933</v>
      </c>
      <c r="N321" s="20"/>
      <c r="O321" s="20"/>
    </row>
    <row r="322" ht="15" customHeight="1">
      <c r="A322" t="s">
        <v>889</v>
      </c>
      <c r="B322" t="s">
        <v>890</v>
      </c>
      <c r="C322" s="21" t="s">
        <v>227</v>
      </c>
      <c r="D322" t="s">
        <v>232</v>
      </c>
      <c r="E322" t="s">
        <v>233</v>
      </c>
      <c r="M322" s="19">
        <v>45933</v>
      </c>
      <c r="N322" s="20"/>
      <c r="O322" s="20"/>
    </row>
    <row r="323" ht="15" customHeight="1">
      <c r="A323" t="s">
        <v>891</v>
      </c>
      <c r="B323" t="s">
        <v>892</v>
      </c>
      <c r="C323" s="21" t="s">
        <v>227</v>
      </c>
      <c r="D323" t="s">
        <v>232</v>
      </c>
      <c r="E323" t="s">
        <v>233</v>
      </c>
      <c r="M323" s="19">
        <v>45933</v>
      </c>
      <c r="N323" s="20"/>
      <c r="O323" s="20"/>
    </row>
    <row r="324" ht="15" customHeight="1">
      <c r="A324" t="s">
        <v>893</v>
      </c>
      <c r="B324" t="s">
        <v>894</v>
      </c>
      <c r="C324" s="21" t="s">
        <v>227</v>
      </c>
      <c r="D324" t="s">
        <v>232</v>
      </c>
      <c r="E324" t="s">
        <v>233</v>
      </c>
      <c r="M324" s="19">
        <v>45933</v>
      </c>
      <c r="N324" s="20"/>
      <c r="O324" s="20"/>
    </row>
    <row r="325" ht="15" customHeight="1">
      <c r="A325" t="s">
        <v>895</v>
      </c>
      <c r="B325" t="s">
        <v>896</v>
      </c>
      <c r="C325" s="21" t="s">
        <v>227</v>
      </c>
      <c r="D325" t="s">
        <v>232</v>
      </c>
      <c r="E325" t="s">
        <v>233</v>
      </c>
      <c r="M325" s="19">
        <v>45933</v>
      </c>
      <c r="N325" s="20"/>
      <c r="O325" s="20"/>
    </row>
    <row r="326" ht="15" customHeight="1">
      <c r="A326" t="s">
        <v>897</v>
      </c>
      <c r="B326" t="s">
        <v>898</v>
      </c>
      <c r="C326" s="21" t="s">
        <v>227</v>
      </c>
      <c r="D326" t="s">
        <v>232</v>
      </c>
      <c r="E326" t="s">
        <v>233</v>
      </c>
      <c r="M326" s="19">
        <v>45933</v>
      </c>
      <c r="N326" s="20"/>
      <c r="O326" s="20"/>
    </row>
    <row r="327" ht="15" customHeight="1">
      <c r="A327" t="s">
        <v>899</v>
      </c>
      <c r="B327" t="s">
        <v>900</v>
      </c>
      <c r="C327" s="21" t="s">
        <v>227</v>
      </c>
      <c r="D327" t="s">
        <v>232</v>
      </c>
      <c r="E327" t="s">
        <v>233</v>
      </c>
      <c r="M327" s="19">
        <v>45933</v>
      </c>
      <c r="N327" s="20"/>
      <c r="O327" s="20"/>
    </row>
    <row r="328" ht="15" customHeight="1">
      <c r="A328" t="s">
        <v>901</v>
      </c>
      <c r="B328" t="s">
        <v>902</v>
      </c>
      <c r="C328" s="21" t="s">
        <v>227</v>
      </c>
      <c r="D328" t="s">
        <v>232</v>
      </c>
      <c r="E328" t="s">
        <v>233</v>
      </c>
      <c r="M328" s="19">
        <v>45933</v>
      </c>
      <c r="N328" s="20"/>
      <c r="O328" s="20"/>
    </row>
    <row r="329" ht="15" customHeight="1">
      <c r="A329" t="s">
        <v>903</v>
      </c>
      <c r="B329" t="s">
        <v>904</v>
      </c>
      <c r="C329" s="21" t="s">
        <v>227</v>
      </c>
      <c r="D329" t="s">
        <v>232</v>
      </c>
      <c r="E329" t="s">
        <v>233</v>
      </c>
      <c r="M329" s="19">
        <v>45933</v>
      </c>
      <c r="N329" s="20"/>
      <c r="O329" s="20"/>
    </row>
    <row r="330" ht="15" customHeight="1">
      <c r="A330" t="s">
        <v>905</v>
      </c>
      <c r="B330" t="s">
        <v>906</v>
      </c>
      <c r="C330" s="21" t="s">
        <v>227</v>
      </c>
      <c r="D330" t="s">
        <v>232</v>
      </c>
      <c r="E330" t="s">
        <v>233</v>
      </c>
      <c r="M330" s="19">
        <v>45933</v>
      </c>
      <c r="N330" s="20"/>
      <c r="O330" s="20"/>
    </row>
    <row r="331" ht="15" customHeight="1">
      <c r="A331" t="s">
        <v>907</v>
      </c>
      <c r="B331" t="s">
        <v>908</v>
      </c>
      <c r="C331" s="21" t="s">
        <v>227</v>
      </c>
      <c r="D331" t="s">
        <v>232</v>
      </c>
      <c r="E331" t="s">
        <v>233</v>
      </c>
      <c r="M331" s="19">
        <v>45933</v>
      </c>
      <c r="N331" s="20"/>
      <c r="O331" s="20"/>
    </row>
    <row r="332" ht="15" customHeight="1">
      <c r="A332" t="s">
        <v>909</v>
      </c>
      <c r="B332" t="s">
        <v>910</v>
      </c>
      <c r="C332" s="21" t="s">
        <v>227</v>
      </c>
      <c r="D332" t="s">
        <v>232</v>
      </c>
      <c r="E332" t="s">
        <v>233</v>
      </c>
      <c r="M332" s="19">
        <v>45933</v>
      </c>
      <c r="N332" s="20"/>
      <c r="O332" s="20"/>
    </row>
    <row r="333" ht="15" customHeight="1">
      <c r="A333" t="s">
        <v>911</v>
      </c>
      <c r="B333" t="s">
        <v>912</v>
      </c>
      <c r="C333" s="21" t="s">
        <v>227</v>
      </c>
      <c r="D333" t="s">
        <v>232</v>
      </c>
      <c r="E333" t="s">
        <v>233</v>
      </c>
      <c r="M333" s="19">
        <v>45933</v>
      </c>
      <c r="N333" s="20"/>
      <c r="O333" s="20"/>
    </row>
    <row r="334" ht="15" customHeight="1">
      <c r="A334" t="s">
        <v>913</v>
      </c>
      <c r="B334" t="s">
        <v>914</v>
      </c>
      <c r="C334" s="21" t="s">
        <v>227</v>
      </c>
      <c r="D334" t="s">
        <v>232</v>
      </c>
      <c r="E334" t="s">
        <v>233</v>
      </c>
      <c r="M334" s="19">
        <v>45933</v>
      </c>
      <c r="N334" s="20"/>
      <c r="O334" s="20"/>
    </row>
    <row r="335" ht="15" customHeight="1">
      <c r="A335" t="s">
        <v>915</v>
      </c>
      <c r="B335" t="s">
        <v>916</v>
      </c>
      <c r="C335" s="21" t="s">
        <v>227</v>
      </c>
      <c r="D335" t="s">
        <v>232</v>
      </c>
      <c r="E335" t="s">
        <v>233</v>
      </c>
      <c r="M335" s="19">
        <v>45933</v>
      </c>
      <c r="N335" s="20"/>
      <c r="O335" s="20"/>
    </row>
    <row r="336" ht="15" customHeight="1">
      <c r="A336" t="s">
        <v>917</v>
      </c>
      <c r="B336" t="s">
        <v>918</v>
      </c>
      <c r="C336" s="21" t="s">
        <v>227</v>
      </c>
      <c r="D336" t="s">
        <v>232</v>
      </c>
      <c r="E336" t="s">
        <v>233</v>
      </c>
      <c r="M336" s="19">
        <v>45933</v>
      </c>
      <c r="N336" s="20"/>
      <c r="O336" s="20"/>
    </row>
    <row r="337" ht="15" customHeight="1">
      <c r="A337" t="s">
        <v>919</v>
      </c>
      <c r="B337" t="s">
        <v>920</v>
      </c>
      <c r="C337" s="21" t="s">
        <v>227</v>
      </c>
      <c r="D337" t="s">
        <v>232</v>
      </c>
      <c r="E337" t="s">
        <v>233</v>
      </c>
      <c r="M337" s="19">
        <v>45933</v>
      </c>
      <c r="N337" s="20"/>
      <c r="O337" s="20"/>
    </row>
    <row r="338" ht="15" customHeight="1">
      <c r="A338" t="s">
        <v>921</v>
      </c>
      <c r="B338" t="s">
        <v>922</v>
      </c>
      <c r="C338" s="21" t="s">
        <v>227</v>
      </c>
      <c r="D338" t="s">
        <v>232</v>
      </c>
      <c r="E338" t="s">
        <v>233</v>
      </c>
      <c r="M338" s="19">
        <v>45933</v>
      </c>
      <c r="N338" s="20"/>
      <c r="O338" s="20"/>
    </row>
    <row r="339" ht="15" customHeight="1">
      <c r="A339" t="s">
        <v>923</v>
      </c>
      <c r="B339" t="s">
        <v>924</v>
      </c>
      <c r="C339" s="21" t="s">
        <v>227</v>
      </c>
      <c r="D339" t="s">
        <v>232</v>
      </c>
      <c r="E339" t="s">
        <v>233</v>
      </c>
      <c r="M339" s="19">
        <v>45933</v>
      </c>
      <c r="N339" s="20"/>
      <c r="O339" s="20"/>
    </row>
    <row r="340" ht="15" customHeight="1">
      <c r="A340" t="s">
        <v>925</v>
      </c>
      <c r="B340" t="s">
        <v>926</v>
      </c>
      <c r="C340" s="21" t="s">
        <v>227</v>
      </c>
      <c r="D340" t="s">
        <v>232</v>
      </c>
      <c r="E340" t="s">
        <v>233</v>
      </c>
      <c r="M340" s="19">
        <v>45933</v>
      </c>
      <c r="N340" s="20"/>
      <c r="O340" s="20"/>
    </row>
    <row r="341" ht="15" customHeight="1">
      <c r="A341" t="s">
        <v>927</v>
      </c>
      <c r="B341" t="s">
        <v>928</v>
      </c>
      <c r="C341" s="21" t="s">
        <v>227</v>
      </c>
      <c r="D341" t="s">
        <v>232</v>
      </c>
      <c r="E341" t="s">
        <v>233</v>
      </c>
      <c r="M341" s="19">
        <v>45933</v>
      </c>
      <c r="N341" s="20"/>
      <c r="O341" s="20"/>
    </row>
    <row r="342" ht="15" customHeight="1">
      <c r="A342" t="s">
        <v>929</v>
      </c>
      <c r="B342" t="s">
        <v>930</v>
      </c>
      <c r="C342" s="21" t="s">
        <v>227</v>
      </c>
      <c r="D342" t="s">
        <v>232</v>
      </c>
      <c r="E342" t="s">
        <v>233</v>
      </c>
      <c r="M342" s="19">
        <v>45933</v>
      </c>
      <c r="N342" s="20"/>
      <c r="O342" s="20"/>
    </row>
    <row r="343" ht="15" customHeight="1">
      <c r="A343" t="s">
        <v>931</v>
      </c>
      <c r="B343" t="s">
        <v>932</v>
      </c>
      <c r="C343" s="21" t="s">
        <v>227</v>
      </c>
      <c r="D343" t="s">
        <v>232</v>
      </c>
      <c r="E343" t="s">
        <v>233</v>
      </c>
      <c r="M343" s="19">
        <v>45933</v>
      </c>
      <c r="N343" s="20"/>
      <c r="O343" s="20"/>
    </row>
    <row r="344" ht="15" customHeight="1">
      <c r="A344" t="s">
        <v>933</v>
      </c>
      <c r="B344" t="s">
        <v>934</v>
      </c>
      <c r="C344" s="21" t="s">
        <v>227</v>
      </c>
      <c r="D344" t="s">
        <v>232</v>
      </c>
      <c r="E344" t="s">
        <v>233</v>
      </c>
      <c r="M344" s="19">
        <v>45933</v>
      </c>
      <c r="N344" s="20"/>
      <c r="O344" s="20"/>
    </row>
    <row r="345" ht="15" customHeight="1">
      <c r="A345" t="s">
        <v>935</v>
      </c>
      <c r="B345" t="s">
        <v>936</v>
      </c>
      <c r="C345" s="21" t="s">
        <v>227</v>
      </c>
      <c r="D345" t="s">
        <v>232</v>
      </c>
      <c r="E345" t="s">
        <v>233</v>
      </c>
      <c r="M345" s="19">
        <v>45933</v>
      </c>
      <c r="N345" s="20"/>
      <c r="O345" s="20"/>
    </row>
    <row r="346" ht="15" customHeight="1">
      <c r="A346" t="s">
        <v>937</v>
      </c>
      <c r="B346" t="s">
        <v>938</v>
      </c>
      <c r="C346" s="21" t="s">
        <v>227</v>
      </c>
      <c r="D346" t="s">
        <v>232</v>
      </c>
      <c r="E346" t="s">
        <v>233</v>
      </c>
      <c r="M346" s="19">
        <v>45933</v>
      </c>
      <c r="N346" s="20"/>
      <c r="O346" s="20"/>
    </row>
    <row r="347" ht="15" customHeight="1">
      <c r="A347" t="s">
        <v>939</v>
      </c>
      <c r="B347" t="s">
        <v>940</v>
      </c>
      <c r="C347" s="21" t="s">
        <v>227</v>
      </c>
      <c r="D347" t="s">
        <v>232</v>
      </c>
      <c r="E347" t="s">
        <v>233</v>
      </c>
      <c r="M347" s="19">
        <v>45933</v>
      </c>
      <c r="N347" s="20"/>
      <c r="O347" s="20"/>
    </row>
    <row r="348" ht="15" customHeight="1">
      <c r="A348" t="s">
        <v>941</v>
      </c>
      <c r="B348" t="s">
        <v>942</v>
      </c>
      <c r="C348" s="21" t="s">
        <v>227</v>
      </c>
      <c r="D348" t="s">
        <v>232</v>
      </c>
      <c r="E348" t="s">
        <v>233</v>
      </c>
      <c r="M348" s="19">
        <v>45933</v>
      </c>
      <c r="N348" s="20"/>
      <c r="O348" s="20"/>
    </row>
    <row r="349" ht="15" customHeight="1">
      <c r="A349" t="s">
        <v>943</v>
      </c>
      <c r="B349" t="s">
        <v>944</v>
      </c>
      <c r="C349" s="21" t="s">
        <v>227</v>
      </c>
      <c r="D349" t="s">
        <v>232</v>
      </c>
      <c r="E349" t="s">
        <v>233</v>
      </c>
      <c r="M349" s="19">
        <v>45933</v>
      </c>
      <c r="N349" s="20"/>
      <c r="O349" s="20"/>
    </row>
    <row r="350" ht="15" customHeight="1">
      <c r="A350" t="s">
        <v>945</v>
      </c>
      <c r="B350" t="s">
        <v>946</v>
      </c>
      <c r="C350" s="21" t="s">
        <v>227</v>
      </c>
      <c r="D350" t="s">
        <v>232</v>
      </c>
      <c r="E350" t="s">
        <v>233</v>
      </c>
      <c r="M350" s="19">
        <v>45933</v>
      </c>
      <c r="N350" s="20"/>
      <c r="O350" s="20"/>
    </row>
    <row r="351" ht="15" customHeight="1">
      <c r="A351" t="s">
        <v>947</v>
      </c>
      <c r="B351" t="s">
        <v>948</v>
      </c>
      <c r="C351" s="21" t="s">
        <v>227</v>
      </c>
      <c r="D351" t="s">
        <v>232</v>
      </c>
      <c r="E351" t="s">
        <v>233</v>
      </c>
      <c r="M351" s="19">
        <v>45933</v>
      </c>
      <c r="N351" s="20"/>
      <c r="O351" s="20"/>
    </row>
    <row r="352" ht="15" customHeight="1">
      <c r="A352" t="s">
        <v>949</v>
      </c>
      <c r="B352" t="s">
        <v>950</v>
      </c>
      <c r="C352" s="21" t="s">
        <v>227</v>
      </c>
      <c r="D352" t="s">
        <v>232</v>
      </c>
      <c r="E352" t="s">
        <v>233</v>
      </c>
      <c r="M352" s="19">
        <v>45933</v>
      </c>
      <c r="N352" s="20"/>
      <c r="O352" s="20"/>
    </row>
    <row r="353" ht="15" customHeight="1">
      <c r="A353" t="s">
        <v>951</v>
      </c>
      <c r="B353" t="s">
        <v>952</v>
      </c>
      <c r="C353" s="21" t="s">
        <v>227</v>
      </c>
      <c r="D353" t="s">
        <v>232</v>
      </c>
      <c r="E353" t="s">
        <v>233</v>
      </c>
      <c r="M353" s="19">
        <v>45933</v>
      </c>
      <c r="N353" s="20"/>
      <c r="O353" s="20"/>
    </row>
    <row r="354" ht="15" customHeight="1">
      <c r="A354" t="s">
        <v>953</v>
      </c>
      <c r="B354" t="s">
        <v>954</v>
      </c>
      <c r="C354" s="21" t="s">
        <v>227</v>
      </c>
      <c r="D354" t="s">
        <v>232</v>
      </c>
      <c r="E354" t="s">
        <v>233</v>
      </c>
      <c r="M354" s="19">
        <v>45933</v>
      </c>
      <c r="N354" s="20"/>
      <c r="O354" s="20"/>
    </row>
    <row r="355" ht="15" customHeight="1">
      <c r="A355" t="s">
        <v>955</v>
      </c>
      <c r="B355" t="s">
        <v>956</v>
      </c>
      <c r="C355" s="21" t="s">
        <v>227</v>
      </c>
      <c r="D355" t="s">
        <v>232</v>
      </c>
      <c r="E355" t="s">
        <v>233</v>
      </c>
      <c r="M355" s="19">
        <v>45933</v>
      </c>
      <c r="N355" s="20"/>
      <c r="O355" s="20"/>
    </row>
    <row r="356" ht="15" customHeight="1">
      <c r="A356" t="s">
        <v>957</v>
      </c>
      <c r="B356" t="s">
        <v>958</v>
      </c>
      <c r="C356" s="21" t="s">
        <v>227</v>
      </c>
      <c r="D356" t="s">
        <v>232</v>
      </c>
      <c r="E356" t="s">
        <v>233</v>
      </c>
      <c r="M356" s="19">
        <v>45933</v>
      </c>
      <c r="N356" s="20"/>
      <c r="O356" s="20"/>
    </row>
    <row r="357" ht="15" customHeight="1">
      <c r="A357" t="s">
        <v>959</v>
      </c>
      <c r="B357" t="s">
        <v>960</v>
      </c>
      <c r="C357" s="21" t="s">
        <v>227</v>
      </c>
      <c r="D357" t="s">
        <v>232</v>
      </c>
      <c r="E357" t="s">
        <v>233</v>
      </c>
      <c r="M357" s="19">
        <v>45933</v>
      </c>
      <c r="N357" s="20"/>
      <c r="O357" s="20"/>
    </row>
    <row r="358" ht="15" customHeight="1">
      <c r="A358" t="s">
        <v>961</v>
      </c>
      <c r="B358" t="s">
        <v>962</v>
      </c>
      <c r="C358" s="21" t="s">
        <v>227</v>
      </c>
      <c r="D358" t="s">
        <v>232</v>
      </c>
      <c r="E358" t="s">
        <v>233</v>
      </c>
      <c r="M358" s="19">
        <v>45933</v>
      </c>
      <c r="N358" s="20"/>
      <c r="O358" s="20"/>
    </row>
    <row r="359" ht="15" customHeight="1">
      <c r="A359" t="s">
        <v>963</v>
      </c>
      <c r="B359" t="s">
        <v>964</v>
      </c>
      <c r="C359" s="21" t="s">
        <v>227</v>
      </c>
      <c r="D359" t="s">
        <v>232</v>
      </c>
      <c r="E359" t="s">
        <v>233</v>
      </c>
      <c r="M359" s="19">
        <v>45933</v>
      </c>
      <c r="N359" s="20"/>
      <c r="O359" s="20"/>
    </row>
    <row r="360" ht="15" customHeight="1">
      <c r="A360" t="s">
        <v>965</v>
      </c>
      <c r="B360" t="s">
        <v>966</v>
      </c>
      <c r="C360" s="21" t="s">
        <v>227</v>
      </c>
      <c r="D360" t="s">
        <v>232</v>
      </c>
      <c r="E360" t="s">
        <v>233</v>
      </c>
      <c r="M360" s="19">
        <v>45933</v>
      </c>
      <c r="N360" s="20"/>
      <c r="O360" s="20"/>
    </row>
    <row r="361" ht="15" customHeight="1">
      <c r="A361" t="s">
        <v>967</v>
      </c>
      <c r="B361" t="s">
        <v>968</v>
      </c>
      <c r="C361" s="21" t="s">
        <v>227</v>
      </c>
      <c r="D361" t="s">
        <v>232</v>
      </c>
      <c r="E361" t="s">
        <v>233</v>
      </c>
      <c r="M361" s="19">
        <v>45933</v>
      </c>
      <c r="N361" s="20"/>
      <c r="O361" s="20"/>
    </row>
    <row r="362" ht="15" customHeight="1">
      <c r="A362" t="s">
        <v>969</v>
      </c>
      <c r="B362" t="s">
        <v>970</v>
      </c>
      <c r="C362" s="21" t="s">
        <v>227</v>
      </c>
      <c r="D362" t="s">
        <v>232</v>
      </c>
      <c r="E362" t="s">
        <v>233</v>
      </c>
      <c r="M362" s="19">
        <v>45933</v>
      </c>
      <c r="N362" s="20"/>
      <c r="O362" s="20"/>
    </row>
    <row r="363" ht="15" customHeight="1">
      <c r="A363" t="s">
        <v>971</v>
      </c>
      <c r="B363" t="s">
        <v>972</v>
      </c>
      <c r="C363" s="21" t="s">
        <v>227</v>
      </c>
      <c r="D363" t="s">
        <v>232</v>
      </c>
      <c r="E363" t="s">
        <v>233</v>
      </c>
      <c r="M363" s="19">
        <v>45933</v>
      </c>
      <c r="N363" s="20"/>
      <c r="O363" s="20"/>
    </row>
    <row r="364" ht="15" customHeight="1">
      <c r="A364" t="s">
        <v>973</v>
      </c>
      <c r="B364" t="s">
        <v>974</v>
      </c>
      <c r="C364" s="21" t="s">
        <v>227</v>
      </c>
      <c r="D364" t="s">
        <v>232</v>
      </c>
      <c r="E364" t="s">
        <v>233</v>
      </c>
      <c r="M364" s="19">
        <v>45933</v>
      </c>
      <c r="N364" s="20"/>
      <c r="O364" s="20"/>
    </row>
    <row r="365" ht="15" customHeight="1">
      <c r="A365" t="s">
        <v>975</v>
      </c>
      <c r="B365" t="s">
        <v>976</v>
      </c>
      <c r="C365" s="21" t="s">
        <v>227</v>
      </c>
      <c r="D365" t="s">
        <v>232</v>
      </c>
      <c r="E365" t="s">
        <v>233</v>
      </c>
      <c r="M365" s="19">
        <v>45933</v>
      </c>
      <c r="N365" s="20"/>
      <c r="O365" s="20"/>
    </row>
    <row r="366" ht="15" customHeight="1">
      <c r="A366" t="s">
        <v>977</v>
      </c>
      <c r="B366" t="s">
        <v>978</v>
      </c>
      <c r="C366" s="21" t="s">
        <v>227</v>
      </c>
      <c r="D366" t="s">
        <v>232</v>
      </c>
      <c r="E366" t="s">
        <v>233</v>
      </c>
      <c r="M366" s="19">
        <v>45933</v>
      </c>
      <c r="N366" s="20"/>
      <c r="O366" s="20"/>
    </row>
    <row r="367" ht="15" customHeight="1">
      <c r="A367" t="s">
        <v>979</v>
      </c>
      <c r="B367" t="s">
        <v>980</v>
      </c>
      <c r="C367" s="21" t="s">
        <v>227</v>
      </c>
      <c r="D367" t="s">
        <v>232</v>
      </c>
      <c r="E367" t="s">
        <v>233</v>
      </c>
      <c r="M367" s="19">
        <v>45933</v>
      </c>
      <c r="N367" s="20"/>
      <c r="O367" s="20"/>
    </row>
    <row r="368" ht="15" customHeight="1">
      <c r="A368" t="s">
        <v>981</v>
      </c>
      <c r="B368" t="s">
        <v>982</v>
      </c>
      <c r="C368" s="21" t="s">
        <v>227</v>
      </c>
      <c r="D368" t="s">
        <v>232</v>
      </c>
      <c r="E368" t="s">
        <v>233</v>
      </c>
      <c r="M368" s="19">
        <v>45933</v>
      </c>
      <c r="N368" s="20"/>
      <c r="O368" s="20"/>
    </row>
    <row r="369" ht="15" customHeight="1">
      <c r="A369" t="s">
        <v>983</v>
      </c>
      <c r="B369" t="s">
        <v>984</v>
      </c>
      <c r="C369" s="21" t="s">
        <v>227</v>
      </c>
      <c r="D369" t="s">
        <v>232</v>
      </c>
      <c r="E369" t="s">
        <v>233</v>
      </c>
      <c r="M369" s="19">
        <v>45933</v>
      </c>
      <c r="N369" s="20"/>
      <c r="O369" s="20"/>
    </row>
    <row r="370" ht="15" customHeight="1">
      <c r="A370" t="s">
        <v>985</v>
      </c>
      <c r="B370" t="s">
        <v>986</v>
      </c>
      <c r="C370" s="22" t="s">
        <v>55</v>
      </c>
      <c r="D370" t="s">
        <v>232</v>
      </c>
      <c r="E370" t="s">
        <v>233</v>
      </c>
      <c r="K370" t="s">
        <v>987</v>
      </c>
      <c r="M370" s="19">
        <v>45933</v>
      </c>
      <c r="N370" s="20"/>
      <c r="O370" s="20"/>
    </row>
    <row r="371" ht="15" customHeight="1">
      <c r="A371" t="s">
        <v>988</v>
      </c>
      <c r="B371" t="s">
        <v>989</v>
      </c>
      <c r="C371" s="21" t="s">
        <v>227</v>
      </c>
      <c r="D371" t="s">
        <v>813</v>
      </c>
      <c r="E371" t="s">
        <v>814</v>
      </c>
      <c r="M371" s="19">
        <v>45933</v>
      </c>
      <c r="N371" s="20"/>
      <c r="O371" s="20"/>
    </row>
    <row r="372" ht="15" customHeight="1">
      <c r="A372" t="s">
        <v>990</v>
      </c>
      <c r="B372" t="s">
        <v>991</v>
      </c>
      <c r="C372" s="21" t="s">
        <v>227</v>
      </c>
      <c r="D372" t="s">
        <v>232</v>
      </c>
      <c r="E372" t="s">
        <v>233</v>
      </c>
      <c r="M372" s="19">
        <v>45933</v>
      </c>
      <c r="N372" s="20"/>
      <c r="O372" s="20"/>
    </row>
    <row r="373" ht="15" customHeight="1">
      <c r="A373" t="s">
        <v>992</v>
      </c>
      <c r="B373" t="s">
        <v>993</v>
      </c>
      <c r="C373" s="22" t="s">
        <v>55</v>
      </c>
      <c r="D373" t="s">
        <v>228</v>
      </c>
      <c r="E373" t="s">
        <v>229</v>
      </c>
      <c r="K373" t="s">
        <v>994</v>
      </c>
      <c r="M373" s="19">
        <v>45930</v>
      </c>
      <c r="N373" s="20"/>
      <c r="O373" s="20"/>
    </row>
    <row r="374" ht="15" customHeight="1">
      <c r="A374" t="s">
        <v>995</v>
      </c>
      <c r="B374" t="s">
        <v>996</v>
      </c>
      <c r="C374" s="21" t="s">
        <v>227</v>
      </c>
      <c r="D374" t="s">
        <v>232</v>
      </c>
      <c r="E374" t="s">
        <v>233</v>
      </c>
      <c r="M374" s="19">
        <v>45930</v>
      </c>
      <c r="N374" s="20"/>
      <c r="O374" s="20"/>
    </row>
    <row r="375" ht="15" customHeight="1">
      <c r="A375" t="s">
        <v>997</v>
      </c>
      <c r="B375" t="s">
        <v>998</v>
      </c>
      <c r="C375" s="25" t="s">
        <v>999</v>
      </c>
      <c r="D375" t="s">
        <v>223</v>
      </c>
      <c r="E375" t="s">
        <v>224</v>
      </c>
      <c r="K375" t="s">
        <v>866</v>
      </c>
      <c r="M375" s="19">
        <v>45930</v>
      </c>
      <c r="N375" s="20"/>
      <c r="O375" s="20"/>
    </row>
    <row r="376" ht="15" customHeight="1">
      <c r="A376" t="s">
        <v>1000</v>
      </c>
      <c r="B376" t="s">
        <v>1001</v>
      </c>
      <c r="C376" s="21" t="s">
        <v>227</v>
      </c>
      <c r="D376" t="s">
        <v>232</v>
      </c>
      <c r="E376" t="s">
        <v>233</v>
      </c>
      <c r="M376" s="19">
        <v>45929</v>
      </c>
      <c r="N376" s="20"/>
      <c r="O376" s="20"/>
    </row>
    <row r="377" ht="15" customHeight="1">
      <c r="A377" t="s">
        <v>1002</v>
      </c>
      <c r="B377" t="s">
        <v>1003</v>
      </c>
      <c r="C377" s="21" t="s">
        <v>227</v>
      </c>
      <c r="D377" t="s">
        <v>232</v>
      </c>
      <c r="E377" t="s">
        <v>233</v>
      </c>
      <c r="M377" s="19">
        <v>45929</v>
      </c>
      <c r="N377" s="20"/>
      <c r="O377" s="20"/>
    </row>
    <row r="378" ht="15" customHeight="1">
      <c r="A378" t="s">
        <v>1004</v>
      </c>
      <c r="B378" t="s">
        <v>1005</v>
      </c>
      <c r="C378" s="21" t="s">
        <v>227</v>
      </c>
      <c r="D378" t="s">
        <v>232</v>
      </c>
      <c r="E378" t="s">
        <v>233</v>
      </c>
      <c r="M378" s="19">
        <v>45929</v>
      </c>
      <c r="N378" s="20"/>
      <c r="O378" s="20"/>
    </row>
    <row r="379" ht="15" customHeight="1">
      <c r="A379" t="s">
        <v>1006</v>
      </c>
      <c r="B379" t="s">
        <v>1007</v>
      </c>
      <c r="C379" s="21" t="s">
        <v>227</v>
      </c>
      <c r="D379" t="s">
        <v>232</v>
      </c>
      <c r="E379" t="s">
        <v>233</v>
      </c>
      <c r="M379" s="19">
        <v>45929</v>
      </c>
      <c r="N379" s="20"/>
      <c r="O379" s="20"/>
    </row>
    <row r="380" ht="15" customHeight="1">
      <c r="A380" t="s">
        <v>1008</v>
      </c>
      <c r="B380" t="s">
        <v>1009</v>
      </c>
      <c r="C380" s="22" t="s">
        <v>55</v>
      </c>
      <c r="D380" t="s">
        <v>232</v>
      </c>
      <c r="E380" t="s">
        <v>233</v>
      </c>
      <c r="H380">
        <v>13</v>
      </c>
      <c r="K380" t="s">
        <v>791</v>
      </c>
      <c r="M380" s="19">
        <v>45929</v>
      </c>
      <c r="N380" s="20"/>
      <c r="O380" s="20"/>
    </row>
    <row r="381" ht="15" customHeight="1">
      <c r="A381" t="s">
        <v>1010</v>
      </c>
      <c r="B381" t="s">
        <v>1011</v>
      </c>
      <c r="C381" s="21" t="s">
        <v>227</v>
      </c>
      <c r="D381" t="s">
        <v>232</v>
      </c>
      <c r="E381" t="s">
        <v>233</v>
      </c>
      <c r="M381" s="19">
        <v>45929</v>
      </c>
      <c r="N381" s="20"/>
      <c r="O381" s="20"/>
    </row>
    <row r="382" ht="15" customHeight="1">
      <c r="A382" t="s">
        <v>1012</v>
      </c>
      <c r="B382" t="s">
        <v>1013</v>
      </c>
      <c r="C382" s="21" t="s">
        <v>227</v>
      </c>
      <c r="D382" t="s">
        <v>232</v>
      </c>
      <c r="E382" t="s">
        <v>233</v>
      </c>
      <c r="M382" s="19">
        <v>45929</v>
      </c>
      <c r="N382" s="20"/>
      <c r="O382" s="20"/>
    </row>
    <row r="383" ht="15" customHeight="1">
      <c r="A383" t="s">
        <v>1014</v>
      </c>
      <c r="B383" t="s">
        <v>1015</v>
      </c>
      <c r="C383" s="21" t="s">
        <v>227</v>
      </c>
      <c r="D383" t="s">
        <v>232</v>
      </c>
      <c r="E383" t="s">
        <v>233</v>
      </c>
      <c r="M383" s="19">
        <v>45929</v>
      </c>
      <c r="N383" s="20"/>
      <c r="O383" s="20"/>
    </row>
    <row r="384" ht="15" customHeight="1">
      <c r="A384" t="s">
        <v>1016</v>
      </c>
      <c r="B384" t="s">
        <v>1017</v>
      </c>
      <c r="C384" s="21" t="s">
        <v>227</v>
      </c>
      <c r="D384" t="s">
        <v>232</v>
      </c>
      <c r="E384" t="s">
        <v>233</v>
      </c>
      <c r="M384" s="19">
        <v>45929</v>
      </c>
      <c r="N384" s="20"/>
      <c r="O384" s="20"/>
    </row>
    <row r="385" ht="15" customHeight="1">
      <c r="A385" t="s">
        <v>1018</v>
      </c>
      <c r="B385" t="s">
        <v>1019</v>
      </c>
      <c r="C385" s="21" t="s">
        <v>227</v>
      </c>
      <c r="D385" t="s">
        <v>232</v>
      </c>
      <c r="E385" t="s">
        <v>233</v>
      </c>
      <c r="M385" s="19">
        <v>45929</v>
      </c>
      <c r="N385" s="20"/>
      <c r="O385" s="20"/>
    </row>
    <row r="386" ht="15" customHeight="1">
      <c r="A386" t="s">
        <v>1020</v>
      </c>
      <c r="B386" t="s">
        <v>1021</v>
      </c>
      <c r="C386" s="21" t="s">
        <v>227</v>
      </c>
      <c r="D386" t="s">
        <v>232</v>
      </c>
      <c r="E386" t="s">
        <v>233</v>
      </c>
      <c r="H386">
        <v>13</v>
      </c>
      <c r="M386" s="19">
        <v>45929</v>
      </c>
      <c r="N386" s="20"/>
      <c r="O386" s="20"/>
    </row>
    <row r="387" ht="15" customHeight="1">
      <c r="A387" t="s">
        <v>1022</v>
      </c>
      <c r="B387" t="s">
        <v>1023</v>
      </c>
      <c r="C387" s="21" t="s">
        <v>227</v>
      </c>
      <c r="D387" t="s">
        <v>232</v>
      </c>
      <c r="E387" t="s">
        <v>233</v>
      </c>
      <c r="H387">
        <v>8</v>
      </c>
      <c r="M387" s="19">
        <v>45929</v>
      </c>
      <c r="N387" s="20"/>
      <c r="O387" s="20"/>
    </row>
    <row r="388" ht="15" customHeight="1">
      <c r="A388" t="s">
        <v>1024</v>
      </c>
      <c r="B388" t="s">
        <v>1025</v>
      </c>
      <c r="C388" s="21" t="s">
        <v>227</v>
      </c>
      <c r="D388" t="s">
        <v>232</v>
      </c>
      <c r="E388" t="s">
        <v>233</v>
      </c>
      <c r="M388" s="19">
        <v>45929</v>
      </c>
      <c r="N388" s="20"/>
      <c r="O388" s="20"/>
    </row>
    <row r="389" ht="15" customHeight="1">
      <c r="A389" t="s">
        <v>1026</v>
      </c>
      <c r="B389" t="s">
        <v>1027</v>
      </c>
      <c r="C389" s="21" t="s">
        <v>227</v>
      </c>
      <c r="D389" t="s">
        <v>232</v>
      </c>
      <c r="E389" t="s">
        <v>233</v>
      </c>
      <c r="G389" t="s">
        <v>844</v>
      </c>
      <c r="M389" s="19">
        <v>45929</v>
      </c>
      <c r="N389" s="20"/>
      <c r="O389" s="20"/>
    </row>
    <row r="390" ht="15" customHeight="1">
      <c r="A390" t="s">
        <v>1028</v>
      </c>
      <c r="B390" t="s">
        <v>1029</v>
      </c>
      <c r="C390" s="22" t="s">
        <v>55</v>
      </c>
      <c r="D390" t="s">
        <v>232</v>
      </c>
      <c r="E390" t="s">
        <v>233</v>
      </c>
      <c r="G390" t="s">
        <v>844</v>
      </c>
      <c r="M390" s="19">
        <v>45929</v>
      </c>
      <c r="N390" s="20"/>
      <c r="O390" s="20"/>
    </row>
    <row r="391" ht="15" customHeight="1">
      <c r="A391" t="s">
        <v>1030</v>
      </c>
      <c r="B391" t="s">
        <v>1031</v>
      </c>
      <c r="C391" s="21" t="s">
        <v>227</v>
      </c>
      <c r="D391" t="s">
        <v>232</v>
      </c>
      <c r="E391" t="s">
        <v>233</v>
      </c>
      <c r="M391" s="19">
        <v>45929</v>
      </c>
      <c r="N391" s="20"/>
      <c r="O391" s="20"/>
    </row>
    <row r="392" ht="15" customHeight="1">
      <c r="A392" t="s">
        <v>1032</v>
      </c>
      <c r="B392" t="s">
        <v>1033</v>
      </c>
      <c r="C392" s="21" t="s">
        <v>227</v>
      </c>
      <c r="D392" t="s">
        <v>232</v>
      </c>
      <c r="E392" t="s">
        <v>233</v>
      </c>
      <c r="M392" s="19">
        <v>45929</v>
      </c>
      <c r="N392" s="20"/>
      <c r="O392" s="20"/>
    </row>
    <row r="393" ht="15" customHeight="1">
      <c r="A393" t="s">
        <v>1034</v>
      </c>
      <c r="B393" t="s">
        <v>1035</v>
      </c>
      <c r="C393" t="s">
        <v>259</v>
      </c>
      <c r="D393" t="s">
        <v>223</v>
      </c>
      <c r="E393" t="s">
        <v>224</v>
      </c>
      <c r="M393" s="19">
        <v>45929</v>
      </c>
      <c r="N393" s="20"/>
      <c r="O393" s="20"/>
    </row>
    <row r="394" ht="15" customHeight="1">
      <c r="A394" t="s">
        <v>1036</v>
      </c>
      <c r="B394" t="s">
        <v>1035</v>
      </c>
      <c r="C394" s="23" t="s">
        <v>309</v>
      </c>
      <c r="D394" t="s">
        <v>232</v>
      </c>
      <c r="E394" t="s">
        <v>233</v>
      </c>
      <c r="M394" s="19">
        <v>45929</v>
      </c>
      <c r="N394" s="20"/>
      <c r="O394" s="20"/>
    </row>
    <row r="395" ht="15" customHeight="1">
      <c r="A395" t="s">
        <v>1037</v>
      </c>
      <c r="B395" t="s">
        <v>1038</v>
      </c>
      <c r="C395" s="21" t="s">
        <v>227</v>
      </c>
      <c r="D395" t="s">
        <v>232</v>
      </c>
      <c r="E395" t="s">
        <v>233</v>
      </c>
      <c r="M395" s="19">
        <v>45929</v>
      </c>
      <c r="N395" s="20"/>
      <c r="O395" s="20"/>
    </row>
    <row r="396" ht="15" customHeight="1">
      <c r="A396" t="s">
        <v>1039</v>
      </c>
      <c r="B396" t="s">
        <v>1040</v>
      </c>
      <c r="C396" s="21" t="s">
        <v>227</v>
      </c>
      <c r="D396" t="s">
        <v>232</v>
      </c>
      <c r="E396" t="s">
        <v>233</v>
      </c>
      <c r="M396" s="19">
        <v>45929</v>
      </c>
      <c r="N396" s="20"/>
      <c r="O396" s="20"/>
    </row>
    <row r="397" ht="15" customHeight="1">
      <c r="A397" t="s">
        <v>1041</v>
      </c>
      <c r="B397" t="s">
        <v>1042</v>
      </c>
      <c r="C397" s="21" t="s">
        <v>227</v>
      </c>
      <c r="D397" t="s">
        <v>232</v>
      </c>
      <c r="E397" t="s">
        <v>233</v>
      </c>
      <c r="M397" s="19">
        <v>45929</v>
      </c>
      <c r="N397" s="20"/>
      <c r="O397" s="20"/>
    </row>
    <row r="398" ht="15" customHeight="1">
      <c r="A398" t="s">
        <v>1043</v>
      </c>
      <c r="B398" t="s">
        <v>1044</v>
      </c>
      <c r="C398" s="21" t="s">
        <v>227</v>
      </c>
      <c r="D398" t="s">
        <v>232</v>
      </c>
      <c r="E398" t="s">
        <v>233</v>
      </c>
      <c r="M398" s="19">
        <v>45926</v>
      </c>
      <c r="N398" s="20"/>
      <c r="O398" s="20"/>
    </row>
    <row r="399" ht="15" customHeight="1">
      <c r="A399" t="s">
        <v>1045</v>
      </c>
      <c r="B399" t="s">
        <v>1046</v>
      </c>
      <c r="C399" s="24" t="s">
        <v>322</v>
      </c>
      <c r="D399" t="s">
        <v>228</v>
      </c>
      <c r="E399" t="s">
        <v>229</v>
      </c>
      <c r="H399">
        <v>1</v>
      </c>
      <c r="K399" t="s">
        <v>286</v>
      </c>
      <c r="M399" s="19">
        <v>45925</v>
      </c>
      <c r="N399" s="20"/>
      <c r="O399" s="20"/>
    </row>
    <row r="400" ht="15" customHeight="1">
      <c r="A400" t="s">
        <v>1047</v>
      </c>
      <c r="B400" t="s">
        <v>1048</v>
      </c>
      <c r="C400" s="21" t="s">
        <v>227</v>
      </c>
      <c r="D400" t="s">
        <v>232</v>
      </c>
      <c r="E400" t="s">
        <v>233</v>
      </c>
      <c r="M400" s="19">
        <v>45925</v>
      </c>
      <c r="N400" s="20"/>
      <c r="O400" s="20"/>
    </row>
    <row r="401" ht="15" customHeight="1">
      <c r="A401" t="s">
        <v>1049</v>
      </c>
      <c r="B401" t="s">
        <v>1050</v>
      </c>
      <c r="C401" s="21" t="s">
        <v>227</v>
      </c>
      <c r="D401" t="s">
        <v>232</v>
      </c>
      <c r="E401" t="s">
        <v>233</v>
      </c>
      <c r="G401" t="s">
        <v>144</v>
      </c>
      <c r="M401" s="19">
        <v>45923</v>
      </c>
      <c r="N401" s="20"/>
      <c r="O401" s="20"/>
    </row>
    <row r="402" ht="15" customHeight="1">
      <c r="A402" t="s">
        <v>1051</v>
      </c>
      <c r="B402" t="s">
        <v>1052</v>
      </c>
      <c r="C402" s="21" t="s">
        <v>227</v>
      </c>
      <c r="D402" t="s">
        <v>232</v>
      </c>
      <c r="E402" t="s">
        <v>233</v>
      </c>
      <c r="G402" t="s">
        <v>1053</v>
      </c>
      <c r="M402" s="19">
        <v>45923</v>
      </c>
      <c r="N402" s="20"/>
      <c r="O402" s="20"/>
    </row>
    <row r="403" ht="15" customHeight="1">
      <c r="A403" t="s">
        <v>1054</v>
      </c>
      <c r="B403" t="s">
        <v>1055</v>
      </c>
      <c r="C403" s="21" t="s">
        <v>227</v>
      </c>
      <c r="D403" t="s">
        <v>228</v>
      </c>
      <c r="E403" t="s">
        <v>229</v>
      </c>
      <c r="M403" s="19">
        <v>45923</v>
      </c>
      <c r="N403" s="20"/>
      <c r="O403" s="20"/>
    </row>
    <row r="404" ht="15" customHeight="1">
      <c r="A404" t="s">
        <v>1056</v>
      </c>
      <c r="B404" t="s">
        <v>48</v>
      </c>
      <c r="C404" t="s">
        <v>1057</v>
      </c>
      <c r="D404" t="s">
        <v>223</v>
      </c>
      <c r="E404" t="s">
        <v>224</v>
      </c>
      <c r="M404" s="19">
        <v>45923</v>
      </c>
      <c r="N404" s="20"/>
      <c r="O404" s="20"/>
    </row>
    <row r="405" ht="15" customHeight="1">
      <c r="A405" t="s">
        <v>1058</v>
      </c>
      <c r="B405" t="s">
        <v>1059</v>
      </c>
      <c r="C405" t="s">
        <v>259</v>
      </c>
      <c r="D405" t="s">
        <v>223</v>
      </c>
      <c r="E405" t="s">
        <v>224</v>
      </c>
      <c r="M405" s="19">
        <v>45923</v>
      </c>
      <c r="N405" s="20"/>
      <c r="O405" s="20"/>
    </row>
    <row r="406" ht="15" customHeight="1">
      <c r="A406" t="s">
        <v>1060</v>
      </c>
      <c r="B406" t="s">
        <v>1061</v>
      </c>
      <c r="C406" s="21" t="s">
        <v>227</v>
      </c>
      <c r="D406" t="s">
        <v>232</v>
      </c>
      <c r="E406" t="s">
        <v>233</v>
      </c>
      <c r="M406" s="19">
        <v>45923</v>
      </c>
      <c r="N406" s="20"/>
      <c r="O406" s="20"/>
    </row>
    <row r="407" ht="15" customHeight="1">
      <c r="A407" t="s">
        <v>1062</v>
      </c>
      <c r="B407" t="s">
        <v>1063</v>
      </c>
      <c r="C407" s="21" t="s">
        <v>227</v>
      </c>
      <c r="D407" t="s">
        <v>232</v>
      </c>
      <c r="E407" t="s">
        <v>233</v>
      </c>
      <c r="M407" s="19">
        <v>45923</v>
      </c>
      <c r="N407" s="20"/>
      <c r="O407" s="20"/>
    </row>
    <row r="408" ht="15" customHeight="1">
      <c r="A408" t="s">
        <v>1064</v>
      </c>
      <c r="B408" t="s">
        <v>1065</v>
      </c>
      <c r="C408" s="21" t="s">
        <v>227</v>
      </c>
      <c r="D408" t="s">
        <v>232</v>
      </c>
      <c r="E408" t="s">
        <v>233</v>
      </c>
      <c r="M408" s="19">
        <v>45923</v>
      </c>
      <c r="N408" s="20"/>
      <c r="O408" s="20"/>
    </row>
    <row r="409" ht="15" customHeight="1">
      <c r="A409" t="s">
        <v>1066</v>
      </c>
      <c r="B409" t="s">
        <v>1067</v>
      </c>
      <c r="C409" s="21" t="s">
        <v>227</v>
      </c>
      <c r="D409" t="s">
        <v>232</v>
      </c>
      <c r="E409" t="s">
        <v>233</v>
      </c>
      <c r="M409" s="19">
        <v>45923</v>
      </c>
      <c r="N409" s="20"/>
      <c r="O409" s="20"/>
    </row>
    <row r="410" ht="15" customHeight="1">
      <c r="A410" t="s">
        <v>1068</v>
      </c>
      <c r="B410" t="s">
        <v>1069</v>
      </c>
      <c r="C410" t="s">
        <v>259</v>
      </c>
      <c r="D410" t="s">
        <v>223</v>
      </c>
      <c r="E410" t="s">
        <v>224</v>
      </c>
      <c r="M410" s="19">
        <v>45923</v>
      </c>
      <c r="N410" s="19">
        <v>45945</v>
      </c>
      <c r="O410" s="20"/>
    </row>
    <row r="411" ht="15" customHeight="1">
      <c r="A411" t="s">
        <v>1070</v>
      </c>
      <c r="B411" t="s">
        <v>1071</v>
      </c>
      <c r="C411" s="23" t="s">
        <v>309</v>
      </c>
      <c r="D411" t="s">
        <v>232</v>
      </c>
      <c r="E411" t="s">
        <v>233</v>
      </c>
      <c r="K411" t="s">
        <v>802</v>
      </c>
      <c r="M411" s="19">
        <v>45922</v>
      </c>
      <c r="N411" s="20"/>
      <c r="O411" s="20"/>
    </row>
    <row r="412" ht="15" customHeight="1">
      <c r="A412" t="s">
        <v>1072</v>
      </c>
      <c r="B412" t="s">
        <v>1073</v>
      </c>
      <c r="C412" s="23" t="s">
        <v>309</v>
      </c>
      <c r="D412" t="s">
        <v>232</v>
      </c>
      <c r="E412" t="s">
        <v>233</v>
      </c>
      <c r="M412" s="19">
        <v>45921</v>
      </c>
      <c r="N412" s="20"/>
      <c r="O412" s="20"/>
    </row>
    <row r="413" ht="15" customHeight="1">
      <c r="A413" t="s">
        <v>1074</v>
      </c>
      <c r="B413" t="s">
        <v>1075</v>
      </c>
      <c r="C413" t="s">
        <v>259</v>
      </c>
      <c r="D413" t="s">
        <v>223</v>
      </c>
      <c r="E413" t="s">
        <v>224</v>
      </c>
      <c r="M413" s="19">
        <v>45916</v>
      </c>
      <c r="N413" s="20"/>
      <c r="O413" s="20"/>
    </row>
    <row r="414" ht="15" customHeight="1">
      <c r="A414" t="s">
        <v>1076</v>
      </c>
      <c r="B414" t="s">
        <v>1077</v>
      </c>
      <c r="C414" s="21" t="s">
        <v>227</v>
      </c>
      <c r="D414" t="s">
        <v>232</v>
      </c>
      <c r="E414" t="s">
        <v>233</v>
      </c>
      <c r="M414" s="19">
        <v>45916</v>
      </c>
      <c r="N414" s="20"/>
      <c r="O414" s="20"/>
    </row>
    <row r="415" ht="15" customHeight="1">
      <c r="A415" t="s">
        <v>1078</v>
      </c>
      <c r="B415" t="s">
        <v>1079</v>
      </c>
      <c r="C415" s="23" t="s">
        <v>309</v>
      </c>
      <c r="D415" t="s">
        <v>232</v>
      </c>
      <c r="E415" t="s">
        <v>233</v>
      </c>
      <c r="M415" s="19">
        <v>45916</v>
      </c>
      <c r="N415" s="20"/>
      <c r="O415" s="20"/>
    </row>
    <row r="416" ht="15" customHeight="1">
      <c r="A416" t="s">
        <v>1080</v>
      </c>
      <c r="B416" t="s">
        <v>1081</v>
      </c>
      <c r="C416" s="21" t="s">
        <v>227</v>
      </c>
      <c r="D416" t="s">
        <v>232</v>
      </c>
      <c r="E416" t="s">
        <v>233</v>
      </c>
      <c r="M416" s="19">
        <v>45916</v>
      </c>
      <c r="N416" s="20"/>
      <c r="O416" s="20"/>
    </row>
    <row r="417" ht="15" customHeight="1">
      <c r="A417" t="s">
        <v>1082</v>
      </c>
      <c r="B417" t="s">
        <v>1083</v>
      </c>
      <c r="C417" s="21" t="s">
        <v>227</v>
      </c>
      <c r="D417" t="s">
        <v>232</v>
      </c>
      <c r="E417" t="s">
        <v>233</v>
      </c>
      <c r="M417" s="19">
        <v>45916</v>
      </c>
      <c r="N417" s="20"/>
      <c r="O417" s="20"/>
    </row>
    <row r="418" ht="15" customHeight="1">
      <c r="A418" t="s">
        <v>1084</v>
      </c>
      <c r="B418" t="s">
        <v>1085</v>
      </c>
      <c r="C418" t="s">
        <v>314</v>
      </c>
      <c r="D418" t="s">
        <v>232</v>
      </c>
      <c r="E418" t="s">
        <v>233</v>
      </c>
      <c r="K418" t="s">
        <v>866</v>
      </c>
      <c r="M418" s="19">
        <v>45916</v>
      </c>
      <c r="N418" s="20"/>
      <c r="O418" s="20"/>
    </row>
    <row r="419" ht="15" customHeight="1">
      <c r="A419" t="s">
        <v>1086</v>
      </c>
      <c r="B419" t="s">
        <v>1087</v>
      </c>
      <c r="C419" s="23" t="s">
        <v>309</v>
      </c>
      <c r="D419" t="s">
        <v>232</v>
      </c>
      <c r="E419" t="s">
        <v>233</v>
      </c>
      <c r="M419" s="19">
        <v>45916</v>
      </c>
      <c r="N419" s="20"/>
      <c r="O419" s="20"/>
    </row>
    <row r="420" ht="15" customHeight="1">
      <c r="A420" t="s">
        <v>1088</v>
      </c>
      <c r="B420" t="s">
        <v>1089</v>
      </c>
      <c r="C420" s="21" t="s">
        <v>227</v>
      </c>
      <c r="D420" t="s">
        <v>250</v>
      </c>
      <c r="E420" t="s">
        <v>251</v>
      </c>
      <c r="M420" s="19">
        <v>45916</v>
      </c>
      <c r="N420" s="20"/>
      <c r="O420" s="20"/>
    </row>
    <row r="421" ht="15" customHeight="1">
      <c r="A421" t="s">
        <v>1090</v>
      </c>
      <c r="B421" t="s">
        <v>1091</v>
      </c>
      <c r="C421" s="21" t="s">
        <v>227</v>
      </c>
      <c r="D421" t="s">
        <v>228</v>
      </c>
      <c r="E421" t="s">
        <v>229</v>
      </c>
      <c r="M421" s="19">
        <v>45916</v>
      </c>
      <c r="N421" s="20"/>
      <c r="O421" s="20"/>
    </row>
    <row r="422" ht="15" customHeight="1">
      <c r="A422" t="s">
        <v>1092</v>
      </c>
      <c r="B422" t="s">
        <v>1093</v>
      </c>
      <c r="C422" s="21" t="s">
        <v>227</v>
      </c>
      <c r="D422" t="s">
        <v>228</v>
      </c>
      <c r="E422" t="s">
        <v>229</v>
      </c>
      <c r="M422" s="19">
        <v>45916</v>
      </c>
      <c r="N422" s="20"/>
      <c r="O422" s="20"/>
    </row>
    <row r="423" ht="15" customHeight="1">
      <c r="A423" t="s">
        <v>1094</v>
      </c>
      <c r="B423" t="s">
        <v>1095</v>
      </c>
      <c r="C423" s="21" t="s">
        <v>227</v>
      </c>
      <c r="D423" t="s">
        <v>228</v>
      </c>
      <c r="E423" t="s">
        <v>229</v>
      </c>
      <c r="M423" s="19">
        <v>45916</v>
      </c>
      <c r="N423" s="20"/>
      <c r="O423" s="20"/>
    </row>
    <row r="424" ht="15" customHeight="1">
      <c r="A424" t="s">
        <v>1096</v>
      </c>
      <c r="B424" t="s">
        <v>1097</v>
      </c>
      <c r="C424" s="21" t="s">
        <v>227</v>
      </c>
      <c r="D424" t="s">
        <v>228</v>
      </c>
      <c r="E424" t="s">
        <v>229</v>
      </c>
      <c r="M424" s="19">
        <v>45916</v>
      </c>
      <c r="N424" s="20"/>
      <c r="O424" s="20"/>
    </row>
    <row r="425" ht="15" customHeight="1">
      <c r="A425" t="s">
        <v>1098</v>
      </c>
      <c r="B425" t="s">
        <v>1099</v>
      </c>
      <c r="C425" s="21" t="s">
        <v>227</v>
      </c>
      <c r="D425" t="s">
        <v>228</v>
      </c>
      <c r="E425" t="s">
        <v>229</v>
      </c>
      <c r="M425" s="19">
        <v>45916</v>
      </c>
      <c r="N425" s="20"/>
      <c r="O425" s="20"/>
    </row>
    <row r="426" ht="15" customHeight="1">
      <c r="A426" t="s">
        <v>1100</v>
      </c>
      <c r="B426" t="s">
        <v>1101</v>
      </c>
      <c r="C426" s="21" t="s">
        <v>227</v>
      </c>
      <c r="D426" t="s">
        <v>228</v>
      </c>
      <c r="E426" t="s">
        <v>229</v>
      </c>
      <c r="M426" s="19">
        <v>45916</v>
      </c>
      <c r="N426" s="20"/>
      <c r="O426" s="20"/>
    </row>
    <row r="427" ht="15" customHeight="1">
      <c r="A427" t="s">
        <v>1102</v>
      </c>
      <c r="B427" t="s">
        <v>1103</v>
      </c>
      <c r="C427" s="21" t="s">
        <v>227</v>
      </c>
      <c r="D427" t="s">
        <v>228</v>
      </c>
      <c r="E427" t="s">
        <v>229</v>
      </c>
      <c r="M427" s="19">
        <v>45916</v>
      </c>
      <c r="N427" s="20"/>
      <c r="O427" s="20"/>
    </row>
    <row r="428" ht="15" customHeight="1">
      <c r="A428" t="s">
        <v>1104</v>
      </c>
      <c r="B428" t="s">
        <v>1105</v>
      </c>
      <c r="C428" t="s">
        <v>314</v>
      </c>
      <c r="D428" t="s">
        <v>813</v>
      </c>
      <c r="E428" t="s">
        <v>814</v>
      </c>
      <c r="K428" t="s">
        <v>815</v>
      </c>
      <c r="M428" s="19">
        <v>45916</v>
      </c>
      <c r="N428" s="20"/>
      <c r="O428" s="20"/>
    </row>
    <row r="429" ht="15" customHeight="1">
      <c r="A429" t="s">
        <v>1106</v>
      </c>
      <c r="B429" t="s">
        <v>1107</v>
      </c>
      <c r="C429" s="21" t="s">
        <v>227</v>
      </c>
      <c r="D429" t="s">
        <v>250</v>
      </c>
      <c r="E429" t="s">
        <v>251</v>
      </c>
      <c r="M429" s="19">
        <v>45911</v>
      </c>
      <c r="N429" s="20"/>
      <c r="O429" s="20"/>
    </row>
    <row r="430" ht="15" customHeight="1">
      <c r="A430" t="s">
        <v>1108</v>
      </c>
      <c r="B430" t="s">
        <v>1109</v>
      </c>
      <c r="C430" s="23" t="s">
        <v>309</v>
      </c>
      <c r="D430" t="s">
        <v>232</v>
      </c>
      <c r="E430" t="s">
        <v>233</v>
      </c>
      <c r="M430" s="19">
        <v>45910</v>
      </c>
      <c r="N430" s="20"/>
      <c r="O430" s="20"/>
    </row>
    <row r="431" ht="15" customHeight="1">
      <c r="A431" t="s">
        <v>1110</v>
      </c>
      <c r="B431" t="s">
        <v>1111</v>
      </c>
      <c r="C431" s="21" t="s">
        <v>227</v>
      </c>
      <c r="D431" t="s">
        <v>250</v>
      </c>
      <c r="E431" t="s">
        <v>251</v>
      </c>
      <c r="M431" s="19">
        <v>45909</v>
      </c>
      <c r="N431" s="20"/>
      <c r="O431" s="20"/>
    </row>
    <row r="432" ht="15" customHeight="1">
      <c r="A432" t="s">
        <v>1112</v>
      </c>
      <c r="B432" t="s">
        <v>1113</v>
      </c>
      <c r="C432" s="21" t="s">
        <v>227</v>
      </c>
      <c r="D432" t="s">
        <v>232</v>
      </c>
      <c r="E432" t="s">
        <v>233</v>
      </c>
      <c r="M432" s="19">
        <v>45909</v>
      </c>
      <c r="N432" s="20"/>
      <c r="O432" s="20"/>
    </row>
    <row r="433" ht="15" customHeight="1">
      <c r="A433" t="s">
        <v>1114</v>
      </c>
      <c r="B433" t="s">
        <v>1115</v>
      </c>
      <c r="C433" s="23" t="s">
        <v>309</v>
      </c>
      <c r="D433" t="s">
        <v>232</v>
      </c>
      <c r="E433" t="s">
        <v>233</v>
      </c>
      <c r="M433" s="19">
        <v>45905</v>
      </c>
      <c r="N433" s="20"/>
      <c r="O433" s="19">
        <v>45909</v>
      </c>
    </row>
    <row r="434" ht="15" customHeight="1">
      <c r="A434" t="s">
        <v>1116</v>
      </c>
      <c r="B434" t="s">
        <v>1117</v>
      </c>
      <c r="C434" s="21" t="s">
        <v>227</v>
      </c>
      <c r="D434" t="s">
        <v>232</v>
      </c>
      <c r="E434" t="s">
        <v>233</v>
      </c>
      <c r="M434" s="19">
        <v>45905</v>
      </c>
      <c r="N434" s="20"/>
      <c r="O434" s="20"/>
    </row>
    <row r="435" ht="15" customHeight="1">
      <c r="A435" t="s">
        <v>1118</v>
      </c>
      <c r="B435" t="s">
        <v>1119</v>
      </c>
      <c r="C435" s="21" t="s">
        <v>227</v>
      </c>
      <c r="D435" t="s">
        <v>232</v>
      </c>
      <c r="E435" t="s">
        <v>233</v>
      </c>
      <c r="M435" s="19">
        <v>45905</v>
      </c>
      <c r="N435" s="20"/>
      <c r="O435" s="20"/>
    </row>
    <row r="436" ht="15" customHeight="1">
      <c r="A436" t="s">
        <v>1120</v>
      </c>
      <c r="B436" t="s">
        <v>1121</v>
      </c>
      <c r="C436" s="24" t="s">
        <v>322</v>
      </c>
      <c r="D436" t="s">
        <v>228</v>
      </c>
      <c r="E436" t="s">
        <v>229</v>
      </c>
      <c r="H436">
        <v>5</v>
      </c>
      <c r="K436" t="s">
        <v>286</v>
      </c>
      <c r="M436" s="19">
        <v>45905</v>
      </c>
      <c r="N436" s="20"/>
      <c r="O436" s="20"/>
    </row>
    <row r="437" ht="15" customHeight="1">
      <c r="A437" t="s">
        <v>1122</v>
      </c>
      <c r="B437" t="s">
        <v>1123</v>
      </c>
      <c r="C437" s="21" t="s">
        <v>227</v>
      </c>
      <c r="D437" t="s">
        <v>250</v>
      </c>
      <c r="E437" t="s">
        <v>251</v>
      </c>
      <c r="M437" s="19">
        <v>45905</v>
      </c>
      <c r="N437" s="20"/>
      <c r="O437" s="20"/>
    </row>
    <row r="438" ht="15" customHeight="1">
      <c r="A438" t="s">
        <v>1124</v>
      </c>
      <c r="B438" t="s">
        <v>1125</v>
      </c>
      <c r="C438" s="21" t="s">
        <v>227</v>
      </c>
      <c r="D438" t="s">
        <v>232</v>
      </c>
      <c r="E438" t="s">
        <v>233</v>
      </c>
      <c r="M438" s="19">
        <v>45905</v>
      </c>
      <c r="N438" s="20"/>
      <c r="O438" s="20"/>
    </row>
    <row r="439" ht="15" customHeight="1">
      <c r="A439" t="s">
        <v>1126</v>
      </c>
      <c r="B439" t="s">
        <v>1127</v>
      </c>
      <c r="C439" t="s">
        <v>259</v>
      </c>
      <c r="D439" t="s">
        <v>223</v>
      </c>
      <c r="E439" t="s">
        <v>224</v>
      </c>
      <c r="M439" s="19">
        <v>45905</v>
      </c>
      <c r="N439" s="20"/>
      <c r="O439" s="20"/>
    </row>
    <row r="440" ht="15" customHeight="1">
      <c r="A440" t="s">
        <v>1128</v>
      </c>
      <c r="B440" t="s">
        <v>1129</v>
      </c>
      <c r="C440" t="s">
        <v>259</v>
      </c>
      <c r="D440" t="s">
        <v>223</v>
      </c>
      <c r="E440" t="s">
        <v>224</v>
      </c>
      <c r="M440" s="19">
        <v>45905</v>
      </c>
      <c r="N440" s="20"/>
      <c r="O440" s="20"/>
    </row>
    <row r="441" ht="15" customHeight="1">
      <c r="A441" t="s">
        <v>1130</v>
      </c>
      <c r="B441" t="s">
        <v>1131</v>
      </c>
      <c r="C441" t="s">
        <v>259</v>
      </c>
      <c r="D441" t="s">
        <v>223</v>
      </c>
      <c r="E441" t="s">
        <v>224</v>
      </c>
      <c r="K441" t="s">
        <v>1132</v>
      </c>
      <c r="M441" s="19">
        <v>45905</v>
      </c>
      <c r="N441" s="19">
        <v>46022</v>
      </c>
      <c r="O441" s="20"/>
    </row>
    <row r="442" ht="15" customHeight="1">
      <c r="A442" t="s">
        <v>1133</v>
      </c>
      <c r="B442" t="s">
        <v>1134</v>
      </c>
      <c r="C442" t="s">
        <v>314</v>
      </c>
      <c r="D442" t="s">
        <v>250</v>
      </c>
      <c r="E442" t="s">
        <v>251</v>
      </c>
      <c r="K442" t="s">
        <v>1135</v>
      </c>
      <c r="M442" s="19">
        <v>45905</v>
      </c>
      <c r="N442" s="20"/>
      <c r="O442" s="20"/>
    </row>
    <row r="443" ht="15" customHeight="1">
      <c r="A443" t="s">
        <v>1136</v>
      </c>
      <c r="B443" t="s">
        <v>1137</v>
      </c>
      <c r="C443" s="21" t="s">
        <v>227</v>
      </c>
      <c r="D443" t="s">
        <v>250</v>
      </c>
      <c r="E443" t="s">
        <v>251</v>
      </c>
      <c r="M443" s="19">
        <v>45905</v>
      </c>
      <c r="N443" s="20"/>
      <c r="O443" s="20"/>
    </row>
    <row r="444" ht="15" customHeight="1">
      <c r="A444" t="s">
        <v>1138</v>
      </c>
      <c r="B444" t="s">
        <v>1139</v>
      </c>
      <c r="C444" s="23" t="s">
        <v>309</v>
      </c>
      <c r="D444" t="s">
        <v>228</v>
      </c>
      <c r="E444" t="s">
        <v>229</v>
      </c>
      <c r="M444" s="19">
        <v>45905</v>
      </c>
      <c r="N444" s="20"/>
      <c r="O444" s="20"/>
    </row>
    <row r="445" ht="15" customHeight="1">
      <c r="A445" t="s">
        <v>1140</v>
      </c>
      <c r="B445" t="s">
        <v>1141</v>
      </c>
      <c r="C445" s="21" t="s">
        <v>227</v>
      </c>
      <c r="D445" t="s">
        <v>232</v>
      </c>
      <c r="E445" t="s">
        <v>233</v>
      </c>
      <c r="M445" s="19">
        <v>45905</v>
      </c>
      <c r="N445" s="20"/>
      <c r="O445" s="20"/>
    </row>
    <row r="446" ht="15" customHeight="1">
      <c r="A446" t="s">
        <v>1142</v>
      </c>
      <c r="B446" t="s">
        <v>1143</v>
      </c>
      <c r="C446" s="21" t="s">
        <v>227</v>
      </c>
      <c r="D446" t="s">
        <v>232</v>
      </c>
      <c r="E446" t="s">
        <v>233</v>
      </c>
      <c r="M446" s="19">
        <v>45905</v>
      </c>
      <c r="N446" s="20"/>
      <c r="O446" s="20"/>
    </row>
    <row r="447" ht="15" customHeight="1">
      <c r="A447" t="s">
        <v>1144</v>
      </c>
      <c r="B447" t="s">
        <v>1145</v>
      </c>
      <c r="C447" s="21" t="s">
        <v>227</v>
      </c>
      <c r="D447" t="s">
        <v>232</v>
      </c>
      <c r="E447" t="s">
        <v>233</v>
      </c>
      <c r="M447" s="19">
        <v>45905</v>
      </c>
      <c r="N447" s="20"/>
      <c r="O447" s="20"/>
    </row>
    <row r="448" ht="15" customHeight="1">
      <c r="A448" t="s">
        <v>1146</v>
      </c>
      <c r="B448" t="s">
        <v>1147</v>
      </c>
      <c r="C448" t="s">
        <v>314</v>
      </c>
      <c r="D448" t="s">
        <v>232</v>
      </c>
      <c r="E448" t="s">
        <v>233</v>
      </c>
      <c r="H448">
        <v>3</v>
      </c>
      <c r="K448" t="s">
        <v>802</v>
      </c>
      <c r="M448" s="19">
        <v>45905</v>
      </c>
      <c r="N448" s="20"/>
      <c r="O448" s="20"/>
    </row>
    <row r="449" ht="15" customHeight="1">
      <c r="A449" t="s">
        <v>1148</v>
      </c>
      <c r="B449" t="s">
        <v>1149</v>
      </c>
      <c r="C449" s="21" t="s">
        <v>227</v>
      </c>
      <c r="D449" t="s">
        <v>232</v>
      </c>
      <c r="E449" t="s">
        <v>233</v>
      </c>
      <c r="M449" s="19">
        <v>45905</v>
      </c>
      <c r="N449" s="20"/>
      <c r="O449" s="20"/>
    </row>
    <row r="450" ht="15" customHeight="1">
      <c r="A450" t="s">
        <v>1150</v>
      </c>
      <c r="B450" t="s">
        <v>1151</v>
      </c>
      <c r="C450" s="21" t="s">
        <v>227</v>
      </c>
      <c r="D450" t="s">
        <v>232</v>
      </c>
      <c r="E450" t="s">
        <v>233</v>
      </c>
      <c r="M450" s="19">
        <v>45905</v>
      </c>
      <c r="N450" s="20"/>
      <c r="O450" s="20"/>
    </row>
    <row r="451" ht="15" customHeight="1">
      <c r="A451" t="s">
        <v>1152</v>
      </c>
      <c r="B451" t="s">
        <v>1153</v>
      </c>
      <c r="C451" s="21" t="s">
        <v>227</v>
      </c>
      <c r="D451" t="s">
        <v>232</v>
      </c>
      <c r="E451" t="s">
        <v>233</v>
      </c>
      <c r="M451" s="19">
        <v>45905</v>
      </c>
      <c r="N451" s="20"/>
      <c r="O451" s="20"/>
    </row>
    <row r="452" ht="15" customHeight="1">
      <c r="A452" t="s">
        <v>1154</v>
      </c>
      <c r="B452" t="s">
        <v>1139</v>
      </c>
      <c r="C452" s="21" t="s">
        <v>227</v>
      </c>
      <c r="D452" t="s">
        <v>228</v>
      </c>
      <c r="E452" t="s">
        <v>229</v>
      </c>
      <c r="M452" s="19">
        <v>45905</v>
      </c>
      <c r="N452" s="20"/>
      <c r="O452" s="20"/>
    </row>
    <row r="453" ht="15" customHeight="1">
      <c r="A453" t="s">
        <v>1155</v>
      </c>
      <c r="B453" t="s">
        <v>1156</v>
      </c>
      <c r="C453" s="22" t="s">
        <v>55</v>
      </c>
      <c r="D453" t="s">
        <v>232</v>
      </c>
      <c r="E453" t="s">
        <v>233</v>
      </c>
      <c r="H453">
        <v>5</v>
      </c>
      <c r="K453" t="s">
        <v>791</v>
      </c>
      <c r="M453" s="19">
        <v>45905</v>
      </c>
      <c r="N453" s="20"/>
      <c r="O453" s="20"/>
    </row>
    <row r="454" ht="15" customHeight="1">
      <c r="A454" t="s">
        <v>1157</v>
      </c>
      <c r="B454" t="s">
        <v>1158</v>
      </c>
      <c r="C454" s="21" t="s">
        <v>227</v>
      </c>
      <c r="D454" t="s">
        <v>232</v>
      </c>
      <c r="E454" t="s">
        <v>233</v>
      </c>
      <c r="M454" s="19">
        <v>45905</v>
      </c>
      <c r="N454" s="20"/>
      <c r="O454" s="20"/>
    </row>
    <row r="455" ht="15" customHeight="1">
      <c r="A455" t="s">
        <v>1159</v>
      </c>
      <c r="B455" t="s">
        <v>1160</v>
      </c>
      <c r="C455" s="23" t="s">
        <v>309</v>
      </c>
      <c r="D455" t="s">
        <v>232</v>
      </c>
      <c r="E455" t="s">
        <v>233</v>
      </c>
      <c r="M455" s="19">
        <v>45905</v>
      </c>
      <c r="N455" s="20"/>
      <c r="O455" s="20"/>
    </row>
    <row r="456" ht="15" customHeight="1">
      <c r="A456" t="s">
        <v>1161</v>
      </c>
      <c r="B456" t="s">
        <v>1162</v>
      </c>
      <c r="C456" s="23" t="s">
        <v>309</v>
      </c>
      <c r="D456" t="s">
        <v>232</v>
      </c>
      <c r="E456" t="s">
        <v>233</v>
      </c>
      <c r="M456" s="19">
        <v>45905</v>
      </c>
      <c r="N456" s="20"/>
      <c r="O456" s="20"/>
    </row>
    <row r="457" ht="15" customHeight="1">
      <c r="A457" t="s">
        <v>1163</v>
      </c>
      <c r="B457" t="s">
        <v>1164</v>
      </c>
      <c r="C457" s="22" t="s">
        <v>55</v>
      </c>
      <c r="D457" t="s">
        <v>232</v>
      </c>
      <c r="E457" t="s">
        <v>233</v>
      </c>
      <c r="M457" s="19">
        <v>45905</v>
      </c>
      <c r="N457" s="20"/>
      <c r="O457" s="20"/>
    </row>
    <row r="458" ht="15" customHeight="1">
      <c r="A458" t="s">
        <v>1165</v>
      </c>
      <c r="B458" t="s">
        <v>1166</v>
      </c>
      <c r="C458" s="23" t="s">
        <v>309</v>
      </c>
      <c r="D458" t="s">
        <v>232</v>
      </c>
      <c r="E458" t="s">
        <v>233</v>
      </c>
      <c r="M458" s="19">
        <v>45904</v>
      </c>
      <c r="N458" s="20"/>
      <c r="O458" s="20"/>
    </row>
    <row r="459" ht="15" customHeight="1">
      <c r="A459" t="s">
        <v>1167</v>
      </c>
      <c r="B459" t="s">
        <v>1168</v>
      </c>
      <c r="C459" s="21" t="s">
        <v>227</v>
      </c>
      <c r="D459" t="s">
        <v>232</v>
      </c>
      <c r="E459" t="s">
        <v>233</v>
      </c>
      <c r="M459" s="19">
        <v>45904</v>
      </c>
      <c r="N459" s="20"/>
      <c r="O459" s="20"/>
    </row>
    <row r="460" ht="15" customHeight="1">
      <c r="A460" t="s">
        <v>1169</v>
      </c>
      <c r="B460" t="s">
        <v>1170</v>
      </c>
      <c r="C460" s="21" t="s">
        <v>227</v>
      </c>
      <c r="D460" t="s">
        <v>232</v>
      </c>
      <c r="E460" t="s">
        <v>233</v>
      </c>
      <c r="M460" s="19">
        <v>45903</v>
      </c>
      <c r="N460" s="20"/>
      <c r="O460" s="20"/>
    </row>
    <row r="461" ht="15" customHeight="1">
      <c r="A461" t="s">
        <v>1171</v>
      </c>
      <c r="B461" t="s">
        <v>1172</v>
      </c>
      <c r="C461" s="22" t="s">
        <v>55</v>
      </c>
      <c r="D461" t="s">
        <v>232</v>
      </c>
      <c r="E461" t="s">
        <v>233</v>
      </c>
      <c r="M461" s="19">
        <v>45903</v>
      </c>
      <c r="N461" s="20"/>
      <c r="O461" s="20"/>
    </row>
    <row r="462" ht="15" customHeight="1">
      <c r="A462" t="s">
        <v>1173</v>
      </c>
      <c r="B462" t="s">
        <v>1174</v>
      </c>
      <c r="C462" s="21" t="s">
        <v>227</v>
      </c>
      <c r="D462" t="s">
        <v>232</v>
      </c>
      <c r="E462" t="s">
        <v>233</v>
      </c>
      <c r="M462" s="19">
        <v>45903</v>
      </c>
      <c r="N462" s="20"/>
      <c r="O462" s="20"/>
    </row>
    <row r="463" ht="15" customHeight="1">
      <c r="A463" t="s">
        <v>1175</v>
      </c>
      <c r="B463" t="s">
        <v>1176</v>
      </c>
      <c r="C463" s="21" t="s">
        <v>227</v>
      </c>
      <c r="D463" t="s">
        <v>232</v>
      </c>
      <c r="E463" t="s">
        <v>233</v>
      </c>
      <c r="M463" s="19">
        <v>45903</v>
      </c>
      <c r="N463" s="20"/>
      <c r="O463" s="20"/>
    </row>
    <row r="464" ht="15" customHeight="1">
      <c r="A464" t="s">
        <v>1177</v>
      </c>
      <c r="B464" t="s">
        <v>1178</v>
      </c>
      <c r="C464" s="21" t="s">
        <v>227</v>
      </c>
      <c r="D464" t="s">
        <v>813</v>
      </c>
      <c r="E464" t="s">
        <v>814</v>
      </c>
      <c r="M464" s="19">
        <v>45902</v>
      </c>
      <c r="N464" s="20"/>
      <c r="O464" s="20"/>
    </row>
    <row r="465" ht="15" customHeight="1">
      <c r="A465" t="s">
        <v>1179</v>
      </c>
      <c r="B465" t="s">
        <v>1180</v>
      </c>
      <c r="C465" s="21" t="s">
        <v>227</v>
      </c>
      <c r="D465" t="s">
        <v>232</v>
      </c>
      <c r="E465" t="s">
        <v>233</v>
      </c>
      <c r="M465" s="19">
        <v>45901</v>
      </c>
      <c r="N465" s="20"/>
      <c r="O465" s="20"/>
    </row>
    <row r="466" ht="15" customHeight="1">
      <c r="A466" t="s">
        <v>1181</v>
      </c>
      <c r="B466" t="s">
        <v>1182</v>
      </c>
      <c r="C466" s="21" t="s">
        <v>227</v>
      </c>
      <c r="D466" t="s">
        <v>232</v>
      </c>
      <c r="E466" t="s">
        <v>233</v>
      </c>
      <c r="K466" t="s">
        <v>791</v>
      </c>
      <c r="M466" s="19">
        <v>45898</v>
      </c>
      <c r="N466" s="20"/>
      <c r="O466" s="20"/>
    </row>
    <row r="467" ht="15" customHeight="1">
      <c r="A467" t="s">
        <v>1183</v>
      </c>
      <c r="B467" t="s">
        <v>1184</v>
      </c>
      <c r="C467" s="21" t="s">
        <v>227</v>
      </c>
      <c r="D467" t="s">
        <v>232</v>
      </c>
      <c r="E467" t="s">
        <v>233</v>
      </c>
      <c r="H467">
        <v>5</v>
      </c>
      <c r="M467" s="19">
        <v>45898</v>
      </c>
      <c r="N467" s="20"/>
      <c r="O467" s="20"/>
    </row>
    <row r="468" ht="15" customHeight="1">
      <c r="A468" t="s">
        <v>1185</v>
      </c>
      <c r="B468" t="s">
        <v>1186</v>
      </c>
      <c r="C468" s="23" t="s">
        <v>309</v>
      </c>
      <c r="D468" t="s">
        <v>232</v>
      </c>
      <c r="E468" t="s">
        <v>233</v>
      </c>
      <c r="M468" s="19">
        <v>45894</v>
      </c>
      <c r="N468" s="20"/>
      <c r="O468" s="20"/>
    </row>
    <row r="469" ht="15" customHeight="1">
      <c r="A469" t="s">
        <v>1187</v>
      </c>
      <c r="B469" t="s">
        <v>1188</v>
      </c>
      <c r="C469" s="23" t="s">
        <v>309</v>
      </c>
      <c r="D469" t="s">
        <v>232</v>
      </c>
      <c r="E469" t="s">
        <v>233</v>
      </c>
      <c r="M469" s="19">
        <v>45894</v>
      </c>
      <c r="N469" s="20"/>
      <c r="O469" s="20"/>
    </row>
    <row r="470" ht="15" customHeight="1">
      <c r="A470" t="s">
        <v>1189</v>
      </c>
      <c r="B470" t="s">
        <v>1190</v>
      </c>
      <c r="C470" s="23" t="s">
        <v>309</v>
      </c>
      <c r="D470" t="s">
        <v>232</v>
      </c>
      <c r="E470" t="s">
        <v>233</v>
      </c>
      <c r="H470">
        <v>3</v>
      </c>
      <c r="M470" s="19">
        <v>45894</v>
      </c>
      <c r="N470" s="20"/>
      <c r="O470" s="20"/>
    </row>
    <row r="471" ht="15" customHeight="1">
      <c r="A471" t="s">
        <v>1191</v>
      </c>
      <c r="B471" t="s">
        <v>1192</v>
      </c>
      <c r="C471" s="21" t="s">
        <v>227</v>
      </c>
      <c r="D471" t="s">
        <v>232</v>
      </c>
      <c r="E471" t="s">
        <v>233</v>
      </c>
      <c r="M471" s="19">
        <v>45894</v>
      </c>
      <c r="N471" s="20"/>
      <c r="O471" s="20"/>
    </row>
    <row r="472" ht="15" customHeight="1">
      <c r="A472" t="s">
        <v>1193</v>
      </c>
      <c r="B472" t="s">
        <v>1194</v>
      </c>
      <c r="C472" s="22" t="s">
        <v>55</v>
      </c>
      <c r="D472" t="s">
        <v>232</v>
      </c>
      <c r="E472" t="s">
        <v>233</v>
      </c>
      <c r="M472" s="19">
        <v>45894</v>
      </c>
      <c r="N472" s="20"/>
      <c r="O472" s="20"/>
    </row>
    <row r="473" ht="15" customHeight="1">
      <c r="A473" t="s">
        <v>1195</v>
      </c>
      <c r="B473" t="s">
        <v>1196</v>
      </c>
      <c r="C473" s="21" t="s">
        <v>227</v>
      </c>
      <c r="D473" t="s">
        <v>228</v>
      </c>
      <c r="E473" t="s">
        <v>229</v>
      </c>
      <c r="H473">
        <v>8</v>
      </c>
      <c r="M473" s="19">
        <v>45891</v>
      </c>
      <c r="N473" s="20"/>
      <c r="O473" s="20"/>
    </row>
    <row r="474" ht="15" customHeight="1">
      <c r="A474" t="s">
        <v>1197</v>
      </c>
      <c r="B474" t="s">
        <v>1198</v>
      </c>
      <c r="C474" s="21" t="s">
        <v>227</v>
      </c>
      <c r="D474" t="s">
        <v>228</v>
      </c>
      <c r="E474" t="s">
        <v>229</v>
      </c>
      <c r="H474">
        <v>2</v>
      </c>
      <c r="K474" t="s">
        <v>286</v>
      </c>
      <c r="M474" s="19">
        <v>45891</v>
      </c>
      <c r="N474" s="20"/>
      <c r="O474" s="20"/>
    </row>
    <row r="475" ht="15" customHeight="1">
      <c r="A475" t="s">
        <v>1199</v>
      </c>
      <c r="B475" t="s">
        <v>1200</v>
      </c>
      <c r="C475" s="21" t="s">
        <v>227</v>
      </c>
      <c r="D475" t="s">
        <v>228</v>
      </c>
      <c r="E475" t="s">
        <v>229</v>
      </c>
      <c r="M475" s="19">
        <v>45891</v>
      </c>
      <c r="N475" s="20"/>
      <c r="O475" s="20"/>
    </row>
    <row r="476" ht="15" customHeight="1">
      <c r="A476" t="s">
        <v>1201</v>
      </c>
      <c r="B476" t="s">
        <v>1202</v>
      </c>
      <c r="C476" s="21" t="s">
        <v>227</v>
      </c>
      <c r="D476" t="s">
        <v>228</v>
      </c>
      <c r="E476" t="s">
        <v>229</v>
      </c>
      <c r="H476">
        <v>3</v>
      </c>
      <c r="M476" s="19">
        <v>45891</v>
      </c>
      <c r="N476" s="20"/>
      <c r="O476" s="20"/>
    </row>
    <row r="477" ht="15" customHeight="1">
      <c r="A477" t="s">
        <v>1203</v>
      </c>
      <c r="B477" t="s">
        <v>1204</v>
      </c>
      <c r="C477" s="21" t="s">
        <v>227</v>
      </c>
      <c r="D477" t="s">
        <v>228</v>
      </c>
      <c r="E477" t="s">
        <v>229</v>
      </c>
      <c r="H477">
        <v>2</v>
      </c>
      <c r="M477" s="19">
        <v>45891</v>
      </c>
      <c r="N477" s="20"/>
      <c r="O477" s="20"/>
    </row>
    <row r="478" ht="15" customHeight="1">
      <c r="A478" t="s">
        <v>1205</v>
      </c>
      <c r="B478" t="s">
        <v>1206</v>
      </c>
      <c r="C478" s="21" t="s">
        <v>227</v>
      </c>
      <c r="D478" t="s">
        <v>228</v>
      </c>
      <c r="E478" t="s">
        <v>229</v>
      </c>
      <c r="H478">
        <v>5</v>
      </c>
      <c r="M478" s="19">
        <v>45891</v>
      </c>
      <c r="N478" s="20"/>
      <c r="O478" s="20"/>
    </row>
    <row r="479" ht="15" customHeight="1">
      <c r="A479" t="s">
        <v>1207</v>
      </c>
      <c r="B479" t="s">
        <v>1208</v>
      </c>
      <c r="C479" s="21" t="s">
        <v>227</v>
      </c>
      <c r="D479" t="s">
        <v>228</v>
      </c>
      <c r="E479" t="s">
        <v>229</v>
      </c>
      <c r="M479" s="19">
        <v>45891</v>
      </c>
      <c r="N479" s="20"/>
      <c r="O479" s="20"/>
    </row>
    <row r="480" ht="15" customHeight="1">
      <c r="A480" t="s">
        <v>1209</v>
      </c>
      <c r="B480" t="s">
        <v>1210</v>
      </c>
      <c r="C480" s="24" t="s">
        <v>322</v>
      </c>
      <c r="D480" t="s">
        <v>228</v>
      </c>
      <c r="E480" t="s">
        <v>229</v>
      </c>
      <c r="H480">
        <v>2</v>
      </c>
      <c r="K480" t="s">
        <v>994</v>
      </c>
      <c r="M480" s="19">
        <v>45891</v>
      </c>
      <c r="N480" s="20"/>
      <c r="O480" s="20"/>
    </row>
    <row r="481" ht="15" customHeight="1">
      <c r="A481" t="s">
        <v>1211</v>
      </c>
      <c r="B481" t="s">
        <v>1212</v>
      </c>
      <c r="C481" s="24" t="s">
        <v>322</v>
      </c>
      <c r="D481" t="s">
        <v>228</v>
      </c>
      <c r="E481" t="s">
        <v>229</v>
      </c>
      <c r="H481">
        <v>2</v>
      </c>
      <c r="K481" t="s">
        <v>994</v>
      </c>
      <c r="M481" s="19">
        <v>45891</v>
      </c>
      <c r="N481" s="20"/>
      <c r="O481" s="20"/>
    </row>
    <row r="482" ht="15" customHeight="1">
      <c r="A482" t="s">
        <v>1213</v>
      </c>
      <c r="B482" t="s">
        <v>1214</v>
      </c>
      <c r="C482" s="22" t="s">
        <v>55</v>
      </c>
      <c r="D482" t="s">
        <v>228</v>
      </c>
      <c r="E482" t="s">
        <v>229</v>
      </c>
      <c r="M482" s="19">
        <v>45891</v>
      </c>
      <c r="N482" s="20"/>
      <c r="O482" s="20"/>
    </row>
    <row r="483" ht="15" customHeight="1">
      <c r="A483" t="s">
        <v>1215</v>
      </c>
      <c r="B483" t="s">
        <v>1216</v>
      </c>
      <c r="C483" s="24" t="s">
        <v>322</v>
      </c>
      <c r="D483" t="s">
        <v>228</v>
      </c>
      <c r="E483" t="s">
        <v>229</v>
      </c>
      <c r="H483">
        <v>3</v>
      </c>
      <c r="K483" t="s">
        <v>994</v>
      </c>
      <c r="M483" s="19">
        <v>45891</v>
      </c>
      <c r="N483" s="20"/>
      <c r="O483" s="20"/>
    </row>
    <row r="484" ht="15" customHeight="1">
      <c r="A484" t="s">
        <v>1217</v>
      </c>
      <c r="B484" t="s">
        <v>1218</v>
      </c>
      <c r="C484" s="21" t="s">
        <v>227</v>
      </c>
      <c r="D484" t="s">
        <v>813</v>
      </c>
      <c r="E484" t="s">
        <v>814</v>
      </c>
      <c r="K484" t="s">
        <v>815</v>
      </c>
      <c r="M484" s="19">
        <v>45889</v>
      </c>
      <c r="N484" s="20"/>
      <c r="O484" s="20"/>
    </row>
    <row r="485" ht="15" customHeight="1">
      <c r="A485" t="s">
        <v>1219</v>
      </c>
      <c r="B485" t="s">
        <v>1220</v>
      </c>
      <c r="C485" s="21" t="s">
        <v>227</v>
      </c>
      <c r="D485" t="s">
        <v>813</v>
      </c>
      <c r="E485" t="s">
        <v>814</v>
      </c>
      <c r="M485" s="19">
        <v>45889</v>
      </c>
      <c r="N485" s="20"/>
      <c r="O485" s="20"/>
    </row>
    <row r="486" ht="15" customHeight="1">
      <c r="A486" t="s">
        <v>1221</v>
      </c>
      <c r="B486" t="s">
        <v>1222</v>
      </c>
      <c r="C486" s="21" t="s">
        <v>227</v>
      </c>
      <c r="D486" t="s">
        <v>232</v>
      </c>
      <c r="E486" t="s">
        <v>233</v>
      </c>
      <c r="M486" s="19">
        <v>45888</v>
      </c>
      <c r="N486" s="20"/>
      <c r="O486" s="20"/>
    </row>
    <row r="487" ht="15" customHeight="1">
      <c r="A487" t="s">
        <v>1223</v>
      </c>
      <c r="B487" t="s">
        <v>1224</v>
      </c>
      <c r="C487" s="21" t="s">
        <v>227</v>
      </c>
      <c r="D487" t="s">
        <v>232</v>
      </c>
      <c r="E487" t="s">
        <v>233</v>
      </c>
      <c r="M487" s="19">
        <v>45887</v>
      </c>
      <c r="N487" s="20"/>
      <c r="O487" s="20"/>
    </row>
    <row r="488" ht="15" customHeight="1">
      <c r="A488" t="s">
        <v>1225</v>
      </c>
      <c r="B488" t="s">
        <v>1226</v>
      </c>
      <c r="C488" s="21" t="s">
        <v>227</v>
      </c>
      <c r="D488" t="s">
        <v>813</v>
      </c>
      <c r="E488" t="s">
        <v>814</v>
      </c>
      <c r="M488" s="19">
        <v>45883</v>
      </c>
      <c r="N488" s="20"/>
      <c r="O488" s="20"/>
    </row>
    <row r="489" ht="15" customHeight="1">
      <c r="A489" t="s">
        <v>1227</v>
      </c>
      <c r="B489" t="s">
        <v>1228</v>
      </c>
      <c r="C489" s="21" t="s">
        <v>227</v>
      </c>
      <c r="D489" t="s">
        <v>232</v>
      </c>
      <c r="E489" t="s">
        <v>233</v>
      </c>
      <c r="M489" s="19">
        <v>45883</v>
      </c>
      <c r="N489" s="20"/>
      <c r="O489" s="20"/>
    </row>
    <row r="490" ht="15" customHeight="1">
      <c r="A490" t="s">
        <v>1229</v>
      </c>
      <c r="B490" t="s">
        <v>1230</v>
      </c>
      <c r="C490" s="21" t="s">
        <v>227</v>
      </c>
      <c r="D490" t="s">
        <v>232</v>
      </c>
      <c r="E490" t="s">
        <v>233</v>
      </c>
      <c r="M490" s="19">
        <v>45882</v>
      </c>
      <c r="N490" s="20"/>
      <c r="O490" s="20"/>
    </row>
    <row r="491" ht="15" customHeight="1">
      <c r="A491" t="s">
        <v>1231</v>
      </c>
      <c r="B491" t="s">
        <v>1232</v>
      </c>
      <c r="C491" s="21" t="s">
        <v>227</v>
      </c>
      <c r="D491" t="s">
        <v>232</v>
      </c>
      <c r="E491" t="s">
        <v>233</v>
      </c>
      <c r="M491" s="19">
        <v>45881</v>
      </c>
      <c r="N491" s="20"/>
      <c r="O491" s="20"/>
    </row>
    <row r="492" ht="15" customHeight="1">
      <c r="A492" t="s">
        <v>1233</v>
      </c>
      <c r="B492" t="s">
        <v>1234</v>
      </c>
      <c r="C492" s="21" t="s">
        <v>227</v>
      </c>
      <c r="D492" t="s">
        <v>232</v>
      </c>
      <c r="E492" t="s">
        <v>233</v>
      </c>
      <c r="M492" s="19">
        <v>45880</v>
      </c>
      <c r="N492" s="20"/>
      <c r="O492" s="20"/>
    </row>
    <row r="493" ht="15" customHeight="1">
      <c r="A493" t="s">
        <v>1235</v>
      </c>
      <c r="B493" t="s">
        <v>1236</v>
      </c>
      <c r="C493" s="21" t="s">
        <v>227</v>
      </c>
      <c r="D493" t="s">
        <v>232</v>
      </c>
      <c r="E493" t="s">
        <v>233</v>
      </c>
      <c r="M493" s="19">
        <v>45877</v>
      </c>
      <c r="N493" s="20"/>
      <c r="O493" s="20"/>
    </row>
    <row r="494" ht="15" customHeight="1">
      <c r="A494" t="s">
        <v>1237</v>
      </c>
      <c r="B494" t="s">
        <v>1238</v>
      </c>
      <c r="C494" s="21" t="s">
        <v>227</v>
      </c>
      <c r="D494" t="s">
        <v>232</v>
      </c>
      <c r="E494" t="s">
        <v>233</v>
      </c>
      <c r="M494" s="19">
        <v>45875</v>
      </c>
      <c r="N494" s="20"/>
      <c r="O494" s="20"/>
    </row>
    <row r="495" ht="15" customHeight="1">
      <c r="A495" t="s">
        <v>1239</v>
      </c>
      <c r="B495" t="s">
        <v>1240</v>
      </c>
      <c r="C495" s="23" t="s">
        <v>309</v>
      </c>
      <c r="D495" t="s">
        <v>228</v>
      </c>
      <c r="E495" t="s">
        <v>229</v>
      </c>
      <c r="H495">
        <v>2</v>
      </c>
      <c r="K495" t="s">
        <v>286</v>
      </c>
      <c r="M495" s="19">
        <v>45874</v>
      </c>
      <c r="N495" s="20"/>
      <c r="O495" s="20"/>
    </row>
    <row r="496" ht="15" customHeight="1">
      <c r="A496" t="s">
        <v>1241</v>
      </c>
      <c r="B496" t="s">
        <v>1242</v>
      </c>
      <c r="C496" s="21" t="s">
        <v>227</v>
      </c>
      <c r="D496" t="s">
        <v>232</v>
      </c>
      <c r="E496" t="s">
        <v>233</v>
      </c>
      <c r="M496" s="19">
        <v>45874</v>
      </c>
      <c r="N496" s="20"/>
      <c r="O496" s="20"/>
    </row>
    <row r="497" ht="15" customHeight="1">
      <c r="A497" t="s">
        <v>1243</v>
      </c>
      <c r="B497" t="s">
        <v>1244</v>
      </c>
      <c r="C497" s="21" t="s">
        <v>227</v>
      </c>
      <c r="D497" t="s">
        <v>232</v>
      </c>
      <c r="E497" t="s">
        <v>233</v>
      </c>
      <c r="H497">
        <v>3</v>
      </c>
      <c r="M497" s="19">
        <v>45874</v>
      </c>
      <c r="N497" s="20"/>
      <c r="O497" s="20"/>
    </row>
    <row r="498" ht="15" customHeight="1">
      <c r="A498" t="s">
        <v>1245</v>
      </c>
      <c r="B498" t="s">
        <v>1246</v>
      </c>
      <c r="C498" s="21" t="s">
        <v>227</v>
      </c>
      <c r="D498" t="s">
        <v>232</v>
      </c>
      <c r="E498" t="s">
        <v>233</v>
      </c>
      <c r="M498" s="19">
        <v>45873</v>
      </c>
      <c r="N498" s="20"/>
      <c r="O498" s="20"/>
    </row>
    <row r="499" ht="15" customHeight="1">
      <c r="A499" t="s">
        <v>1247</v>
      </c>
      <c r="B499" t="s">
        <v>1248</v>
      </c>
      <c r="C499" s="21" t="s">
        <v>227</v>
      </c>
      <c r="D499" t="s">
        <v>232</v>
      </c>
      <c r="E499" t="s">
        <v>233</v>
      </c>
      <c r="M499" s="19">
        <v>45873</v>
      </c>
      <c r="N499" s="20"/>
      <c r="O499" s="20"/>
    </row>
    <row r="500" ht="15" customHeight="1">
      <c r="A500" t="s">
        <v>1249</v>
      </c>
      <c r="B500" t="s">
        <v>1250</v>
      </c>
      <c r="C500" s="21" t="s">
        <v>227</v>
      </c>
      <c r="D500" t="s">
        <v>232</v>
      </c>
      <c r="E500" t="s">
        <v>233</v>
      </c>
      <c r="M500" s="19">
        <v>45873</v>
      </c>
      <c r="N500" s="20"/>
      <c r="O500" s="20"/>
    </row>
    <row r="501" ht="15" customHeight="1">
      <c r="A501" t="s">
        <v>1251</v>
      </c>
      <c r="B501" t="s">
        <v>1252</v>
      </c>
      <c r="C501" s="21" t="s">
        <v>227</v>
      </c>
      <c r="D501" t="s">
        <v>232</v>
      </c>
      <c r="E501" t="s">
        <v>233</v>
      </c>
      <c r="K501" t="s">
        <v>791</v>
      </c>
      <c r="M501" s="19">
        <v>45870</v>
      </c>
      <c r="N501" s="20"/>
      <c r="O501" s="20"/>
    </row>
    <row r="502" ht="15" customHeight="1">
      <c r="A502" t="s">
        <v>1253</v>
      </c>
      <c r="B502" t="s">
        <v>1254</v>
      </c>
      <c r="C502" s="21" t="s">
        <v>227</v>
      </c>
      <c r="D502" t="s">
        <v>232</v>
      </c>
      <c r="E502" t="s">
        <v>233</v>
      </c>
      <c r="M502" s="19">
        <v>45868</v>
      </c>
      <c r="N502" s="20"/>
      <c r="O502" s="20"/>
    </row>
    <row r="503" ht="15" customHeight="1">
      <c r="A503" t="s">
        <v>1255</v>
      </c>
      <c r="B503" t="s">
        <v>1256</v>
      </c>
      <c r="C503" s="23" t="s">
        <v>309</v>
      </c>
      <c r="D503" t="s">
        <v>232</v>
      </c>
      <c r="E503" t="s">
        <v>233</v>
      </c>
      <c r="M503" s="19">
        <v>45868</v>
      </c>
      <c r="N503" s="20"/>
      <c r="O503" s="20"/>
    </row>
    <row r="504" ht="15" customHeight="1">
      <c r="A504" t="s">
        <v>1257</v>
      </c>
      <c r="B504" t="s">
        <v>1258</v>
      </c>
      <c r="C504" s="21" t="s">
        <v>227</v>
      </c>
      <c r="D504" t="s">
        <v>232</v>
      </c>
      <c r="E504" t="s">
        <v>233</v>
      </c>
      <c r="H504">
        <v>5</v>
      </c>
      <c r="M504" s="19">
        <v>45868</v>
      </c>
      <c r="N504" s="20"/>
      <c r="O504" s="20"/>
    </row>
    <row r="505" ht="15" customHeight="1">
      <c r="A505" t="s">
        <v>1259</v>
      </c>
      <c r="B505" t="s">
        <v>1260</v>
      </c>
      <c r="C505" s="21" t="s">
        <v>227</v>
      </c>
      <c r="D505" t="s">
        <v>232</v>
      </c>
      <c r="E505" t="s">
        <v>233</v>
      </c>
      <c r="H505">
        <v>3</v>
      </c>
      <c r="M505" s="19">
        <v>45868</v>
      </c>
      <c r="N505" s="20"/>
      <c r="O505" s="20"/>
    </row>
    <row r="506" ht="15" customHeight="1">
      <c r="A506" t="s">
        <v>1261</v>
      </c>
      <c r="B506" t="s">
        <v>1262</v>
      </c>
      <c r="C506" t="s">
        <v>314</v>
      </c>
      <c r="D506" t="s">
        <v>232</v>
      </c>
      <c r="E506" t="s">
        <v>233</v>
      </c>
      <c r="H506">
        <v>8</v>
      </c>
      <c r="K506" t="s">
        <v>859</v>
      </c>
      <c r="M506" s="19">
        <v>45868</v>
      </c>
      <c r="N506" s="20"/>
      <c r="O506" s="20"/>
    </row>
    <row r="507" ht="15" customHeight="1">
      <c r="A507" t="s">
        <v>1263</v>
      </c>
      <c r="B507" t="s">
        <v>1264</v>
      </c>
      <c r="C507" s="22" t="s">
        <v>55</v>
      </c>
      <c r="D507" t="s">
        <v>232</v>
      </c>
      <c r="E507" t="s">
        <v>233</v>
      </c>
      <c r="M507" s="19">
        <v>45868</v>
      </c>
      <c r="N507" s="20"/>
      <c r="O507" s="20"/>
    </row>
    <row r="508" ht="15" customHeight="1">
      <c r="A508" t="s">
        <v>1265</v>
      </c>
      <c r="B508" t="s">
        <v>1266</v>
      </c>
      <c r="C508" s="22" t="s">
        <v>55</v>
      </c>
      <c r="D508" t="s">
        <v>232</v>
      </c>
      <c r="E508" t="s">
        <v>233</v>
      </c>
      <c r="M508" s="19">
        <v>45860</v>
      </c>
      <c r="N508" s="20"/>
      <c r="O508" s="20"/>
    </row>
    <row r="509" ht="15" customHeight="1">
      <c r="A509" t="s">
        <v>1267</v>
      </c>
      <c r="B509" t="s">
        <v>1268</v>
      </c>
      <c r="C509" s="21" t="s">
        <v>227</v>
      </c>
      <c r="D509" t="s">
        <v>232</v>
      </c>
      <c r="E509" t="s">
        <v>233</v>
      </c>
      <c r="K509" t="s">
        <v>866</v>
      </c>
      <c r="M509" s="19">
        <v>45854</v>
      </c>
      <c r="N509" s="20"/>
      <c r="O509" s="20"/>
    </row>
    <row r="510" ht="15" customHeight="1">
      <c r="A510" t="s">
        <v>1269</v>
      </c>
      <c r="B510" t="s">
        <v>1270</v>
      </c>
      <c r="C510" s="23" t="s">
        <v>309</v>
      </c>
      <c r="D510" t="s">
        <v>228</v>
      </c>
      <c r="E510" t="s">
        <v>229</v>
      </c>
      <c r="K510" t="s">
        <v>994</v>
      </c>
      <c r="M510" s="19">
        <v>45853</v>
      </c>
      <c r="N510" s="20"/>
      <c r="O510" s="20"/>
    </row>
    <row r="511" ht="15" customHeight="1">
      <c r="A511" t="s">
        <v>1271</v>
      </c>
      <c r="B511" t="s">
        <v>1272</v>
      </c>
      <c r="C511" s="21" t="s">
        <v>227</v>
      </c>
      <c r="D511" t="s">
        <v>232</v>
      </c>
      <c r="E511" t="s">
        <v>233</v>
      </c>
      <c r="M511" s="19">
        <v>45852</v>
      </c>
      <c r="N511" s="20"/>
      <c r="O511" s="20"/>
    </row>
    <row r="512" ht="15" customHeight="1">
      <c r="A512" t="s">
        <v>1273</v>
      </c>
      <c r="B512" t="s">
        <v>1274</v>
      </c>
      <c r="C512" s="21" t="s">
        <v>227</v>
      </c>
      <c r="D512" t="s">
        <v>232</v>
      </c>
      <c r="E512" t="s">
        <v>233</v>
      </c>
      <c r="M512" s="19">
        <v>45849</v>
      </c>
      <c r="N512" s="20"/>
      <c r="O512" s="20"/>
    </row>
    <row r="513" ht="15" customHeight="1">
      <c r="A513" t="s">
        <v>1275</v>
      </c>
      <c r="B513" t="s">
        <v>1276</v>
      </c>
      <c r="C513" s="21" t="s">
        <v>227</v>
      </c>
      <c r="D513" t="s">
        <v>232</v>
      </c>
      <c r="E513" t="s">
        <v>233</v>
      </c>
      <c r="M513" s="19">
        <v>45849</v>
      </c>
      <c r="N513" s="20"/>
      <c r="O513" s="20"/>
    </row>
    <row r="514" ht="15" customHeight="1">
      <c r="A514" t="s">
        <v>1277</v>
      </c>
      <c r="B514" t="s">
        <v>1278</v>
      </c>
      <c r="C514" s="21" t="s">
        <v>227</v>
      </c>
      <c r="D514" t="s">
        <v>232</v>
      </c>
      <c r="E514" t="s">
        <v>233</v>
      </c>
      <c r="M514" s="19">
        <v>45846</v>
      </c>
      <c r="N514" s="20"/>
      <c r="O514" s="20"/>
    </row>
    <row r="515" ht="15" customHeight="1">
      <c r="A515" t="s">
        <v>1279</v>
      </c>
      <c r="B515" t="s">
        <v>1280</v>
      </c>
      <c r="C515" s="21" t="s">
        <v>227</v>
      </c>
      <c r="D515" t="s">
        <v>232</v>
      </c>
      <c r="E515" t="s">
        <v>233</v>
      </c>
      <c r="M515" s="19">
        <v>45845</v>
      </c>
      <c r="N515" s="20"/>
      <c r="O515" s="20"/>
    </row>
    <row r="516" ht="15" customHeight="1">
      <c r="A516" t="s">
        <v>1281</v>
      </c>
      <c r="B516" t="s">
        <v>1282</v>
      </c>
      <c r="C516" s="21" t="s">
        <v>227</v>
      </c>
      <c r="D516" t="s">
        <v>232</v>
      </c>
      <c r="E516" t="s">
        <v>233</v>
      </c>
      <c r="M516" s="19">
        <v>45840</v>
      </c>
      <c r="N516" s="20"/>
      <c r="O516" s="20"/>
    </row>
    <row r="517" ht="15" customHeight="1">
      <c r="A517" t="s">
        <v>1283</v>
      </c>
      <c r="B517" t="s">
        <v>1284</v>
      </c>
      <c r="C517" s="21" t="s">
        <v>227</v>
      </c>
      <c r="D517" t="s">
        <v>232</v>
      </c>
      <c r="E517" t="s">
        <v>233</v>
      </c>
      <c r="H517">
        <v>1</v>
      </c>
      <c r="M517" s="19">
        <v>45840</v>
      </c>
      <c r="N517" s="20"/>
      <c r="O517" s="20"/>
    </row>
    <row r="518" ht="15" customHeight="1">
      <c r="A518" t="s">
        <v>1285</v>
      </c>
      <c r="B518" t="s">
        <v>1286</v>
      </c>
      <c r="C518" s="21" t="s">
        <v>227</v>
      </c>
      <c r="D518" t="s">
        <v>232</v>
      </c>
      <c r="E518" t="s">
        <v>233</v>
      </c>
      <c r="M518" s="19">
        <v>45839</v>
      </c>
      <c r="N518" s="20"/>
      <c r="O518" s="20"/>
    </row>
    <row r="519" ht="15" customHeight="1">
      <c r="A519" t="s">
        <v>1287</v>
      </c>
      <c r="B519" t="s">
        <v>1288</v>
      </c>
      <c r="C519" s="23" t="s">
        <v>309</v>
      </c>
      <c r="D519" t="s">
        <v>232</v>
      </c>
      <c r="E519" t="s">
        <v>233</v>
      </c>
      <c r="M519" s="19">
        <v>45839</v>
      </c>
      <c r="N519" s="20"/>
      <c r="O519" s="20"/>
    </row>
    <row r="520" ht="15" customHeight="1">
      <c r="A520" t="s">
        <v>1289</v>
      </c>
      <c r="B520" t="s">
        <v>1290</v>
      </c>
      <c r="C520" s="23" t="s">
        <v>309</v>
      </c>
      <c r="D520" t="s">
        <v>232</v>
      </c>
      <c r="E520" t="s">
        <v>233</v>
      </c>
      <c r="K520" t="s">
        <v>859</v>
      </c>
      <c r="M520" s="19">
        <v>45839</v>
      </c>
      <c r="N520" s="20"/>
      <c r="O520" s="20"/>
    </row>
    <row r="521" ht="15" customHeight="1">
      <c r="A521" t="s">
        <v>1291</v>
      </c>
      <c r="B521" t="s">
        <v>1292</v>
      </c>
      <c r="C521" s="23" t="s">
        <v>309</v>
      </c>
      <c r="D521" t="s">
        <v>232</v>
      </c>
      <c r="E521" t="s">
        <v>233</v>
      </c>
      <c r="M521" s="19">
        <v>45838</v>
      </c>
      <c r="N521" s="20"/>
      <c r="O521" s="20"/>
    </row>
    <row r="522" ht="15" customHeight="1">
      <c r="A522" t="s">
        <v>1293</v>
      </c>
      <c r="B522" t="s">
        <v>1294</v>
      </c>
      <c r="C522" s="21" t="s">
        <v>227</v>
      </c>
      <c r="D522" t="s">
        <v>232</v>
      </c>
      <c r="E522" t="s">
        <v>233</v>
      </c>
      <c r="M522" s="19">
        <v>45838</v>
      </c>
      <c r="N522" s="20"/>
      <c r="O522" s="20"/>
    </row>
    <row r="523" ht="15" customHeight="1">
      <c r="A523" t="s">
        <v>1295</v>
      </c>
      <c r="B523" t="s">
        <v>1296</v>
      </c>
      <c r="C523" s="21" t="s">
        <v>227</v>
      </c>
      <c r="D523" t="s">
        <v>232</v>
      </c>
      <c r="E523" t="s">
        <v>233</v>
      </c>
      <c r="M523" s="19">
        <v>45834</v>
      </c>
      <c r="N523" s="20"/>
      <c r="O523" s="20"/>
    </row>
    <row r="524" ht="15" customHeight="1">
      <c r="A524" t="s">
        <v>1297</v>
      </c>
      <c r="B524" t="s">
        <v>1298</v>
      </c>
      <c r="C524" s="23" t="s">
        <v>309</v>
      </c>
      <c r="D524" t="s">
        <v>232</v>
      </c>
      <c r="E524" t="s">
        <v>233</v>
      </c>
      <c r="M524" s="19">
        <v>45833</v>
      </c>
      <c r="N524" s="20"/>
      <c r="O524" s="20"/>
    </row>
    <row r="525" ht="15" customHeight="1">
      <c r="A525" t="s">
        <v>1299</v>
      </c>
      <c r="B525" t="s">
        <v>1300</v>
      </c>
      <c r="C525" s="21" t="s">
        <v>227</v>
      </c>
      <c r="D525" t="s">
        <v>232</v>
      </c>
      <c r="E525" t="s">
        <v>233</v>
      </c>
      <c r="H525">
        <v>3</v>
      </c>
      <c r="M525" s="19">
        <v>45832</v>
      </c>
      <c r="N525" s="20"/>
      <c r="O525" s="20"/>
    </row>
    <row r="526" ht="15" customHeight="1">
      <c r="A526" t="s">
        <v>1301</v>
      </c>
      <c r="B526" t="s">
        <v>1302</v>
      </c>
      <c r="C526" s="24" t="s">
        <v>322</v>
      </c>
      <c r="D526" t="s">
        <v>228</v>
      </c>
      <c r="E526" t="s">
        <v>229</v>
      </c>
      <c r="K526" t="s">
        <v>994</v>
      </c>
      <c r="M526" s="19">
        <v>45824</v>
      </c>
      <c r="N526" s="20"/>
      <c r="O526" s="20"/>
    </row>
    <row r="527" ht="15" customHeight="1">
      <c r="A527" t="s">
        <v>1303</v>
      </c>
      <c r="B527" t="s">
        <v>1304</v>
      </c>
      <c r="C527" s="23" t="s">
        <v>309</v>
      </c>
      <c r="D527" t="s">
        <v>232</v>
      </c>
      <c r="E527" t="s">
        <v>233</v>
      </c>
      <c r="M527" s="19">
        <v>45824</v>
      </c>
      <c r="N527" s="20"/>
      <c r="O527" s="20"/>
    </row>
    <row r="528" ht="15" customHeight="1">
      <c r="A528" t="s">
        <v>1305</v>
      </c>
      <c r="B528" t="s">
        <v>1306</v>
      </c>
      <c r="C528" s="21" t="s">
        <v>227</v>
      </c>
      <c r="D528" t="s">
        <v>232</v>
      </c>
      <c r="E528" t="s">
        <v>233</v>
      </c>
      <c r="M528" s="19">
        <v>45824</v>
      </c>
      <c r="N528" s="20"/>
      <c r="O528" s="20"/>
    </row>
    <row r="529" ht="15" customHeight="1">
      <c r="A529" t="s">
        <v>1307</v>
      </c>
      <c r="B529" t="s">
        <v>1308</v>
      </c>
      <c r="C529" s="21" t="s">
        <v>227</v>
      </c>
      <c r="D529" t="s">
        <v>250</v>
      </c>
      <c r="E529" t="s">
        <v>251</v>
      </c>
      <c r="M529" s="19">
        <v>45824</v>
      </c>
      <c r="N529" s="20"/>
      <c r="O529" s="20"/>
    </row>
    <row r="530" ht="15" customHeight="1">
      <c r="A530" t="s">
        <v>1309</v>
      </c>
      <c r="B530" t="s">
        <v>1310</v>
      </c>
      <c r="C530" s="23" t="s">
        <v>309</v>
      </c>
      <c r="D530" t="s">
        <v>232</v>
      </c>
      <c r="E530" t="s">
        <v>233</v>
      </c>
      <c r="M530" s="19">
        <v>45824</v>
      </c>
      <c r="N530" s="20"/>
      <c r="O530" s="20"/>
    </row>
    <row r="531" ht="15" customHeight="1">
      <c r="A531" t="s">
        <v>1311</v>
      </c>
      <c r="B531" t="s">
        <v>1312</v>
      </c>
      <c r="C531" s="23" t="s">
        <v>309</v>
      </c>
      <c r="D531" t="s">
        <v>228</v>
      </c>
      <c r="E531" t="s">
        <v>229</v>
      </c>
      <c r="M531" s="19">
        <v>45824</v>
      </c>
      <c r="N531" s="20"/>
      <c r="O531" s="20"/>
    </row>
    <row r="532" ht="15" customHeight="1">
      <c r="A532" t="s">
        <v>1313</v>
      </c>
      <c r="B532" t="s">
        <v>1314</v>
      </c>
      <c r="C532" s="23" t="s">
        <v>309</v>
      </c>
      <c r="D532" t="s">
        <v>232</v>
      </c>
      <c r="E532" t="s">
        <v>233</v>
      </c>
      <c r="M532" s="19">
        <v>45824</v>
      </c>
      <c r="N532" s="20"/>
      <c r="O532" s="20"/>
    </row>
    <row r="533" ht="15" customHeight="1">
      <c r="A533" t="s">
        <v>1315</v>
      </c>
      <c r="B533" t="s">
        <v>1312</v>
      </c>
      <c r="C533" s="23" t="s">
        <v>309</v>
      </c>
      <c r="D533" t="s">
        <v>228</v>
      </c>
      <c r="E533" t="s">
        <v>229</v>
      </c>
      <c r="M533" s="19">
        <v>45824</v>
      </c>
      <c r="N533" s="20"/>
      <c r="O533" s="20"/>
    </row>
    <row r="534" ht="15" customHeight="1">
      <c r="A534" t="s">
        <v>1316</v>
      </c>
      <c r="B534" t="s">
        <v>1317</v>
      </c>
      <c r="C534" s="23" t="s">
        <v>309</v>
      </c>
      <c r="D534" t="s">
        <v>223</v>
      </c>
      <c r="E534" t="s">
        <v>224</v>
      </c>
      <c r="M534" s="19">
        <v>45824</v>
      </c>
      <c r="N534" s="19">
        <v>45838</v>
      </c>
      <c r="O534" s="20"/>
    </row>
    <row r="535" ht="15" customHeight="1">
      <c r="A535" t="s">
        <v>1318</v>
      </c>
      <c r="B535" t="s">
        <v>1319</v>
      </c>
      <c r="C535" s="23" t="s">
        <v>309</v>
      </c>
      <c r="D535" t="s">
        <v>250</v>
      </c>
      <c r="E535" t="s">
        <v>251</v>
      </c>
      <c r="M535" s="19">
        <v>45822</v>
      </c>
      <c r="N535" s="20"/>
      <c r="O535" s="20"/>
    </row>
    <row r="536" ht="15" customHeight="1">
      <c r="A536" t="s">
        <v>1320</v>
      </c>
      <c r="B536" t="s">
        <v>1321</v>
      </c>
      <c r="C536" s="23" t="s">
        <v>309</v>
      </c>
      <c r="D536" t="s">
        <v>250</v>
      </c>
      <c r="E536" t="s">
        <v>251</v>
      </c>
      <c r="H536">
        <v>1</v>
      </c>
      <c r="M536" s="19">
        <v>45822</v>
      </c>
      <c r="N536" s="20"/>
      <c r="O536" s="20"/>
    </row>
    <row r="537" ht="15" customHeight="1">
      <c r="A537" t="s">
        <v>1322</v>
      </c>
      <c r="B537" t="s">
        <v>1323</v>
      </c>
      <c r="C537" t="s">
        <v>1057</v>
      </c>
      <c r="D537" t="s">
        <v>223</v>
      </c>
      <c r="E537" t="s">
        <v>224</v>
      </c>
      <c r="M537" s="19">
        <v>45821</v>
      </c>
      <c r="N537" s="20"/>
      <c r="O537" s="20"/>
    </row>
    <row r="538" ht="15" customHeight="1">
      <c r="A538" t="s">
        <v>1324</v>
      </c>
      <c r="B538" t="s">
        <v>1325</v>
      </c>
      <c r="C538" s="21" t="s">
        <v>227</v>
      </c>
      <c r="D538" t="s">
        <v>232</v>
      </c>
      <c r="E538" t="s">
        <v>233</v>
      </c>
      <c r="M538" s="19">
        <v>45821</v>
      </c>
      <c r="N538" s="20"/>
      <c r="O538" s="20"/>
    </row>
    <row r="539" ht="15" customHeight="1">
      <c r="A539" t="s">
        <v>1326</v>
      </c>
      <c r="B539" t="s">
        <v>1327</v>
      </c>
      <c r="C539" t="s">
        <v>259</v>
      </c>
      <c r="D539" t="s">
        <v>223</v>
      </c>
      <c r="E539" t="s">
        <v>224</v>
      </c>
      <c r="M539" s="19">
        <v>45821</v>
      </c>
      <c r="N539" s="20"/>
      <c r="O539" s="20"/>
    </row>
    <row r="540" ht="15" customHeight="1">
      <c r="A540" t="s">
        <v>1328</v>
      </c>
      <c r="B540" t="s">
        <v>1329</v>
      </c>
      <c r="C540" s="21" t="s">
        <v>227</v>
      </c>
      <c r="D540" t="s">
        <v>232</v>
      </c>
      <c r="E540" t="s">
        <v>233</v>
      </c>
      <c r="M540" s="19">
        <v>45821</v>
      </c>
      <c r="N540" s="20"/>
      <c r="O540" s="20"/>
    </row>
    <row r="541" ht="15" customHeight="1">
      <c r="A541" t="s">
        <v>1330</v>
      </c>
      <c r="B541" t="s">
        <v>1331</v>
      </c>
      <c r="C541" s="21" t="s">
        <v>227</v>
      </c>
      <c r="D541" t="s">
        <v>232</v>
      </c>
      <c r="E541" t="s">
        <v>233</v>
      </c>
      <c r="M541" s="19">
        <v>45821</v>
      </c>
      <c r="N541" s="20"/>
      <c r="O541" s="20"/>
    </row>
    <row r="542" ht="15" customHeight="1">
      <c r="A542" t="s">
        <v>1332</v>
      </c>
      <c r="B542" t="s">
        <v>1333</v>
      </c>
      <c r="C542" s="21" t="s">
        <v>227</v>
      </c>
      <c r="D542" t="s">
        <v>232</v>
      </c>
      <c r="E542" t="s">
        <v>233</v>
      </c>
      <c r="M542" s="19">
        <v>45820</v>
      </c>
      <c r="N542" s="20"/>
      <c r="O542" s="20"/>
    </row>
    <row r="543" ht="15" customHeight="1">
      <c r="A543" t="s">
        <v>1334</v>
      </c>
      <c r="B543" t="s">
        <v>1335</v>
      </c>
      <c r="C543" s="21" t="s">
        <v>227</v>
      </c>
      <c r="D543" t="s">
        <v>228</v>
      </c>
      <c r="E543" t="s">
        <v>229</v>
      </c>
      <c r="M543" s="19">
        <v>45820</v>
      </c>
      <c r="N543" s="20"/>
      <c r="O543" s="20"/>
    </row>
    <row r="544" ht="15" customHeight="1">
      <c r="A544" t="s">
        <v>1336</v>
      </c>
      <c r="B544" t="s">
        <v>1337</v>
      </c>
      <c r="C544" s="24" t="s">
        <v>1338</v>
      </c>
      <c r="D544" t="s">
        <v>223</v>
      </c>
      <c r="E544" t="s">
        <v>224</v>
      </c>
      <c r="M544" s="19">
        <v>45820</v>
      </c>
      <c r="N544" s="19">
        <v>45838</v>
      </c>
      <c r="O544" s="20"/>
    </row>
    <row r="545" ht="15" customHeight="1">
      <c r="A545" t="s">
        <v>1339</v>
      </c>
      <c r="B545" t="s">
        <v>1340</v>
      </c>
      <c r="C545" s="21" t="s">
        <v>227</v>
      </c>
      <c r="D545" t="s">
        <v>228</v>
      </c>
      <c r="E545" t="s">
        <v>229</v>
      </c>
      <c r="M545" s="19">
        <v>45819</v>
      </c>
      <c r="N545" s="20"/>
      <c r="O545" s="20"/>
    </row>
    <row r="546" ht="15" customHeight="1">
      <c r="A546" t="s">
        <v>1341</v>
      </c>
      <c r="B546" t="s">
        <v>1342</v>
      </c>
      <c r="C546" s="21" t="s">
        <v>227</v>
      </c>
      <c r="D546" t="s">
        <v>232</v>
      </c>
      <c r="E546" t="s">
        <v>233</v>
      </c>
      <c r="M546" s="19">
        <v>45819</v>
      </c>
      <c r="N546" s="20"/>
      <c r="O546" s="20"/>
    </row>
    <row r="547" ht="15" customHeight="1">
      <c r="A547" t="s">
        <v>1343</v>
      </c>
      <c r="B547" t="s">
        <v>1344</v>
      </c>
      <c r="C547" s="21" t="s">
        <v>227</v>
      </c>
      <c r="D547" t="s">
        <v>813</v>
      </c>
      <c r="E547" t="s">
        <v>814</v>
      </c>
      <c r="H547">
        <v>3</v>
      </c>
      <c r="K547" t="s">
        <v>815</v>
      </c>
      <c r="M547" s="19">
        <v>45819</v>
      </c>
      <c r="N547" s="20"/>
      <c r="O547" s="20"/>
    </row>
    <row r="548" ht="15" customHeight="1">
      <c r="A548" t="s">
        <v>1345</v>
      </c>
      <c r="B548" t="s">
        <v>1346</v>
      </c>
      <c r="C548" s="25" t="s">
        <v>999</v>
      </c>
      <c r="D548" t="s">
        <v>223</v>
      </c>
      <c r="E548" t="s">
        <v>224</v>
      </c>
      <c r="K548" t="s">
        <v>866</v>
      </c>
      <c r="M548" s="19">
        <v>45817</v>
      </c>
      <c r="N548" s="20"/>
      <c r="O548" s="20"/>
    </row>
    <row r="549" ht="15" customHeight="1">
      <c r="A549" t="s">
        <v>1347</v>
      </c>
      <c r="B549" t="s">
        <v>1348</v>
      </c>
      <c r="C549" s="21" t="s">
        <v>227</v>
      </c>
      <c r="D549" t="s">
        <v>232</v>
      </c>
      <c r="E549" t="s">
        <v>233</v>
      </c>
      <c r="M549" s="19">
        <v>45813</v>
      </c>
      <c r="N549" s="20"/>
      <c r="O549" s="20"/>
    </row>
    <row r="550" ht="15" customHeight="1">
      <c r="A550" t="s">
        <v>1349</v>
      </c>
      <c r="B550" t="s">
        <v>1350</v>
      </c>
      <c r="C550" s="23" t="s">
        <v>309</v>
      </c>
      <c r="D550" t="s">
        <v>232</v>
      </c>
      <c r="E550" t="s">
        <v>233</v>
      </c>
      <c r="H550">
        <v>2</v>
      </c>
      <c r="M550" s="19">
        <v>45813</v>
      </c>
      <c r="N550" s="20"/>
      <c r="O550" s="20"/>
    </row>
    <row r="551" ht="15" customHeight="1">
      <c r="A551" t="s">
        <v>1351</v>
      </c>
      <c r="B551" t="s">
        <v>1352</v>
      </c>
      <c r="C551" s="23" t="s">
        <v>309</v>
      </c>
      <c r="D551" t="s">
        <v>232</v>
      </c>
      <c r="E551" t="s">
        <v>233</v>
      </c>
      <c r="H551">
        <v>2</v>
      </c>
      <c r="M551" s="19">
        <v>45813</v>
      </c>
      <c r="N551" s="20"/>
      <c r="O551" s="20"/>
    </row>
    <row r="552" ht="15" customHeight="1">
      <c r="A552" t="s">
        <v>1353</v>
      </c>
      <c r="B552" t="s">
        <v>1354</v>
      </c>
      <c r="C552" s="23" t="s">
        <v>309</v>
      </c>
      <c r="D552" t="s">
        <v>232</v>
      </c>
      <c r="E552" t="s">
        <v>233</v>
      </c>
      <c r="H552">
        <v>2</v>
      </c>
      <c r="M552" s="19">
        <v>45813</v>
      </c>
      <c r="N552" s="20"/>
      <c r="O552" s="20"/>
    </row>
    <row r="553" ht="15" customHeight="1">
      <c r="A553" t="s">
        <v>1355</v>
      </c>
      <c r="B553" t="s">
        <v>1356</v>
      </c>
      <c r="C553" s="23" t="s">
        <v>309</v>
      </c>
      <c r="D553" t="s">
        <v>232</v>
      </c>
      <c r="E553" t="s">
        <v>233</v>
      </c>
      <c r="H553">
        <v>2</v>
      </c>
      <c r="M553" s="19">
        <v>45813</v>
      </c>
      <c r="N553" s="20"/>
      <c r="O553" s="20"/>
    </row>
    <row r="554" ht="15" customHeight="1">
      <c r="A554" t="s">
        <v>1357</v>
      </c>
      <c r="B554" t="s">
        <v>1358</v>
      </c>
      <c r="C554" s="21" t="s">
        <v>227</v>
      </c>
      <c r="D554" t="s">
        <v>232</v>
      </c>
      <c r="E554" t="s">
        <v>233</v>
      </c>
      <c r="M554" s="19">
        <v>45812</v>
      </c>
      <c r="N554" s="20"/>
      <c r="O554" s="20"/>
    </row>
    <row r="555" ht="15" customHeight="1">
      <c r="A555" t="s">
        <v>1359</v>
      </c>
      <c r="B555" t="s">
        <v>1360</v>
      </c>
      <c r="C555" s="21" t="s">
        <v>227</v>
      </c>
      <c r="D555" t="s">
        <v>232</v>
      </c>
      <c r="E555" t="s">
        <v>233</v>
      </c>
      <c r="M555" s="19">
        <v>45812</v>
      </c>
      <c r="N555" s="20"/>
      <c r="O555" s="20"/>
    </row>
    <row r="556" ht="15" customHeight="1">
      <c r="A556" t="s">
        <v>1361</v>
      </c>
      <c r="B556" t="s">
        <v>1362</v>
      </c>
      <c r="C556" s="21" t="s">
        <v>227</v>
      </c>
      <c r="D556" t="s">
        <v>232</v>
      </c>
      <c r="E556" t="s">
        <v>233</v>
      </c>
      <c r="M556" s="19">
        <v>45811</v>
      </c>
      <c r="N556" s="20"/>
      <c r="O556" s="20"/>
    </row>
    <row r="557" ht="15" customHeight="1">
      <c r="A557" t="s">
        <v>1363</v>
      </c>
      <c r="B557" t="s">
        <v>1364</v>
      </c>
      <c r="C557" s="21" t="s">
        <v>227</v>
      </c>
      <c r="D557" t="s">
        <v>232</v>
      </c>
      <c r="E557" t="s">
        <v>233</v>
      </c>
      <c r="G557" t="s">
        <v>144</v>
      </c>
      <c r="L557" t="s">
        <v>1365</v>
      </c>
      <c r="M557" s="19">
        <v>45806</v>
      </c>
      <c r="N557" s="19">
        <v>45821</v>
      </c>
      <c r="O557" s="20"/>
    </row>
    <row r="558" ht="15" customHeight="1">
      <c r="A558" t="s">
        <v>1366</v>
      </c>
      <c r="B558" t="s">
        <v>1367</v>
      </c>
      <c r="C558" s="21" t="s">
        <v>227</v>
      </c>
      <c r="D558" t="s">
        <v>232</v>
      </c>
      <c r="E558" t="s">
        <v>233</v>
      </c>
      <c r="G558" t="s">
        <v>144</v>
      </c>
      <c r="L558" t="s">
        <v>1365</v>
      </c>
      <c r="M558" s="19">
        <v>45806</v>
      </c>
      <c r="N558" s="19">
        <v>45821</v>
      </c>
      <c r="O558" s="20"/>
    </row>
    <row r="559" ht="15" customHeight="1">
      <c r="A559" t="s">
        <v>1368</v>
      </c>
      <c r="B559" t="s">
        <v>1369</v>
      </c>
      <c r="C559" s="21" t="s">
        <v>227</v>
      </c>
      <c r="D559" t="s">
        <v>232</v>
      </c>
      <c r="E559" t="s">
        <v>233</v>
      </c>
      <c r="G559" t="s">
        <v>144</v>
      </c>
      <c r="L559" t="s">
        <v>1365</v>
      </c>
      <c r="M559" s="19">
        <v>45806</v>
      </c>
      <c r="N559" s="19">
        <v>45821</v>
      </c>
      <c r="O559" s="20"/>
    </row>
    <row r="560" ht="15" customHeight="1">
      <c r="A560" t="s">
        <v>1370</v>
      </c>
      <c r="B560" t="s">
        <v>1371</v>
      </c>
      <c r="C560" s="21" t="s">
        <v>227</v>
      </c>
      <c r="D560" t="s">
        <v>232</v>
      </c>
      <c r="E560" t="s">
        <v>233</v>
      </c>
      <c r="G560" t="s">
        <v>144</v>
      </c>
      <c r="L560" t="s">
        <v>1365</v>
      </c>
      <c r="M560" s="19">
        <v>45806</v>
      </c>
      <c r="N560" s="19">
        <v>45821</v>
      </c>
      <c r="O560" s="20"/>
    </row>
    <row r="561" ht="15" customHeight="1">
      <c r="A561" t="s">
        <v>1372</v>
      </c>
      <c r="B561" t="s">
        <v>1373</v>
      </c>
      <c r="C561" s="21" t="s">
        <v>227</v>
      </c>
      <c r="D561" t="s">
        <v>232</v>
      </c>
      <c r="E561" t="s">
        <v>233</v>
      </c>
      <c r="G561" t="s">
        <v>1053</v>
      </c>
      <c r="L561" t="s">
        <v>1365</v>
      </c>
      <c r="M561" s="19">
        <v>45806</v>
      </c>
      <c r="N561" s="19">
        <v>45821</v>
      </c>
      <c r="O561" s="20"/>
    </row>
    <row r="562" ht="15" customHeight="1">
      <c r="A562" t="s">
        <v>1374</v>
      </c>
      <c r="B562" t="s">
        <v>1375</v>
      </c>
      <c r="C562" s="21" t="s">
        <v>227</v>
      </c>
      <c r="D562" t="s">
        <v>232</v>
      </c>
      <c r="E562" t="s">
        <v>233</v>
      </c>
      <c r="G562" t="s">
        <v>144</v>
      </c>
      <c r="L562" t="s">
        <v>1365</v>
      </c>
      <c r="M562" s="19">
        <v>45806</v>
      </c>
      <c r="N562" s="19">
        <v>45821</v>
      </c>
      <c r="O562" s="20"/>
    </row>
    <row r="563" ht="15" customHeight="1">
      <c r="A563" t="s">
        <v>1376</v>
      </c>
      <c r="B563" t="s">
        <v>1377</v>
      </c>
      <c r="C563" s="21" t="s">
        <v>227</v>
      </c>
      <c r="D563" t="s">
        <v>232</v>
      </c>
      <c r="E563" t="s">
        <v>233</v>
      </c>
      <c r="G563" t="s">
        <v>144</v>
      </c>
      <c r="K563" t="s">
        <v>859</v>
      </c>
      <c r="L563" t="s">
        <v>1365</v>
      </c>
      <c r="M563" s="19">
        <v>45806</v>
      </c>
      <c r="N563" s="19">
        <v>45821</v>
      </c>
      <c r="O563" s="20"/>
    </row>
    <row r="564" ht="15" customHeight="1">
      <c r="A564" t="s">
        <v>1378</v>
      </c>
      <c r="B564" t="s">
        <v>1379</v>
      </c>
      <c r="C564" s="21" t="s">
        <v>227</v>
      </c>
      <c r="D564" t="s">
        <v>232</v>
      </c>
      <c r="E564" t="s">
        <v>233</v>
      </c>
      <c r="M564" s="19">
        <v>45806</v>
      </c>
      <c r="N564" s="20"/>
      <c r="O564" s="20"/>
    </row>
    <row r="565" ht="15" customHeight="1">
      <c r="A565" t="s">
        <v>1380</v>
      </c>
      <c r="B565" t="s">
        <v>1381</v>
      </c>
      <c r="C565" s="21" t="s">
        <v>227</v>
      </c>
      <c r="D565" t="s">
        <v>232</v>
      </c>
      <c r="E565" t="s">
        <v>233</v>
      </c>
      <c r="M565" s="19">
        <v>45806</v>
      </c>
      <c r="N565" s="20"/>
      <c r="O565" s="20"/>
    </row>
    <row r="566" ht="15" customHeight="1">
      <c r="A566" t="s">
        <v>1382</v>
      </c>
      <c r="B566" t="s">
        <v>1383</v>
      </c>
      <c r="C566" s="23" t="s">
        <v>309</v>
      </c>
      <c r="D566" t="s">
        <v>232</v>
      </c>
      <c r="E566" t="s">
        <v>233</v>
      </c>
      <c r="M566" s="19">
        <v>45805</v>
      </c>
      <c r="N566" s="20"/>
      <c r="O566" s="20"/>
    </row>
    <row r="567" ht="15" customHeight="1">
      <c r="A567" t="s">
        <v>1384</v>
      </c>
      <c r="B567" t="s">
        <v>1385</v>
      </c>
      <c r="C567" s="23" t="s">
        <v>309</v>
      </c>
      <c r="D567" t="s">
        <v>232</v>
      </c>
      <c r="E567" t="s">
        <v>233</v>
      </c>
      <c r="M567" s="19">
        <v>45805</v>
      </c>
      <c r="N567" s="20"/>
      <c r="O567" s="20"/>
    </row>
    <row r="568" ht="15" customHeight="1">
      <c r="A568" t="s">
        <v>1386</v>
      </c>
      <c r="B568" t="s">
        <v>1387</v>
      </c>
      <c r="C568" s="23" t="s">
        <v>309</v>
      </c>
      <c r="D568" t="s">
        <v>232</v>
      </c>
      <c r="E568" t="s">
        <v>233</v>
      </c>
      <c r="M568" s="19">
        <v>45805</v>
      </c>
      <c r="N568" s="20"/>
      <c r="O568" s="20"/>
    </row>
    <row r="569" ht="15" customHeight="1">
      <c r="A569" t="s">
        <v>1388</v>
      </c>
      <c r="B569" t="s">
        <v>1389</v>
      </c>
      <c r="C569" s="23" t="s">
        <v>309</v>
      </c>
      <c r="D569" t="s">
        <v>232</v>
      </c>
      <c r="E569" t="s">
        <v>233</v>
      </c>
      <c r="M569" s="19">
        <v>45805</v>
      </c>
      <c r="N569" s="20"/>
      <c r="O569" s="20"/>
    </row>
    <row r="570" ht="15" customHeight="1">
      <c r="A570" t="s">
        <v>1390</v>
      </c>
      <c r="B570" t="s">
        <v>1391</v>
      </c>
      <c r="C570" s="21" t="s">
        <v>227</v>
      </c>
      <c r="D570" t="s">
        <v>250</v>
      </c>
      <c r="E570" t="s">
        <v>251</v>
      </c>
      <c r="M570" s="19">
        <v>45804</v>
      </c>
      <c r="N570" s="20"/>
      <c r="O570" s="20"/>
    </row>
    <row r="571" ht="15" customHeight="1">
      <c r="A571" t="s">
        <v>1392</v>
      </c>
      <c r="B571" t="s">
        <v>1393</v>
      </c>
      <c r="C571" s="21" t="s">
        <v>227</v>
      </c>
      <c r="D571" t="s">
        <v>232</v>
      </c>
      <c r="E571" t="s">
        <v>233</v>
      </c>
      <c r="M571" s="19">
        <v>45799</v>
      </c>
      <c r="N571" s="20"/>
      <c r="O571" s="20"/>
    </row>
    <row r="572" ht="15" customHeight="1">
      <c r="A572" t="s">
        <v>1394</v>
      </c>
      <c r="B572" t="s">
        <v>1395</v>
      </c>
      <c r="C572" s="21" t="s">
        <v>227</v>
      </c>
      <c r="D572" t="s">
        <v>232</v>
      </c>
      <c r="E572" t="s">
        <v>233</v>
      </c>
      <c r="M572" s="19">
        <v>45799</v>
      </c>
      <c r="N572" s="20"/>
      <c r="O572" s="20"/>
    </row>
    <row r="573" ht="15" customHeight="1">
      <c r="A573" t="s">
        <v>1396</v>
      </c>
      <c r="B573" t="s">
        <v>1397</v>
      </c>
      <c r="C573" s="21" t="s">
        <v>227</v>
      </c>
      <c r="D573" t="s">
        <v>232</v>
      </c>
      <c r="E573" t="s">
        <v>233</v>
      </c>
      <c r="M573" s="19">
        <v>45797</v>
      </c>
      <c r="N573" s="20"/>
      <c r="O573" s="20"/>
    </row>
    <row r="574" ht="15" customHeight="1">
      <c r="A574" t="s">
        <v>1398</v>
      </c>
      <c r="B574" t="s">
        <v>1399</v>
      </c>
      <c r="C574" s="21" t="s">
        <v>227</v>
      </c>
      <c r="D574" t="s">
        <v>232</v>
      </c>
      <c r="E574" t="s">
        <v>233</v>
      </c>
      <c r="M574" s="19">
        <v>45797</v>
      </c>
      <c r="N574" s="20"/>
      <c r="O574" s="20"/>
    </row>
    <row r="575" ht="15" customHeight="1">
      <c r="A575" t="s">
        <v>1400</v>
      </c>
      <c r="B575" t="s">
        <v>1401</v>
      </c>
      <c r="C575" s="23" t="s">
        <v>309</v>
      </c>
      <c r="D575" t="s">
        <v>232</v>
      </c>
      <c r="E575" t="s">
        <v>233</v>
      </c>
      <c r="M575" s="19">
        <v>45797</v>
      </c>
      <c r="N575" s="20"/>
      <c r="O575" s="20"/>
    </row>
    <row r="576" ht="15" customHeight="1">
      <c r="A576" t="s">
        <v>1402</v>
      </c>
      <c r="B576" t="s">
        <v>1403</v>
      </c>
      <c r="C576" s="21" t="s">
        <v>227</v>
      </c>
      <c r="D576" t="s">
        <v>232</v>
      </c>
      <c r="E576" t="s">
        <v>233</v>
      </c>
      <c r="M576" s="19">
        <v>45797</v>
      </c>
      <c r="N576" s="20"/>
      <c r="O576" s="20"/>
    </row>
    <row r="577" ht="15" customHeight="1">
      <c r="A577" t="s">
        <v>1404</v>
      </c>
      <c r="B577" t="s">
        <v>1405</v>
      </c>
      <c r="C577" s="23" t="s">
        <v>309</v>
      </c>
      <c r="D577" t="s">
        <v>232</v>
      </c>
      <c r="E577" t="s">
        <v>233</v>
      </c>
      <c r="M577" s="19">
        <v>45796</v>
      </c>
      <c r="N577" s="20"/>
      <c r="O577" s="20"/>
    </row>
    <row r="578" ht="15" customHeight="1">
      <c r="A578" t="s">
        <v>1406</v>
      </c>
      <c r="B578" t="s">
        <v>1407</v>
      </c>
      <c r="C578" s="21" t="s">
        <v>227</v>
      </c>
      <c r="D578" t="s">
        <v>232</v>
      </c>
      <c r="E578" t="s">
        <v>233</v>
      </c>
      <c r="M578" s="19">
        <v>45793</v>
      </c>
      <c r="N578" s="20"/>
      <c r="O578" s="20"/>
    </row>
    <row r="579" ht="15" customHeight="1">
      <c r="A579" t="s">
        <v>1408</v>
      </c>
      <c r="B579" t="s">
        <v>1409</v>
      </c>
      <c r="C579" s="21" t="s">
        <v>227</v>
      </c>
      <c r="D579" t="s">
        <v>232</v>
      </c>
      <c r="E579" t="s">
        <v>233</v>
      </c>
      <c r="M579" s="19">
        <v>45793</v>
      </c>
      <c r="N579" s="20"/>
      <c r="O579" s="20"/>
    </row>
    <row r="580" ht="15" customHeight="1">
      <c r="A580" t="s">
        <v>1410</v>
      </c>
      <c r="B580" t="s">
        <v>1411</v>
      </c>
      <c r="C580" s="21" t="s">
        <v>227</v>
      </c>
      <c r="D580" t="s">
        <v>250</v>
      </c>
      <c r="E580" t="s">
        <v>251</v>
      </c>
      <c r="M580" s="19">
        <v>45793</v>
      </c>
      <c r="N580" s="20"/>
      <c r="O580" s="20"/>
    </row>
    <row r="581" ht="15" customHeight="1">
      <c r="A581" t="s">
        <v>1412</v>
      </c>
      <c r="B581" t="s">
        <v>1411</v>
      </c>
      <c r="C581" s="25" t="s">
        <v>999</v>
      </c>
      <c r="D581" t="s">
        <v>223</v>
      </c>
      <c r="E581" t="s">
        <v>224</v>
      </c>
      <c r="M581" s="19">
        <v>45793</v>
      </c>
      <c r="N581" s="20"/>
      <c r="O581" s="20"/>
    </row>
    <row r="582" ht="15" customHeight="1">
      <c r="A582" t="s">
        <v>1413</v>
      </c>
      <c r="B582" t="s">
        <v>1414</v>
      </c>
      <c r="C582" s="21" t="s">
        <v>227</v>
      </c>
      <c r="D582" t="s">
        <v>232</v>
      </c>
      <c r="E582" t="s">
        <v>233</v>
      </c>
      <c r="M582" s="19">
        <v>45792</v>
      </c>
      <c r="N582" s="20"/>
      <c r="O582" s="20"/>
    </row>
    <row r="583" ht="15" customHeight="1">
      <c r="A583" t="s">
        <v>1415</v>
      </c>
      <c r="B583" t="s">
        <v>1416</v>
      </c>
      <c r="C583" s="21" t="s">
        <v>227</v>
      </c>
      <c r="D583" t="s">
        <v>232</v>
      </c>
      <c r="E583" t="s">
        <v>233</v>
      </c>
      <c r="M583" s="19">
        <v>45792</v>
      </c>
      <c r="N583" s="20"/>
      <c r="O583" s="20"/>
    </row>
    <row r="584" ht="15" customHeight="1">
      <c r="A584" t="s">
        <v>1417</v>
      </c>
      <c r="B584" t="s">
        <v>1418</v>
      </c>
      <c r="C584" s="21" t="s">
        <v>227</v>
      </c>
      <c r="D584" t="s">
        <v>232</v>
      </c>
      <c r="E584" t="s">
        <v>233</v>
      </c>
      <c r="M584" s="19">
        <v>45792</v>
      </c>
      <c r="N584" s="20"/>
      <c r="O584" s="20"/>
    </row>
    <row r="585" ht="15" customHeight="1">
      <c r="A585" t="s">
        <v>1419</v>
      </c>
      <c r="B585" t="s">
        <v>1420</v>
      </c>
      <c r="C585" s="21" t="s">
        <v>227</v>
      </c>
      <c r="D585" t="s">
        <v>232</v>
      </c>
      <c r="E585" t="s">
        <v>233</v>
      </c>
      <c r="M585" s="19">
        <v>45791</v>
      </c>
      <c r="N585" s="20"/>
      <c r="O585" s="20"/>
    </row>
    <row r="586" ht="15" customHeight="1">
      <c r="A586" t="s">
        <v>1421</v>
      </c>
      <c r="B586" t="s">
        <v>1422</v>
      </c>
      <c r="C586" s="21" t="s">
        <v>227</v>
      </c>
      <c r="D586" t="s">
        <v>232</v>
      </c>
      <c r="E586" t="s">
        <v>233</v>
      </c>
      <c r="M586" s="19">
        <v>45791</v>
      </c>
      <c r="N586" s="20"/>
      <c r="O586" s="20"/>
    </row>
    <row r="587" ht="15" customHeight="1">
      <c r="A587" t="s">
        <v>1423</v>
      </c>
      <c r="B587" t="s">
        <v>1424</v>
      </c>
      <c r="C587" s="21" t="s">
        <v>227</v>
      </c>
      <c r="D587" t="s">
        <v>232</v>
      </c>
      <c r="E587" t="s">
        <v>233</v>
      </c>
      <c r="M587" s="19">
        <v>45791</v>
      </c>
      <c r="N587" s="20"/>
      <c r="O587" s="20"/>
    </row>
    <row r="588" ht="15" customHeight="1">
      <c r="A588" t="s">
        <v>1425</v>
      </c>
      <c r="B588" t="s">
        <v>1426</v>
      </c>
      <c r="C588" s="23" t="s">
        <v>309</v>
      </c>
      <c r="D588" t="s">
        <v>232</v>
      </c>
      <c r="E588" t="s">
        <v>233</v>
      </c>
      <c r="M588" s="19">
        <v>45791</v>
      </c>
      <c r="N588" s="20"/>
      <c r="O588" s="20"/>
    </row>
    <row r="589" ht="15" customHeight="1">
      <c r="A589" t="s">
        <v>1427</v>
      </c>
      <c r="B589" t="s">
        <v>1428</v>
      </c>
      <c r="C589" s="22" t="s">
        <v>55</v>
      </c>
      <c r="D589" t="s">
        <v>228</v>
      </c>
      <c r="E589" t="s">
        <v>229</v>
      </c>
      <c r="H589">
        <v>3</v>
      </c>
      <c r="K589" t="s">
        <v>286</v>
      </c>
      <c r="M589" s="19">
        <v>45790</v>
      </c>
      <c r="N589" s="20"/>
      <c r="O589" s="20"/>
    </row>
    <row r="590" ht="15" customHeight="1">
      <c r="A590" t="s">
        <v>1429</v>
      </c>
      <c r="B590" t="s">
        <v>1430</v>
      </c>
      <c r="C590" s="21" t="s">
        <v>227</v>
      </c>
      <c r="D590" t="s">
        <v>232</v>
      </c>
      <c r="E590" t="s">
        <v>233</v>
      </c>
      <c r="M590" s="19">
        <v>45790</v>
      </c>
      <c r="N590" s="20"/>
      <c r="O590" s="20"/>
    </row>
    <row r="591" ht="15" customHeight="1">
      <c r="A591" t="s">
        <v>1431</v>
      </c>
      <c r="B591" t="s">
        <v>1432</v>
      </c>
      <c r="C591" s="21" t="s">
        <v>227</v>
      </c>
      <c r="D591" t="s">
        <v>232</v>
      </c>
      <c r="E591" t="s">
        <v>233</v>
      </c>
      <c r="M591" s="19">
        <v>45790</v>
      </c>
      <c r="N591" s="20"/>
      <c r="O591" s="20"/>
    </row>
    <row r="592" ht="15" customHeight="1">
      <c r="A592" t="s">
        <v>1433</v>
      </c>
      <c r="B592" t="s">
        <v>1434</v>
      </c>
      <c r="C592" s="21" t="s">
        <v>227</v>
      </c>
      <c r="D592" t="s">
        <v>232</v>
      </c>
      <c r="E592" t="s">
        <v>233</v>
      </c>
      <c r="M592" s="19">
        <v>45790</v>
      </c>
      <c r="N592" s="20"/>
      <c r="O592" s="20"/>
    </row>
    <row r="593" ht="15" customHeight="1">
      <c r="A593" t="s">
        <v>1435</v>
      </c>
      <c r="B593" t="s">
        <v>1436</v>
      </c>
      <c r="C593" s="21" t="s">
        <v>227</v>
      </c>
      <c r="D593" t="s">
        <v>232</v>
      </c>
      <c r="E593" t="s">
        <v>233</v>
      </c>
      <c r="M593" s="19">
        <v>45790</v>
      </c>
      <c r="N593" s="20"/>
      <c r="O593" s="20"/>
    </row>
    <row r="594" ht="15" customHeight="1">
      <c r="A594" t="s">
        <v>1437</v>
      </c>
      <c r="B594" t="s">
        <v>1438</v>
      </c>
      <c r="C594" s="23" t="s">
        <v>309</v>
      </c>
      <c r="D594" t="s">
        <v>232</v>
      </c>
      <c r="E594" t="s">
        <v>233</v>
      </c>
      <c r="M594" s="19">
        <v>45790</v>
      </c>
      <c r="N594" s="20"/>
      <c r="O594" s="20"/>
    </row>
    <row r="595" ht="15" customHeight="1">
      <c r="A595" t="s">
        <v>1439</v>
      </c>
      <c r="B595" t="s">
        <v>1440</v>
      </c>
      <c r="C595" s="21" t="s">
        <v>227</v>
      </c>
      <c r="D595" t="s">
        <v>232</v>
      </c>
      <c r="E595" t="s">
        <v>233</v>
      </c>
      <c r="M595" s="19">
        <v>45788</v>
      </c>
      <c r="N595" s="20"/>
      <c r="O595" s="20"/>
    </row>
    <row r="596" ht="15" customHeight="1">
      <c r="A596" t="s">
        <v>1441</v>
      </c>
      <c r="B596" t="s">
        <v>1442</v>
      </c>
      <c r="C596" s="21" t="s">
        <v>227</v>
      </c>
      <c r="D596" t="s">
        <v>232</v>
      </c>
      <c r="E596" t="s">
        <v>233</v>
      </c>
      <c r="M596" s="19">
        <v>45786</v>
      </c>
      <c r="N596" s="20"/>
      <c r="O596" s="20"/>
    </row>
    <row r="597" ht="15" customHeight="1">
      <c r="A597" t="s">
        <v>1443</v>
      </c>
      <c r="B597" t="s">
        <v>1444</v>
      </c>
      <c r="C597" s="23" t="s">
        <v>309</v>
      </c>
      <c r="D597" t="s">
        <v>232</v>
      </c>
      <c r="E597" t="s">
        <v>233</v>
      </c>
      <c r="M597" s="19">
        <v>45785</v>
      </c>
      <c r="N597" s="20"/>
      <c r="O597" s="20"/>
    </row>
    <row r="598" ht="15" customHeight="1">
      <c r="A598" t="s">
        <v>1445</v>
      </c>
      <c r="B598" t="s">
        <v>1446</v>
      </c>
      <c r="C598" s="21" t="s">
        <v>227</v>
      </c>
      <c r="D598" t="s">
        <v>232</v>
      </c>
      <c r="E598" t="s">
        <v>233</v>
      </c>
      <c r="M598" s="19">
        <v>45785</v>
      </c>
      <c r="N598" s="20"/>
      <c r="O598" s="20"/>
    </row>
    <row r="599" ht="15" customHeight="1">
      <c r="A599" t="s">
        <v>1447</v>
      </c>
      <c r="B599" t="s">
        <v>1448</v>
      </c>
      <c r="C599" s="21" t="s">
        <v>227</v>
      </c>
      <c r="D599" t="s">
        <v>232</v>
      </c>
      <c r="E599" t="s">
        <v>233</v>
      </c>
      <c r="K599" t="s">
        <v>1449</v>
      </c>
      <c r="M599" s="19">
        <v>45785</v>
      </c>
      <c r="N599" s="20"/>
      <c r="O599" s="20"/>
    </row>
    <row r="600" ht="15" customHeight="1">
      <c r="A600" t="s">
        <v>1450</v>
      </c>
      <c r="B600" t="s">
        <v>1451</v>
      </c>
      <c r="C600" s="23" t="s">
        <v>309</v>
      </c>
      <c r="D600" t="s">
        <v>232</v>
      </c>
      <c r="E600" t="s">
        <v>233</v>
      </c>
      <c r="M600" s="19">
        <v>45783</v>
      </c>
      <c r="N600" s="20"/>
      <c r="O600" s="20"/>
    </row>
    <row r="601" ht="15" customHeight="1">
      <c r="A601" t="s">
        <v>1452</v>
      </c>
      <c r="B601" t="s">
        <v>1453</v>
      </c>
      <c r="C601" s="23" t="s">
        <v>309</v>
      </c>
      <c r="D601" t="s">
        <v>232</v>
      </c>
      <c r="E601" t="s">
        <v>233</v>
      </c>
      <c r="H601">
        <v>3</v>
      </c>
      <c r="K601" t="s">
        <v>1449</v>
      </c>
      <c r="M601" s="19">
        <v>45783</v>
      </c>
      <c r="N601" s="20"/>
      <c r="O601" s="20"/>
    </row>
    <row r="602" ht="15" customHeight="1">
      <c r="A602" t="s">
        <v>1454</v>
      </c>
      <c r="B602" t="s">
        <v>1455</v>
      </c>
      <c r="C602" s="21" t="s">
        <v>227</v>
      </c>
      <c r="D602" t="s">
        <v>813</v>
      </c>
      <c r="E602" t="s">
        <v>814</v>
      </c>
      <c r="M602" s="19">
        <v>45777</v>
      </c>
      <c r="N602" s="20"/>
      <c r="O602" s="20"/>
    </row>
    <row r="603" ht="15" customHeight="1">
      <c r="A603" t="s">
        <v>1456</v>
      </c>
      <c r="B603" t="s">
        <v>1457</v>
      </c>
      <c r="C603" s="21" t="s">
        <v>227</v>
      </c>
      <c r="D603" t="s">
        <v>813</v>
      </c>
      <c r="E603" t="s">
        <v>814</v>
      </c>
      <c r="M603" s="19">
        <v>45777</v>
      </c>
      <c r="N603" s="20"/>
      <c r="O603" s="20"/>
    </row>
    <row r="604" ht="15" customHeight="1">
      <c r="A604" t="s">
        <v>1458</v>
      </c>
      <c r="B604" t="s">
        <v>1459</v>
      </c>
      <c r="C604" s="21" t="s">
        <v>227</v>
      </c>
      <c r="D604" t="s">
        <v>813</v>
      </c>
      <c r="E604" t="s">
        <v>814</v>
      </c>
      <c r="M604" s="19">
        <v>45777</v>
      </c>
      <c r="N604" s="20"/>
      <c r="O604" s="20"/>
    </row>
    <row r="605" ht="15" customHeight="1">
      <c r="A605" t="s">
        <v>1460</v>
      </c>
      <c r="B605" t="s">
        <v>1461</v>
      </c>
      <c r="C605" s="21" t="s">
        <v>227</v>
      </c>
      <c r="D605" t="s">
        <v>813</v>
      </c>
      <c r="E605" t="s">
        <v>814</v>
      </c>
      <c r="M605" s="19">
        <v>45777</v>
      </c>
      <c r="N605" s="19">
        <v>45667</v>
      </c>
      <c r="O605" s="20"/>
    </row>
    <row r="606" ht="15" customHeight="1">
      <c r="A606" t="s">
        <v>1462</v>
      </c>
      <c r="B606" t="s">
        <v>1463</v>
      </c>
      <c r="C606" s="21" t="s">
        <v>227</v>
      </c>
      <c r="D606" t="s">
        <v>232</v>
      </c>
      <c r="E606" t="s">
        <v>233</v>
      </c>
      <c r="M606" s="19">
        <v>45777</v>
      </c>
      <c r="N606" s="20"/>
      <c r="O606" s="20"/>
    </row>
    <row r="607" ht="15" customHeight="1">
      <c r="A607" t="s">
        <v>1464</v>
      </c>
      <c r="B607" t="s">
        <v>1465</v>
      </c>
      <c r="C607" s="23" t="s">
        <v>309</v>
      </c>
      <c r="D607" t="s">
        <v>232</v>
      </c>
      <c r="E607" t="s">
        <v>233</v>
      </c>
      <c r="M607" s="19">
        <v>45776</v>
      </c>
      <c r="N607" s="20"/>
      <c r="O607" s="20"/>
    </row>
    <row r="608" ht="15" customHeight="1">
      <c r="A608" t="s">
        <v>1466</v>
      </c>
      <c r="B608" t="s">
        <v>1467</v>
      </c>
      <c r="C608" s="21" t="s">
        <v>227</v>
      </c>
      <c r="D608" t="s">
        <v>232</v>
      </c>
      <c r="E608" t="s">
        <v>233</v>
      </c>
      <c r="M608" s="19">
        <v>45776</v>
      </c>
      <c r="N608" s="20"/>
      <c r="O608" s="20"/>
    </row>
    <row r="609" ht="15" customHeight="1">
      <c r="A609" t="s">
        <v>1468</v>
      </c>
      <c r="B609" t="s">
        <v>1469</v>
      </c>
      <c r="C609" t="s">
        <v>1470</v>
      </c>
      <c r="D609" t="s">
        <v>228</v>
      </c>
      <c r="E609" t="s">
        <v>229</v>
      </c>
      <c r="M609" s="19">
        <v>45775</v>
      </c>
      <c r="N609" s="20"/>
      <c r="O609" s="20"/>
    </row>
    <row r="610" ht="15" customHeight="1">
      <c r="A610" t="s">
        <v>1471</v>
      </c>
      <c r="B610" t="s">
        <v>1472</v>
      </c>
      <c r="C610" s="21" t="s">
        <v>227</v>
      </c>
      <c r="D610" t="s">
        <v>232</v>
      </c>
      <c r="E610" t="s">
        <v>233</v>
      </c>
      <c r="M610" s="19">
        <v>45775</v>
      </c>
      <c r="N610" s="19">
        <v>45667</v>
      </c>
      <c r="O610" s="20"/>
    </row>
    <row r="611" ht="15" customHeight="1">
      <c r="A611" t="s">
        <v>1473</v>
      </c>
      <c r="B611" t="s">
        <v>1474</v>
      </c>
      <c r="C611" s="23" t="s">
        <v>309</v>
      </c>
      <c r="D611" t="s">
        <v>228</v>
      </c>
      <c r="E611" t="s">
        <v>229</v>
      </c>
      <c r="M611" s="19">
        <v>45775</v>
      </c>
      <c r="N611" s="20"/>
      <c r="O611" s="20"/>
    </row>
    <row r="612" ht="15" customHeight="1">
      <c r="A612" t="s">
        <v>1474</v>
      </c>
      <c r="B612" t="s">
        <v>1475</v>
      </c>
      <c r="C612" s="21" t="s">
        <v>227</v>
      </c>
      <c r="D612" t="s">
        <v>232</v>
      </c>
      <c r="E612" t="s">
        <v>233</v>
      </c>
      <c r="M612" s="19">
        <v>45775</v>
      </c>
      <c r="N612" s="20"/>
      <c r="O612" s="20"/>
    </row>
    <row r="613" ht="15" customHeight="1">
      <c r="A613" t="s">
        <v>1476</v>
      </c>
      <c r="B613" t="s">
        <v>1477</v>
      </c>
      <c r="C613" t="s">
        <v>1470</v>
      </c>
      <c r="D613" t="s">
        <v>228</v>
      </c>
      <c r="E613" t="s">
        <v>229</v>
      </c>
      <c r="M613" s="19">
        <v>45771</v>
      </c>
      <c r="N613" s="20"/>
      <c r="O613" s="20"/>
    </row>
    <row r="614" ht="15" customHeight="1">
      <c r="A614" t="s">
        <v>1478</v>
      </c>
      <c r="B614" t="s">
        <v>1479</v>
      </c>
      <c r="C614" t="s">
        <v>1470</v>
      </c>
      <c r="D614" t="s">
        <v>228</v>
      </c>
      <c r="E614" t="s">
        <v>229</v>
      </c>
      <c r="M614" s="19">
        <v>45771</v>
      </c>
      <c r="N614" s="20"/>
      <c r="O614" s="20"/>
    </row>
    <row r="615" ht="15" customHeight="1">
      <c r="A615" t="s">
        <v>1480</v>
      </c>
      <c r="B615" t="s">
        <v>1481</v>
      </c>
      <c r="C615" t="s">
        <v>1470</v>
      </c>
      <c r="D615" t="s">
        <v>228</v>
      </c>
      <c r="E615" t="s">
        <v>229</v>
      </c>
      <c r="M615" s="19">
        <v>45771</v>
      </c>
      <c r="N615" s="20"/>
      <c r="O615" s="20"/>
    </row>
    <row r="616" ht="15" customHeight="1">
      <c r="A616" t="s">
        <v>1482</v>
      </c>
      <c r="B616" t="s">
        <v>1483</v>
      </c>
      <c r="C616" s="23" t="s">
        <v>309</v>
      </c>
      <c r="D616" t="s">
        <v>250</v>
      </c>
      <c r="E616" t="s">
        <v>251</v>
      </c>
      <c r="H616">
        <v>1</v>
      </c>
      <c r="M616" s="19">
        <v>45770</v>
      </c>
      <c r="N616" s="20"/>
      <c r="O616" s="20"/>
    </row>
    <row r="617" ht="15" customHeight="1">
      <c r="A617" t="s">
        <v>1484</v>
      </c>
      <c r="B617" t="s">
        <v>1485</v>
      </c>
      <c r="C617" s="23" t="s">
        <v>309</v>
      </c>
      <c r="D617" t="s">
        <v>250</v>
      </c>
      <c r="E617" t="s">
        <v>251</v>
      </c>
      <c r="K617" t="s">
        <v>1135</v>
      </c>
      <c r="L617" t="s">
        <v>1486</v>
      </c>
      <c r="M617" s="19">
        <v>45770</v>
      </c>
      <c r="N617" s="20"/>
      <c r="O617" s="20"/>
    </row>
    <row r="618" ht="15" customHeight="1">
      <c r="A618" t="s">
        <v>1487</v>
      </c>
      <c r="B618" t="s">
        <v>1488</v>
      </c>
      <c r="C618" s="23" t="s">
        <v>309</v>
      </c>
      <c r="D618" t="s">
        <v>250</v>
      </c>
      <c r="E618" t="s">
        <v>251</v>
      </c>
      <c r="K618" t="s">
        <v>1135</v>
      </c>
      <c r="L618" t="s">
        <v>1486</v>
      </c>
      <c r="M618" s="19">
        <v>45770</v>
      </c>
      <c r="N618" s="20"/>
      <c r="O618" s="20"/>
    </row>
    <row r="619" ht="15" customHeight="1">
      <c r="A619" t="s">
        <v>1489</v>
      </c>
      <c r="B619" t="s">
        <v>1490</v>
      </c>
      <c r="C619" s="23" t="s">
        <v>309</v>
      </c>
      <c r="D619" t="s">
        <v>250</v>
      </c>
      <c r="E619" t="s">
        <v>251</v>
      </c>
      <c r="K619" t="s">
        <v>1135</v>
      </c>
      <c r="L619" t="s">
        <v>1486</v>
      </c>
      <c r="M619" s="19">
        <v>45770</v>
      </c>
      <c r="N619" s="20"/>
      <c r="O619" s="20"/>
    </row>
    <row r="620" ht="15" customHeight="1">
      <c r="A620" t="s">
        <v>1491</v>
      </c>
      <c r="B620" t="s">
        <v>1492</v>
      </c>
      <c r="C620" s="23" t="s">
        <v>309</v>
      </c>
      <c r="D620" t="s">
        <v>250</v>
      </c>
      <c r="E620" t="s">
        <v>251</v>
      </c>
      <c r="H620">
        <v>1</v>
      </c>
      <c r="K620" t="s">
        <v>1135</v>
      </c>
      <c r="L620" t="s">
        <v>1486</v>
      </c>
      <c r="M620" s="19">
        <v>45770</v>
      </c>
      <c r="N620" s="20"/>
      <c r="O620" s="20"/>
    </row>
    <row r="621" ht="15" customHeight="1">
      <c r="A621" t="s">
        <v>1493</v>
      </c>
      <c r="B621" t="s">
        <v>1494</v>
      </c>
      <c r="C621" s="23" t="s">
        <v>309</v>
      </c>
      <c r="D621" t="s">
        <v>250</v>
      </c>
      <c r="E621" t="s">
        <v>251</v>
      </c>
      <c r="H621">
        <v>1</v>
      </c>
      <c r="K621" t="s">
        <v>1135</v>
      </c>
      <c r="L621" t="s">
        <v>1486</v>
      </c>
      <c r="M621" s="19">
        <v>45770</v>
      </c>
      <c r="N621" s="20"/>
      <c r="O621" s="20"/>
    </row>
    <row r="622" ht="15" customHeight="1">
      <c r="A622" t="s">
        <v>1495</v>
      </c>
      <c r="B622" t="s">
        <v>1319</v>
      </c>
      <c r="C622" s="23" t="s">
        <v>309</v>
      </c>
      <c r="D622" t="s">
        <v>250</v>
      </c>
      <c r="E622" t="s">
        <v>251</v>
      </c>
      <c r="M622" s="19">
        <v>45770</v>
      </c>
      <c r="N622" s="20"/>
      <c r="O622" s="20"/>
    </row>
    <row r="623" ht="15" customHeight="1">
      <c r="A623" t="s">
        <v>1496</v>
      </c>
      <c r="B623" t="s">
        <v>1497</v>
      </c>
      <c r="C623" s="23" t="s">
        <v>309</v>
      </c>
      <c r="D623" t="s">
        <v>232</v>
      </c>
      <c r="E623" t="s">
        <v>233</v>
      </c>
      <c r="H623">
        <v>2</v>
      </c>
      <c r="M623" s="19">
        <v>45769</v>
      </c>
      <c r="N623" s="20"/>
      <c r="O623" s="20"/>
    </row>
    <row r="624" ht="15" customHeight="1">
      <c r="A624" t="s">
        <v>1498</v>
      </c>
      <c r="B624" t="s">
        <v>1499</v>
      </c>
      <c r="C624" t="s">
        <v>1470</v>
      </c>
      <c r="D624" t="s">
        <v>232</v>
      </c>
      <c r="E624" t="s">
        <v>233</v>
      </c>
      <c r="M624" s="19">
        <v>45769</v>
      </c>
      <c r="N624" s="20"/>
      <c r="O624" s="20"/>
    </row>
    <row r="625" ht="15" customHeight="1">
      <c r="A625" t="s">
        <v>1500</v>
      </c>
      <c r="B625" t="s">
        <v>1501</v>
      </c>
      <c r="C625" t="s">
        <v>1470</v>
      </c>
      <c r="D625" t="s">
        <v>232</v>
      </c>
      <c r="E625" t="s">
        <v>233</v>
      </c>
      <c r="M625" s="19">
        <v>45769</v>
      </c>
      <c r="N625" s="20"/>
      <c r="O625" s="20"/>
    </row>
    <row r="626" ht="15" customHeight="1">
      <c r="A626" t="s">
        <v>1502</v>
      </c>
      <c r="B626" t="s">
        <v>1503</v>
      </c>
      <c r="C626" s="23" t="s">
        <v>309</v>
      </c>
      <c r="D626" t="s">
        <v>232</v>
      </c>
      <c r="E626" t="s">
        <v>233</v>
      </c>
      <c r="M626" s="19">
        <v>45769</v>
      </c>
      <c r="N626" s="20"/>
      <c r="O626" s="20"/>
    </row>
    <row r="627" ht="15" customHeight="1">
      <c r="A627" t="s">
        <v>1504</v>
      </c>
      <c r="B627" t="s">
        <v>1505</v>
      </c>
      <c r="C627" s="23" t="s">
        <v>309</v>
      </c>
      <c r="D627" t="s">
        <v>232</v>
      </c>
      <c r="E627" t="s">
        <v>233</v>
      </c>
      <c r="M627" s="19">
        <v>45769</v>
      </c>
      <c r="N627" s="20"/>
      <c r="O627" s="20"/>
    </row>
    <row r="628" ht="15" customHeight="1">
      <c r="A628" t="s">
        <v>1506</v>
      </c>
      <c r="B628" t="s">
        <v>1507</v>
      </c>
      <c r="C628" s="23" t="s">
        <v>309</v>
      </c>
      <c r="D628" t="s">
        <v>232</v>
      </c>
      <c r="E628" t="s">
        <v>233</v>
      </c>
      <c r="M628" s="19">
        <v>45769</v>
      </c>
      <c r="N628" s="20"/>
      <c r="O628" s="20"/>
    </row>
    <row r="629" ht="15" customHeight="1">
      <c r="A629" t="s">
        <v>1508</v>
      </c>
      <c r="B629" t="s">
        <v>1509</v>
      </c>
      <c r="C629" s="23" t="s">
        <v>309</v>
      </c>
      <c r="D629" t="s">
        <v>232</v>
      </c>
      <c r="E629" t="s">
        <v>233</v>
      </c>
      <c r="M629" s="19">
        <v>45769</v>
      </c>
      <c r="N629" s="20"/>
      <c r="O629" s="20"/>
    </row>
    <row r="630" ht="15" customHeight="1">
      <c r="A630" t="s">
        <v>1510</v>
      </c>
      <c r="B630" t="s">
        <v>1511</v>
      </c>
      <c r="C630" s="23" t="s">
        <v>309</v>
      </c>
      <c r="D630" t="s">
        <v>232</v>
      </c>
      <c r="E630" t="s">
        <v>233</v>
      </c>
      <c r="M630" s="19">
        <v>45769</v>
      </c>
      <c r="N630" s="20"/>
      <c r="O630" s="20"/>
    </row>
    <row r="631" ht="15" customHeight="1">
      <c r="A631" t="s">
        <v>1512</v>
      </c>
      <c r="B631" t="s">
        <v>1513</v>
      </c>
      <c r="C631" s="23" t="s">
        <v>309</v>
      </c>
      <c r="D631" t="s">
        <v>232</v>
      </c>
      <c r="E631" t="s">
        <v>233</v>
      </c>
      <c r="M631" s="19">
        <v>45769</v>
      </c>
      <c r="N631" s="20"/>
      <c r="O631" s="20"/>
    </row>
    <row r="632" ht="15" customHeight="1">
      <c r="A632" t="s">
        <v>1514</v>
      </c>
      <c r="B632" t="s">
        <v>1515</v>
      </c>
      <c r="C632" s="25" t="s">
        <v>999</v>
      </c>
      <c r="D632" t="s">
        <v>223</v>
      </c>
      <c r="E632" t="s">
        <v>224</v>
      </c>
      <c r="K632" t="s">
        <v>326</v>
      </c>
      <c r="M632" s="19">
        <v>45769</v>
      </c>
      <c r="N632" s="20"/>
      <c r="O632" s="20"/>
    </row>
    <row r="633" ht="15" customHeight="1">
      <c r="A633" t="s">
        <v>1516</v>
      </c>
      <c r="B633" t="s">
        <v>1517</v>
      </c>
      <c r="C633" s="22" t="s">
        <v>55</v>
      </c>
      <c r="D633" t="s">
        <v>232</v>
      </c>
      <c r="E633" t="s">
        <v>233</v>
      </c>
      <c r="M633" s="19">
        <v>45763</v>
      </c>
      <c r="N633" s="20"/>
      <c r="O633" s="20"/>
    </row>
    <row r="634" ht="15" customHeight="1">
      <c r="A634" t="s">
        <v>1518</v>
      </c>
      <c r="B634" t="s">
        <v>1519</v>
      </c>
      <c r="C634" s="22" t="s">
        <v>55</v>
      </c>
      <c r="D634" t="s">
        <v>228</v>
      </c>
      <c r="E634" t="s">
        <v>229</v>
      </c>
      <c r="M634" s="19">
        <v>45763</v>
      </c>
      <c r="N634" s="20"/>
      <c r="O634" s="20"/>
    </row>
    <row r="635" ht="15" customHeight="1">
      <c r="A635" t="s">
        <v>1520</v>
      </c>
      <c r="B635" t="s">
        <v>1521</v>
      </c>
      <c r="C635" s="24" t="s">
        <v>1338</v>
      </c>
      <c r="D635" t="s">
        <v>223</v>
      </c>
      <c r="E635" t="s">
        <v>224</v>
      </c>
      <c r="M635" s="19">
        <v>45763</v>
      </c>
      <c r="N635" s="19">
        <v>45838</v>
      </c>
      <c r="O635" s="20"/>
    </row>
    <row r="636" ht="15" customHeight="1">
      <c r="A636" t="s">
        <v>1522</v>
      </c>
      <c r="B636" t="s">
        <v>1523</v>
      </c>
      <c r="C636" s="21" t="s">
        <v>227</v>
      </c>
      <c r="D636" t="s">
        <v>813</v>
      </c>
      <c r="E636" t="s">
        <v>814</v>
      </c>
      <c r="K636" t="s">
        <v>815</v>
      </c>
      <c r="M636" s="19">
        <v>45763</v>
      </c>
      <c r="N636" s="20"/>
      <c r="O636" s="20"/>
    </row>
    <row r="637" ht="15" customHeight="1">
      <c r="A637" t="s">
        <v>1524</v>
      </c>
      <c r="B637" t="s">
        <v>1525</v>
      </c>
      <c r="C637" s="21" t="s">
        <v>227</v>
      </c>
      <c r="D637" t="s">
        <v>813</v>
      </c>
      <c r="E637" t="s">
        <v>814</v>
      </c>
      <c r="K637" t="s">
        <v>815</v>
      </c>
      <c r="M637" s="19">
        <v>45763</v>
      </c>
      <c r="N637" s="20"/>
      <c r="O637" s="20"/>
    </row>
    <row r="638" ht="15" customHeight="1">
      <c r="A638" t="s">
        <v>1526</v>
      </c>
      <c r="B638" t="s">
        <v>1527</v>
      </c>
      <c r="C638" s="21" t="s">
        <v>227</v>
      </c>
      <c r="D638" t="s">
        <v>232</v>
      </c>
      <c r="E638" t="s">
        <v>233</v>
      </c>
      <c r="M638" s="19">
        <v>45762</v>
      </c>
      <c r="N638" s="20"/>
      <c r="O638" s="20"/>
    </row>
    <row r="639" ht="15" customHeight="1">
      <c r="A639" t="s">
        <v>1528</v>
      </c>
      <c r="B639" t="s">
        <v>1529</v>
      </c>
      <c r="C639" s="21" t="s">
        <v>227</v>
      </c>
      <c r="D639" t="s">
        <v>232</v>
      </c>
      <c r="E639" t="s">
        <v>233</v>
      </c>
      <c r="M639" s="19">
        <v>45762</v>
      </c>
      <c r="N639" s="20"/>
      <c r="O639" s="20"/>
    </row>
    <row r="640" ht="15" customHeight="1">
      <c r="A640" t="s">
        <v>1530</v>
      </c>
      <c r="B640" t="s">
        <v>1531</v>
      </c>
      <c r="C640" s="22" t="s">
        <v>55</v>
      </c>
      <c r="D640" t="s">
        <v>232</v>
      </c>
      <c r="E640" t="s">
        <v>233</v>
      </c>
      <c r="M640" s="19">
        <v>45762</v>
      </c>
      <c r="N640" s="20"/>
      <c r="O640" s="20"/>
    </row>
    <row r="641" ht="15" customHeight="1">
      <c r="A641" t="s">
        <v>1532</v>
      </c>
      <c r="B641" t="s">
        <v>1533</v>
      </c>
      <c r="C641" s="22" t="s">
        <v>55</v>
      </c>
      <c r="D641" t="s">
        <v>232</v>
      </c>
      <c r="E641" t="s">
        <v>233</v>
      </c>
      <c r="K641" t="s">
        <v>859</v>
      </c>
      <c r="M641" s="19">
        <v>45762</v>
      </c>
      <c r="N641" s="20"/>
      <c r="O641" s="20"/>
    </row>
    <row r="642" ht="15" customHeight="1">
      <c r="A642" t="s">
        <v>1534</v>
      </c>
      <c r="B642" t="s">
        <v>1535</v>
      </c>
      <c r="C642" s="23" t="s">
        <v>309</v>
      </c>
      <c r="D642" t="s">
        <v>232</v>
      </c>
      <c r="E642" t="s">
        <v>233</v>
      </c>
      <c r="M642" s="19">
        <v>45762</v>
      </c>
      <c r="N642" s="20"/>
      <c r="O642" s="20"/>
    </row>
    <row r="643" ht="15" customHeight="1">
      <c r="A643" t="s">
        <v>1536</v>
      </c>
      <c r="B643" t="s">
        <v>1537</v>
      </c>
      <c r="C643" s="23" t="s">
        <v>309</v>
      </c>
      <c r="D643" t="s">
        <v>232</v>
      </c>
      <c r="E643" t="s">
        <v>233</v>
      </c>
      <c r="K643" t="s">
        <v>859</v>
      </c>
      <c r="M643" s="19">
        <v>45761</v>
      </c>
      <c r="N643" s="20"/>
      <c r="O643" s="20"/>
    </row>
    <row r="644" ht="15" customHeight="1">
      <c r="A644" t="s">
        <v>1538</v>
      </c>
      <c r="B644" t="s">
        <v>1539</v>
      </c>
      <c r="C644" s="23" t="s">
        <v>309</v>
      </c>
      <c r="D644" t="s">
        <v>223</v>
      </c>
      <c r="E644" t="s">
        <v>224</v>
      </c>
      <c r="K644" t="s">
        <v>1132</v>
      </c>
      <c r="L644" t="s">
        <v>1540</v>
      </c>
      <c r="M644" s="19">
        <v>45761</v>
      </c>
      <c r="N644" s="20"/>
      <c r="O644" s="20"/>
    </row>
    <row r="645" ht="15" customHeight="1">
      <c r="A645" t="s">
        <v>1541</v>
      </c>
      <c r="B645" t="s">
        <v>1542</v>
      </c>
      <c r="C645" t="s">
        <v>259</v>
      </c>
      <c r="D645" t="s">
        <v>223</v>
      </c>
      <c r="E645" t="s">
        <v>224</v>
      </c>
      <c r="K645" t="s">
        <v>1132</v>
      </c>
      <c r="L645" t="s">
        <v>1540</v>
      </c>
      <c r="M645" s="19">
        <v>45761</v>
      </c>
      <c r="N645" s="20"/>
      <c r="O645" s="20"/>
    </row>
    <row r="646" ht="15" customHeight="1">
      <c r="A646" t="s">
        <v>1543</v>
      </c>
      <c r="B646" t="s">
        <v>1544</v>
      </c>
      <c r="C646" s="23" t="s">
        <v>309</v>
      </c>
      <c r="D646" t="s">
        <v>228</v>
      </c>
      <c r="E646" t="s">
        <v>229</v>
      </c>
      <c r="M646" s="19">
        <v>45761</v>
      </c>
      <c r="N646" s="20"/>
      <c r="O646" s="20"/>
    </row>
    <row r="647" ht="15" customHeight="1">
      <c r="A647" t="s">
        <v>1545</v>
      </c>
      <c r="B647" t="s">
        <v>1546</v>
      </c>
      <c r="C647" s="23" t="s">
        <v>309</v>
      </c>
      <c r="D647" t="s">
        <v>228</v>
      </c>
      <c r="E647" t="s">
        <v>229</v>
      </c>
      <c r="M647" s="19">
        <v>45761</v>
      </c>
      <c r="N647" s="20"/>
      <c r="O647" s="20"/>
    </row>
    <row r="648" ht="15" customHeight="1">
      <c r="A648" t="s">
        <v>1547</v>
      </c>
      <c r="B648" t="s">
        <v>1548</v>
      </c>
      <c r="C648" s="23" t="s">
        <v>309</v>
      </c>
      <c r="D648" t="s">
        <v>228</v>
      </c>
      <c r="E648" t="s">
        <v>229</v>
      </c>
      <c r="M648" s="19">
        <v>45761</v>
      </c>
      <c r="N648" s="20"/>
      <c r="O648" s="20"/>
    </row>
    <row r="649" ht="15" customHeight="1">
      <c r="A649" t="s">
        <v>1549</v>
      </c>
      <c r="B649" t="s">
        <v>1550</v>
      </c>
      <c r="C649" t="s">
        <v>1470</v>
      </c>
      <c r="D649" t="s">
        <v>232</v>
      </c>
      <c r="E649" t="s">
        <v>233</v>
      </c>
      <c r="M649" s="19">
        <v>45761</v>
      </c>
      <c r="N649" s="20"/>
      <c r="O649" s="20"/>
    </row>
    <row r="650" ht="15" customHeight="1">
      <c r="A650" t="s">
        <v>1551</v>
      </c>
      <c r="B650" t="s">
        <v>1552</v>
      </c>
      <c r="C650" t="s">
        <v>1470</v>
      </c>
      <c r="D650" t="s">
        <v>232</v>
      </c>
      <c r="E650" t="s">
        <v>233</v>
      </c>
      <c r="M650" s="19">
        <v>45761</v>
      </c>
      <c r="N650" s="20"/>
      <c r="O650" s="20"/>
    </row>
    <row r="651" ht="15" customHeight="1">
      <c r="A651" t="s">
        <v>1553</v>
      </c>
      <c r="B651" t="s">
        <v>1554</v>
      </c>
      <c r="C651" t="s">
        <v>1470</v>
      </c>
      <c r="D651" t="s">
        <v>232</v>
      </c>
      <c r="E651" t="s">
        <v>233</v>
      </c>
      <c r="H651">
        <v>5</v>
      </c>
      <c r="M651" s="19">
        <v>45761</v>
      </c>
      <c r="N651" s="20"/>
      <c r="O651" s="20"/>
    </row>
    <row r="652" ht="15" customHeight="1">
      <c r="A652" t="s">
        <v>1555</v>
      </c>
      <c r="B652" t="s">
        <v>1556</v>
      </c>
      <c r="C652" t="s">
        <v>1470</v>
      </c>
      <c r="D652" t="s">
        <v>228</v>
      </c>
      <c r="E652" t="s">
        <v>229</v>
      </c>
      <c r="M652" s="19">
        <v>45757</v>
      </c>
      <c r="N652" s="20"/>
      <c r="O652" s="20"/>
    </row>
    <row r="653" ht="15" customHeight="1">
      <c r="A653" t="s">
        <v>1557</v>
      </c>
      <c r="B653" t="s">
        <v>1558</v>
      </c>
      <c r="C653" s="21" t="s">
        <v>227</v>
      </c>
      <c r="D653" t="s">
        <v>813</v>
      </c>
      <c r="E653" t="s">
        <v>814</v>
      </c>
      <c r="M653" s="19">
        <v>45756</v>
      </c>
      <c r="N653" s="20"/>
      <c r="O653" s="20"/>
    </row>
    <row r="654" ht="15" customHeight="1">
      <c r="A654" t="s">
        <v>1559</v>
      </c>
      <c r="B654" t="s">
        <v>1560</v>
      </c>
      <c r="C654" t="s">
        <v>259</v>
      </c>
      <c r="D654" t="s">
        <v>223</v>
      </c>
      <c r="E654" t="s">
        <v>224</v>
      </c>
      <c r="L654" t="s">
        <v>1561</v>
      </c>
      <c r="M654" s="19">
        <v>45751</v>
      </c>
      <c r="N654" s="20"/>
      <c r="O654" s="20"/>
    </row>
    <row r="655" ht="15" customHeight="1">
      <c r="A655" t="s">
        <v>1562</v>
      </c>
      <c r="B655" t="s">
        <v>1563</v>
      </c>
      <c r="C655" t="s">
        <v>259</v>
      </c>
      <c r="D655" t="s">
        <v>223</v>
      </c>
      <c r="E655" t="s">
        <v>224</v>
      </c>
      <c r="M655" s="19">
        <v>45751</v>
      </c>
      <c r="N655" s="20"/>
      <c r="O655" s="20"/>
    </row>
    <row r="656" ht="15" customHeight="1">
      <c r="A656" t="s">
        <v>1564</v>
      </c>
      <c r="B656" t="s">
        <v>1565</v>
      </c>
      <c r="C656" t="s">
        <v>259</v>
      </c>
      <c r="D656" t="s">
        <v>223</v>
      </c>
      <c r="E656" t="s">
        <v>224</v>
      </c>
      <c r="L656" t="s">
        <v>1566</v>
      </c>
      <c r="M656" s="19">
        <v>45751</v>
      </c>
      <c r="N656" s="20"/>
      <c r="O656" s="20"/>
    </row>
    <row r="657" ht="15" customHeight="1">
      <c r="A657" t="s">
        <v>1567</v>
      </c>
      <c r="B657" t="s">
        <v>1568</v>
      </c>
      <c r="C657" t="s">
        <v>259</v>
      </c>
      <c r="D657" t="s">
        <v>223</v>
      </c>
      <c r="E657" t="s">
        <v>224</v>
      </c>
      <c r="M657" s="19">
        <v>45751</v>
      </c>
      <c r="N657" s="20"/>
      <c r="O657" s="20"/>
    </row>
    <row r="658" ht="15" customHeight="1">
      <c r="A658" t="s">
        <v>1569</v>
      </c>
      <c r="B658" t="s">
        <v>1570</v>
      </c>
      <c r="C658" t="s">
        <v>259</v>
      </c>
      <c r="D658" t="s">
        <v>223</v>
      </c>
      <c r="E658" t="s">
        <v>224</v>
      </c>
      <c r="M658" s="19">
        <v>45751</v>
      </c>
      <c r="N658" s="20"/>
      <c r="O658" s="20"/>
    </row>
    <row r="659" ht="15" customHeight="1">
      <c r="A659" t="s">
        <v>1571</v>
      </c>
      <c r="B659" t="s">
        <v>1572</v>
      </c>
      <c r="C659" t="s">
        <v>259</v>
      </c>
      <c r="D659" t="s">
        <v>223</v>
      </c>
      <c r="E659" t="s">
        <v>224</v>
      </c>
      <c r="L659" t="s">
        <v>1561</v>
      </c>
      <c r="M659" s="19">
        <v>45751</v>
      </c>
      <c r="N659" s="20"/>
      <c r="O659" s="20"/>
    </row>
    <row r="660" ht="15" customHeight="1">
      <c r="A660" t="s">
        <v>1573</v>
      </c>
      <c r="B660" t="s">
        <v>1574</v>
      </c>
      <c r="C660" t="s">
        <v>259</v>
      </c>
      <c r="D660" t="s">
        <v>223</v>
      </c>
      <c r="E660" t="s">
        <v>224</v>
      </c>
      <c r="M660" s="19">
        <v>45751</v>
      </c>
      <c r="N660" s="20"/>
      <c r="O660" s="20"/>
    </row>
    <row r="661" ht="15" customHeight="1">
      <c r="A661" t="s">
        <v>1575</v>
      </c>
      <c r="B661" t="s">
        <v>1576</v>
      </c>
      <c r="C661" t="s">
        <v>259</v>
      </c>
      <c r="D661" t="s">
        <v>223</v>
      </c>
      <c r="E661" t="s">
        <v>224</v>
      </c>
      <c r="M661" s="19">
        <v>45751</v>
      </c>
      <c r="N661" s="20"/>
      <c r="O661" s="20"/>
    </row>
    <row r="662" ht="15" customHeight="1">
      <c r="A662" t="s">
        <v>1577</v>
      </c>
      <c r="B662" t="s">
        <v>1578</v>
      </c>
      <c r="C662" t="s">
        <v>259</v>
      </c>
      <c r="D662" t="s">
        <v>223</v>
      </c>
      <c r="E662" t="s">
        <v>224</v>
      </c>
      <c r="L662" t="s">
        <v>1540</v>
      </c>
      <c r="M662" s="19">
        <v>45751</v>
      </c>
      <c r="N662" s="20"/>
      <c r="O662" s="20"/>
    </row>
    <row r="663" ht="15" customHeight="1">
      <c r="A663" t="s">
        <v>1579</v>
      </c>
      <c r="B663" t="s">
        <v>1580</v>
      </c>
      <c r="C663" t="s">
        <v>259</v>
      </c>
      <c r="D663" t="s">
        <v>223</v>
      </c>
      <c r="E663" t="s">
        <v>224</v>
      </c>
      <c r="L663" t="s">
        <v>1561</v>
      </c>
      <c r="M663" s="19">
        <v>45751</v>
      </c>
      <c r="N663" s="20"/>
      <c r="O663" s="20"/>
    </row>
    <row r="664" ht="15" customHeight="1">
      <c r="A664" t="s">
        <v>1581</v>
      </c>
      <c r="B664" t="s">
        <v>1582</v>
      </c>
      <c r="C664" t="s">
        <v>259</v>
      </c>
      <c r="D664" t="s">
        <v>223</v>
      </c>
      <c r="E664" t="s">
        <v>224</v>
      </c>
      <c r="L664" t="s">
        <v>1561</v>
      </c>
      <c r="M664" s="19">
        <v>45751</v>
      </c>
      <c r="N664" s="20"/>
      <c r="O664" s="20"/>
    </row>
    <row r="665" ht="15" customHeight="1">
      <c r="A665" t="s">
        <v>1583</v>
      </c>
      <c r="B665" t="s">
        <v>1584</v>
      </c>
      <c r="C665" t="s">
        <v>259</v>
      </c>
      <c r="D665" t="s">
        <v>223</v>
      </c>
      <c r="E665" t="s">
        <v>224</v>
      </c>
      <c r="L665" t="s">
        <v>1561</v>
      </c>
      <c r="M665" s="19">
        <v>45751</v>
      </c>
      <c r="N665" s="20"/>
      <c r="O665" s="20"/>
    </row>
    <row r="666" ht="15" customHeight="1">
      <c r="A666" t="s">
        <v>1585</v>
      </c>
      <c r="B666" t="s">
        <v>1586</v>
      </c>
      <c r="C666" t="s">
        <v>259</v>
      </c>
      <c r="D666" t="s">
        <v>223</v>
      </c>
      <c r="E666" t="s">
        <v>224</v>
      </c>
      <c r="L666" t="s">
        <v>1561</v>
      </c>
      <c r="M666" s="19">
        <v>45751</v>
      </c>
      <c r="N666" s="20"/>
      <c r="O666" s="20"/>
    </row>
    <row r="667" ht="15" customHeight="1">
      <c r="A667" t="s">
        <v>1587</v>
      </c>
      <c r="B667" t="s">
        <v>1588</v>
      </c>
      <c r="C667" t="s">
        <v>259</v>
      </c>
      <c r="D667" t="s">
        <v>223</v>
      </c>
      <c r="E667" t="s">
        <v>224</v>
      </c>
      <c r="L667" t="s">
        <v>1561</v>
      </c>
      <c r="M667" s="19">
        <v>45751</v>
      </c>
      <c r="N667" s="20"/>
      <c r="O667" s="20"/>
    </row>
    <row r="668" ht="15" customHeight="1">
      <c r="A668" t="s">
        <v>1589</v>
      </c>
      <c r="B668" t="s">
        <v>1590</v>
      </c>
      <c r="C668" t="s">
        <v>259</v>
      </c>
      <c r="D668" t="s">
        <v>223</v>
      </c>
      <c r="E668" t="s">
        <v>224</v>
      </c>
      <c r="L668" t="s">
        <v>1561</v>
      </c>
      <c r="M668" s="19">
        <v>45751</v>
      </c>
      <c r="N668" s="20"/>
      <c r="O668" s="20"/>
    </row>
    <row r="669" ht="15" customHeight="1">
      <c r="A669" t="s">
        <v>1591</v>
      </c>
      <c r="B669" t="s">
        <v>1592</v>
      </c>
      <c r="C669" t="s">
        <v>259</v>
      </c>
      <c r="D669" t="s">
        <v>223</v>
      </c>
      <c r="E669" t="s">
        <v>224</v>
      </c>
      <c r="L669" t="s">
        <v>1561</v>
      </c>
      <c r="M669" s="19">
        <v>45751</v>
      </c>
      <c r="N669" s="20"/>
      <c r="O669" s="20"/>
    </row>
    <row r="670" ht="15" customHeight="1">
      <c r="A670" t="s">
        <v>1593</v>
      </c>
      <c r="B670" t="s">
        <v>1594</v>
      </c>
      <c r="C670" t="s">
        <v>259</v>
      </c>
      <c r="D670" t="s">
        <v>223</v>
      </c>
      <c r="E670" t="s">
        <v>224</v>
      </c>
      <c r="L670" t="s">
        <v>1561</v>
      </c>
      <c r="M670" s="19">
        <v>45751</v>
      </c>
      <c r="N670" s="20"/>
      <c r="O670" s="20"/>
    </row>
    <row r="671" ht="15" customHeight="1">
      <c r="A671" t="s">
        <v>1595</v>
      </c>
      <c r="B671" t="s">
        <v>1596</v>
      </c>
      <c r="C671" t="s">
        <v>259</v>
      </c>
      <c r="D671" t="s">
        <v>223</v>
      </c>
      <c r="E671" t="s">
        <v>224</v>
      </c>
      <c r="L671" t="s">
        <v>1566</v>
      </c>
      <c r="M671" s="19">
        <v>45751</v>
      </c>
      <c r="N671" s="20"/>
      <c r="O671" s="20"/>
    </row>
    <row r="672" ht="15" customHeight="1">
      <c r="A672" t="s">
        <v>1597</v>
      </c>
      <c r="B672" t="s">
        <v>1598</v>
      </c>
      <c r="C672" t="s">
        <v>259</v>
      </c>
      <c r="D672" t="s">
        <v>223</v>
      </c>
      <c r="E672" t="s">
        <v>224</v>
      </c>
      <c r="L672" t="s">
        <v>1540</v>
      </c>
      <c r="M672" s="19">
        <v>45751</v>
      </c>
      <c r="N672" s="20"/>
      <c r="O672" s="20"/>
    </row>
    <row r="673" ht="15" customHeight="1">
      <c r="A673" t="s">
        <v>1599</v>
      </c>
      <c r="B673" t="s">
        <v>1600</v>
      </c>
      <c r="C673" t="s">
        <v>259</v>
      </c>
      <c r="D673" t="s">
        <v>223</v>
      </c>
      <c r="E673" t="s">
        <v>224</v>
      </c>
      <c r="L673" t="s">
        <v>1540</v>
      </c>
      <c r="M673" s="19">
        <v>45751</v>
      </c>
      <c r="N673" s="20"/>
      <c r="O673" s="20"/>
    </row>
    <row r="674" ht="15" customHeight="1">
      <c r="A674" t="s">
        <v>1601</v>
      </c>
      <c r="B674" t="s">
        <v>1602</v>
      </c>
      <c r="C674" t="s">
        <v>259</v>
      </c>
      <c r="D674" t="s">
        <v>223</v>
      </c>
      <c r="E674" t="s">
        <v>224</v>
      </c>
      <c r="L674" t="s">
        <v>1540</v>
      </c>
      <c r="M674" s="19">
        <v>45751</v>
      </c>
      <c r="N674" s="20"/>
      <c r="O674" s="20"/>
    </row>
    <row r="675" ht="15" customHeight="1">
      <c r="A675" t="s">
        <v>1603</v>
      </c>
      <c r="B675" t="s">
        <v>1604</v>
      </c>
      <c r="C675" t="s">
        <v>259</v>
      </c>
      <c r="D675" t="s">
        <v>223</v>
      </c>
      <c r="E675" t="s">
        <v>224</v>
      </c>
      <c r="L675" t="s">
        <v>1540</v>
      </c>
      <c r="M675" s="19">
        <v>45751</v>
      </c>
      <c r="N675" s="20"/>
      <c r="O675" s="20"/>
    </row>
    <row r="676" ht="15" customHeight="1">
      <c r="A676" t="s">
        <v>1605</v>
      </c>
      <c r="B676" t="s">
        <v>1606</v>
      </c>
      <c r="C676" t="s">
        <v>259</v>
      </c>
      <c r="D676" t="s">
        <v>223</v>
      </c>
      <c r="E676" t="s">
        <v>224</v>
      </c>
      <c r="M676" s="19">
        <v>45751</v>
      </c>
      <c r="N676" s="20"/>
      <c r="O676" s="20"/>
    </row>
    <row r="677" ht="15" customHeight="1">
      <c r="A677" t="s">
        <v>1607</v>
      </c>
      <c r="B677" t="s">
        <v>1608</v>
      </c>
      <c r="C677" t="s">
        <v>259</v>
      </c>
      <c r="D677" t="s">
        <v>223</v>
      </c>
      <c r="E677" t="s">
        <v>224</v>
      </c>
      <c r="L677" t="s">
        <v>1561</v>
      </c>
      <c r="M677" s="19">
        <v>45751</v>
      </c>
      <c r="N677" s="20"/>
      <c r="O677" s="20"/>
    </row>
    <row r="678" ht="15" customHeight="1">
      <c r="A678" t="s">
        <v>1609</v>
      </c>
      <c r="B678" t="s">
        <v>1610</v>
      </c>
      <c r="C678" t="s">
        <v>259</v>
      </c>
      <c r="D678" t="s">
        <v>223</v>
      </c>
      <c r="E678" t="s">
        <v>224</v>
      </c>
      <c r="M678" s="19">
        <v>45751</v>
      </c>
      <c r="N678" s="20"/>
      <c r="O678" s="20"/>
    </row>
    <row r="679" ht="15" customHeight="1">
      <c r="A679" t="s">
        <v>1611</v>
      </c>
      <c r="B679" t="s">
        <v>1612</v>
      </c>
      <c r="C679" t="s">
        <v>259</v>
      </c>
      <c r="D679" t="s">
        <v>223</v>
      </c>
      <c r="E679" t="s">
        <v>224</v>
      </c>
      <c r="L679" t="s">
        <v>1566</v>
      </c>
      <c r="M679" s="19">
        <v>45751</v>
      </c>
      <c r="N679" s="20"/>
      <c r="O679" s="20"/>
    </row>
    <row r="680" ht="15" customHeight="1">
      <c r="A680" t="s">
        <v>1613</v>
      </c>
      <c r="B680" t="s">
        <v>1614</v>
      </c>
      <c r="C680" t="s">
        <v>259</v>
      </c>
      <c r="D680" t="s">
        <v>223</v>
      </c>
      <c r="E680" t="s">
        <v>224</v>
      </c>
      <c r="M680" s="19">
        <v>45751</v>
      </c>
      <c r="N680" s="20"/>
      <c r="O680" s="20"/>
    </row>
    <row r="681" ht="15" customHeight="1">
      <c r="A681" t="s">
        <v>1615</v>
      </c>
      <c r="B681" t="s">
        <v>1616</v>
      </c>
      <c r="C681" t="s">
        <v>259</v>
      </c>
      <c r="D681" t="s">
        <v>223</v>
      </c>
      <c r="E681" t="s">
        <v>224</v>
      </c>
      <c r="L681" t="s">
        <v>1540</v>
      </c>
      <c r="M681" s="19">
        <v>45751</v>
      </c>
      <c r="N681" s="20"/>
      <c r="O681" s="20"/>
    </row>
    <row r="682" ht="15" customHeight="1">
      <c r="A682" t="s">
        <v>1617</v>
      </c>
      <c r="B682" t="s">
        <v>1618</v>
      </c>
      <c r="C682" t="s">
        <v>259</v>
      </c>
      <c r="D682" t="s">
        <v>223</v>
      </c>
      <c r="E682" t="s">
        <v>224</v>
      </c>
      <c r="L682" t="s">
        <v>1540</v>
      </c>
      <c r="M682" s="19">
        <v>45751</v>
      </c>
      <c r="N682" s="20"/>
      <c r="O682" s="20"/>
    </row>
    <row r="683" ht="15" customHeight="1">
      <c r="A683" t="s">
        <v>1619</v>
      </c>
      <c r="B683" t="s">
        <v>1620</v>
      </c>
      <c r="C683" t="s">
        <v>259</v>
      </c>
      <c r="D683" t="s">
        <v>223</v>
      </c>
      <c r="E683" t="s">
        <v>224</v>
      </c>
      <c r="M683" s="19">
        <v>45751</v>
      </c>
      <c r="N683" s="20"/>
      <c r="O683" s="20"/>
    </row>
    <row r="684" ht="15" customHeight="1">
      <c r="A684" t="s">
        <v>1621</v>
      </c>
      <c r="B684" t="s">
        <v>1622</v>
      </c>
      <c r="C684" t="s">
        <v>259</v>
      </c>
      <c r="D684" t="s">
        <v>223</v>
      </c>
      <c r="E684" t="s">
        <v>224</v>
      </c>
      <c r="L684" t="s">
        <v>1561</v>
      </c>
      <c r="M684" s="19">
        <v>45751</v>
      </c>
      <c r="N684" s="20"/>
      <c r="O684" s="20"/>
    </row>
    <row r="685" ht="15" customHeight="1">
      <c r="A685" t="s">
        <v>1623</v>
      </c>
      <c r="B685" t="s">
        <v>1624</v>
      </c>
      <c r="C685" t="s">
        <v>259</v>
      </c>
      <c r="D685" t="s">
        <v>223</v>
      </c>
      <c r="E685" t="s">
        <v>224</v>
      </c>
      <c r="L685" t="s">
        <v>1540</v>
      </c>
      <c r="M685" s="19">
        <v>45751</v>
      </c>
      <c r="N685" s="20"/>
      <c r="O685" s="20"/>
    </row>
    <row r="686" ht="15" customHeight="1">
      <c r="A686" t="s">
        <v>1625</v>
      </c>
      <c r="B686" t="s">
        <v>1626</v>
      </c>
      <c r="C686" s="25" t="s">
        <v>1627</v>
      </c>
      <c r="D686" t="s">
        <v>223</v>
      </c>
      <c r="E686" t="s">
        <v>224</v>
      </c>
      <c r="L686" t="s">
        <v>1540</v>
      </c>
      <c r="M686" s="19">
        <v>45751</v>
      </c>
      <c r="N686" s="20"/>
      <c r="O686" s="20"/>
    </row>
    <row r="687" ht="15" customHeight="1">
      <c r="A687" t="s">
        <v>1628</v>
      </c>
      <c r="B687" t="s">
        <v>1629</v>
      </c>
      <c r="C687" s="25" t="s">
        <v>1627</v>
      </c>
      <c r="D687" t="s">
        <v>223</v>
      </c>
      <c r="E687" t="s">
        <v>224</v>
      </c>
      <c r="L687" t="s">
        <v>1561</v>
      </c>
      <c r="M687" s="19">
        <v>45751</v>
      </c>
      <c r="N687" s="19">
        <v>45821</v>
      </c>
      <c r="O687" s="20"/>
    </row>
    <row r="688" ht="15" customHeight="1">
      <c r="A688" t="s">
        <v>1630</v>
      </c>
      <c r="B688" t="s">
        <v>1631</v>
      </c>
      <c r="C688" t="s">
        <v>259</v>
      </c>
      <c r="D688" t="s">
        <v>223</v>
      </c>
      <c r="E688" t="s">
        <v>224</v>
      </c>
      <c r="M688" s="19">
        <v>45751</v>
      </c>
      <c r="N688" s="20"/>
      <c r="O688" s="20"/>
    </row>
    <row r="689" ht="15" customHeight="1">
      <c r="A689" t="s">
        <v>1632</v>
      </c>
      <c r="B689" t="s">
        <v>1633</v>
      </c>
      <c r="C689" s="23" t="s">
        <v>309</v>
      </c>
      <c r="D689" t="s">
        <v>232</v>
      </c>
      <c r="E689" t="s">
        <v>233</v>
      </c>
      <c r="K689" t="s">
        <v>866</v>
      </c>
      <c r="L689" t="s">
        <v>1634</v>
      </c>
      <c r="M689" s="19">
        <v>45750</v>
      </c>
      <c r="N689" s="20"/>
      <c r="O689" s="20"/>
    </row>
    <row r="690" ht="15" customHeight="1">
      <c r="A690" t="s">
        <v>1635</v>
      </c>
      <c r="B690" t="s">
        <v>1636</v>
      </c>
      <c r="C690" s="23" t="s">
        <v>309</v>
      </c>
      <c r="D690" t="s">
        <v>232</v>
      </c>
      <c r="E690" t="s">
        <v>233</v>
      </c>
      <c r="M690" s="19">
        <v>45749</v>
      </c>
      <c r="N690" s="20"/>
      <c r="O690" s="20"/>
    </row>
    <row r="691" ht="15" customHeight="1">
      <c r="A691" t="s">
        <v>1637</v>
      </c>
      <c r="B691" t="s">
        <v>1638</v>
      </c>
      <c r="C691" t="s">
        <v>1470</v>
      </c>
      <c r="D691" t="s">
        <v>232</v>
      </c>
      <c r="E691" t="s">
        <v>233</v>
      </c>
      <c r="M691" s="19">
        <v>45749</v>
      </c>
      <c r="N691" s="20"/>
      <c r="O691" s="20"/>
    </row>
    <row r="692" ht="15" customHeight="1">
      <c r="A692" t="s">
        <v>1639</v>
      </c>
      <c r="B692" t="s">
        <v>1640</v>
      </c>
      <c r="C692" s="21" t="s">
        <v>227</v>
      </c>
      <c r="D692" t="s">
        <v>250</v>
      </c>
      <c r="E692" t="s">
        <v>251</v>
      </c>
      <c r="M692" s="19">
        <v>45749</v>
      </c>
      <c r="N692" s="20"/>
      <c r="O692" s="20"/>
    </row>
    <row r="693" ht="15" customHeight="1">
      <c r="A693" t="s">
        <v>1641</v>
      </c>
      <c r="B693" t="s">
        <v>1642</v>
      </c>
      <c r="C693" s="23" t="s">
        <v>309</v>
      </c>
      <c r="D693" t="s">
        <v>250</v>
      </c>
      <c r="E693" t="s">
        <v>251</v>
      </c>
      <c r="M693" s="19">
        <v>45749</v>
      </c>
      <c r="N693" s="20"/>
      <c r="O693" s="20"/>
    </row>
    <row r="694" ht="15" customHeight="1">
      <c r="A694" t="s">
        <v>1643</v>
      </c>
      <c r="B694" t="s">
        <v>1644</v>
      </c>
      <c r="C694" s="23" t="s">
        <v>309</v>
      </c>
      <c r="D694" t="s">
        <v>250</v>
      </c>
      <c r="E694" t="s">
        <v>251</v>
      </c>
      <c r="M694" s="19">
        <v>45749</v>
      </c>
      <c r="N694" s="20"/>
      <c r="O694" s="20"/>
    </row>
    <row r="695" ht="15" customHeight="1">
      <c r="A695" t="s">
        <v>1645</v>
      </c>
      <c r="B695" t="s">
        <v>1646</v>
      </c>
      <c r="C695" s="23" t="s">
        <v>309</v>
      </c>
      <c r="D695" t="s">
        <v>250</v>
      </c>
      <c r="E695" t="s">
        <v>251</v>
      </c>
      <c r="M695" s="19">
        <v>45749</v>
      </c>
      <c r="N695" s="20"/>
      <c r="O695" s="20"/>
    </row>
    <row r="696" ht="15" customHeight="1">
      <c r="A696" t="s">
        <v>1647</v>
      </c>
      <c r="B696" t="s">
        <v>1648</v>
      </c>
      <c r="C696" t="s">
        <v>1470</v>
      </c>
      <c r="D696" t="s">
        <v>232</v>
      </c>
      <c r="E696" t="s">
        <v>233</v>
      </c>
      <c r="M696" s="19">
        <v>45748</v>
      </c>
      <c r="N696" s="20"/>
      <c r="O696" s="20"/>
    </row>
    <row r="697" ht="15" customHeight="1">
      <c r="A697" t="s">
        <v>1649</v>
      </c>
      <c r="B697" t="s">
        <v>1650</v>
      </c>
      <c r="C697" t="s">
        <v>1470</v>
      </c>
      <c r="D697" t="s">
        <v>232</v>
      </c>
      <c r="E697" t="s">
        <v>233</v>
      </c>
      <c r="L697" t="s">
        <v>1634</v>
      </c>
      <c r="M697" s="19">
        <v>45747</v>
      </c>
      <c r="N697" s="20"/>
      <c r="O697" s="20"/>
    </row>
    <row r="698" ht="15" customHeight="1">
      <c r="A698" t="s">
        <v>1651</v>
      </c>
      <c r="B698" t="s">
        <v>1652</v>
      </c>
      <c r="C698" t="s">
        <v>1470</v>
      </c>
      <c r="D698" t="s">
        <v>232</v>
      </c>
      <c r="E698" t="s">
        <v>233</v>
      </c>
      <c r="H698">
        <v>5</v>
      </c>
      <c r="K698" t="s">
        <v>866</v>
      </c>
      <c r="M698" s="19">
        <v>45747</v>
      </c>
      <c r="N698" s="20"/>
      <c r="O698" s="20"/>
    </row>
    <row r="699" ht="15" customHeight="1">
      <c r="A699" t="s">
        <v>1653</v>
      </c>
      <c r="B699" t="s">
        <v>1654</v>
      </c>
      <c r="C699" s="23" t="s">
        <v>309</v>
      </c>
      <c r="D699" t="s">
        <v>232</v>
      </c>
      <c r="E699" t="s">
        <v>233</v>
      </c>
      <c r="H699">
        <v>3</v>
      </c>
      <c r="K699" t="s">
        <v>802</v>
      </c>
      <c r="M699" s="19">
        <v>45747</v>
      </c>
      <c r="N699" s="20"/>
      <c r="O699" s="20"/>
    </row>
    <row r="700" ht="15" customHeight="1">
      <c r="A700" t="s">
        <v>1655</v>
      </c>
      <c r="B700" t="s">
        <v>1656</v>
      </c>
      <c r="C700" t="s">
        <v>1470</v>
      </c>
      <c r="D700" t="s">
        <v>232</v>
      </c>
      <c r="E700" t="s">
        <v>233</v>
      </c>
      <c r="L700" t="s">
        <v>1365</v>
      </c>
      <c r="M700" s="19">
        <v>45743</v>
      </c>
      <c r="N700" s="20"/>
      <c r="O700" s="20"/>
    </row>
    <row r="701" ht="15" customHeight="1">
      <c r="A701" t="s">
        <v>1657</v>
      </c>
      <c r="B701" t="s">
        <v>1658</v>
      </c>
      <c r="C701" t="s">
        <v>1470</v>
      </c>
      <c r="D701" t="s">
        <v>232</v>
      </c>
      <c r="E701" t="s">
        <v>233</v>
      </c>
      <c r="M701" s="19">
        <v>45741</v>
      </c>
      <c r="N701" s="20"/>
      <c r="O701" s="20"/>
    </row>
    <row r="702" ht="15" customHeight="1">
      <c r="A702" t="s">
        <v>1659</v>
      </c>
      <c r="B702" t="s">
        <v>1660</v>
      </c>
      <c r="C702" t="s">
        <v>1470</v>
      </c>
      <c r="D702" t="s">
        <v>232</v>
      </c>
      <c r="E702" t="s">
        <v>233</v>
      </c>
      <c r="M702" s="19">
        <v>45741</v>
      </c>
      <c r="N702" s="20"/>
      <c r="O702" s="20"/>
    </row>
    <row r="703" ht="15" customHeight="1">
      <c r="A703" t="s">
        <v>1661</v>
      </c>
      <c r="B703" t="s">
        <v>1662</v>
      </c>
      <c r="C703" s="21" t="s">
        <v>227</v>
      </c>
      <c r="D703" t="s">
        <v>232</v>
      </c>
      <c r="E703" t="s">
        <v>233</v>
      </c>
      <c r="L703" t="s">
        <v>1365</v>
      </c>
      <c r="M703" s="19">
        <v>45736</v>
      </c>
      <c r="N703" s="20"/>
      <c r="O703" s="20"/>
    </row>
    <row r="704" ht="15" customHeight="1">
      <c r="A704" t="s">
        <v>1663</v>
      </c>
      <c r="B704" t="s">
        <v>1664</v>
      </c>
      <c r="C704" s="24" t="s">
        <v>1338</v>
      </c>
      <c r="D704" t="s">
        <v>223</v>
      </c>
      <c r="E704" t="s">
        <v>224</v>
      </c>
      <c r="L704" t="s">
        <v>1566</v>
      </c>
      <c r="M704" s="19">
        <v>45736</v>
      </c>
      <c r="N704" s="19">
        <v>45828</v>
      </c>
      <c r="O704" s="20"/>
    </row>
    <row r="705" ht="15" customHeight="1">
      <c r="A705" t="s">
        <v>1665</v>
      </c>
      <c r="B705" t="s">
        <v>1666</v>
      </c>
      <c r="C705" s="22" t="s">
        <v>55</v>
      </c>
      <c r="D705" t="s">
        <v>232</v>
      </c>
      <c r="E705" t="s">
        <v>233</v>
      </c>
      <c r="M705" s="19">
        <v>45736</v>
      </c>
      <c r="N705" s="20"/>
      <c r="O705" s="20"/>
    </row>
    <row r="706" ht="15" customHeight="1">
      <c r="A706" t="s">
        <v>1667</v>
      </c>
      <c r="B706" t="s">
        <v>1668</v>
      </c>
      <c r="C706" s="24" t="s">
        <v>1338</v>
      </c>
      <c r="D706" t="s">
        <v>223</v>
      </c>
      <c r="E706" t="s">
        <v>224</v>
      </c>
      <c r="K706" t="s">
        <v>1132</v>
      </c>
      <c r="L706" t="s">
        <v>1540</v>
      </c>
      <c r="M706" s="19">
        <v>45736</v>
      </c>
      <c r="N706" s="19">
        <v>45838</v>
      </c>
      <c r="O706" s="20"/>
    </row>
    <row r="707" ht="15" customHeight="1">
      <c r="A707" t="s">
        <v>1669</v>
      </c>
      <c r="B707" t="s">
        <v>1670</v>
      </c>
      <c r="C707" s="21" t="s">
        <v>227</v>
      </c>
      <c r="D707" t="s">
        <v>250</v>
      </c>
      <c r="E707" t="s">
        <v>251</v>
      </c>
      <c r="M707" s="19">
        <v>45735</v>
      </c>
      <c r="N707" s="20"/>
      <c r="O707" s="20"/>
    </row>
    <row r="708" ht="15" customHeight="1">
      <c r="A708" t="s">
        <v>1671</v>
      </c>
      <c r="B708" t="s">
        <v>1672</v>
      </c>
      <c r="C708" s="23" t="s">
        <v>309</v>
      </c>
      <c r="D708" t="s">
        <v>232</v>
      </c>
      <c r="E708" t="s">
        <v>233</v>
      </c>
      <c r="K708" t="s">
        <v>791</v>
      </c>
      <c r="M708" s="19">
        <v>45734</v>
      </c>
      <c r="N708" s="20"/>
      <c r="O708" s="20"/>
    </row>
    <row r="709" ht="15" customHeight="1">
      <c r="A709" t="s">
        <v>1673</v>
      </c>
      <c r="B709" t="s">
        <v>1674</v>
      </c>
      <c r="C709" s="21" t="s">
        <v>227</v>
      </c>
      <c r="D709" t="s">
        <v>250</v>
      </c>
      <c r="E709" t="s">
        <v>251</v>
      </c>
      <c r="M709" s="19">
        <v>45728</v>
      </c>
      <c r="N709" s="20"/>
      <c r="O709" s="20"/>
    </row>
    <row r="710" ht="15" customHeight="1">
      <c r="A710" t="s">
        <v>1675</v>
      </c>
      <c r="B710" t="s">
        <v>1676</v>
      </c>
      <c r="C710" s="23" t="s">
        <v>309</v>
      </c>
      <c r="D710" t="s">
        <v>232</v>
      </c>
      <c r="E710" t="s">
        <v>233</v>
      </c>
      <c r="H710">
        <v>3</v>
      </c>
      <c r="M710" s="19">
        <v>45727</v>
      </c>
      <c r="N710" s="20"/>
      <c r="O710" s="20"/>
    </row>
    <row r="711" ht="15" customHeight="1">
      <c r="A711" t="s">
        <v>1677</v>
      </c>
      <c r="B711" t="s">
        <v>1678</v>
      </c>
      <c r="C711" t="s">
        <v>1057</v>
      </c>
      <c r="D711" t="s">
        <v>223</v>
      </c>
      <c r="E711" t="s">
        <v>224</v>
      </c>
      <c r="M711" s="19">
        <v>45727</v>
      </c>
      <c r="N711" s="20"/>
      <c r="O711" s="20"/>
    </row>
    <row r="712" ht="15" customHeight="1">
      <c r="A712" t="s">
        <v>1679</v>
      </c>
      <c r="B712" t="s">
        <v>1680</v>
      </c>
      <c r="C712" s="21" t="s">
        <v>227</v>
      </c>
      <c r="D712" t="s">
        <v>228</v>
      </c>
      <c r="E712" t="s">
        <v>229</v>
      </c>
      <c r="M712" s="19">
        <v>45727</v>
      </c>
      <c r="N712" s="20"/>
      <c r="O712" s="20"/>
    </row>
    <row r="713" ht="15" customHeight="1">
      <c r="A713" t="s">
        <v>1681</v>
      </c>
      <c r="B713" t="s">
        <v>1682</v>
      </c>
      <c r="C713" s="22" t="s">
        <v>55</v>
      </c>
      <c r="D713" t="s">
        <v>232</v>
      </c>
      <c r="E713" t="s">
        <v>233</v>
      </c>
      <c r="M713" s="19">
        <v>45727</v>
      </c>
      <c r="N713" s="20"/>
      <c r="O713" s="20"/>
    </row>
    <row r="714" ht="15" customHeight="1">
      <c r="A714" t="s">
        <v>1683</v>
      </c>
      <c r="B714" t="s">
        <v>1684</v>
      </c>
      <c r="C714" t="s">
        <v>1685</v>
      </c>
      <c r="D714" t="s">
        <v>223</v>
      </c>
      <c r="E714" t="s">
        <v>224</v>
      </c>
      <c r="L714" t="s">
        <v>1540</v>
      </c>
      <c r="M714" s="19">
        <v>45727</v>
      </c>
      <c r="N714" s="19">
        <v>45838</v>
      </c>
      <c r="O714" s="20"/>
    </row>
    <row r="715" ht="15" customHeight="1">
      <c r="A715" t="s">
        <v>1686</v>
      </c>
      <c r="B715" t="s">
        <v>1687</v>
      </c>
      <c r="C715" s="21" t="s">
        <v>227</v>
      </c>
      <c r="D715" t="s">
        <v>232</v>
      </c>
      <c r="E715" t="s">
        <v>233</v>
      </c>
      <c r="G715" t="s">
        <v>844</v>
      </c>
      <c r="M715" s="19">
        <v>45727</v>
      </c>
      <c r="N715" s="20"/>
      <c r="O715" s="20"/>
    </row>
    <row r="716" ht="15" customHeight="1">
      <c r="A716" t="s">
        <v>1688</v>
      </c>
      <c r="B716" t="s">
        <v>1689</v>
      </c>
      <c r="C716" t="s">
        <v>1685</v>
      </c>
      <c r="D716" t="s">
        <v>223</v>
      </c>
      <c r="E716" t="s">
        <v>224</v>
      </c>
      <c r="L716" t="s">
        <v>1540</v>
      </c>
      <c r="M716" s="19">
        <v>45727</v>
      </c>
      <c r="N716" s="19">
        <v>45838</v>
      </c>
      <c r="O716" s="20"/>
    </row>
    <row r="717" ht="15" customHeight="1">
      <c r="A717" t="s">
        <v>1690</v>
      </c>
      <c r="B717" t="s">
        <v>1691</v>
      </c>
      <c r="C717" s="23" t="s">
        <v>309</v>
      </c>
      <c r="D717" t="s">
        <v>232</v>
      </c>
      <c r="E717" t="s">
        <v>233</v>
      </c>
      <c r="M717" s="19">
        <v>45721</v>
      </c>
      <c r="N717" s="20"/>
      <c r="O717" s="20"/>
    </row>
    <row r="718" ht="15" customHeight="1">
      <c r="A718" t="s">
        <v>1692</v>
      </c>
      <c r="B718" t="s">
        <v>1693</v>
      </c>
      <c r="C718" s="23" t="s">
        <v>309</v>
      </c>
      <c r="D718" t="s">
        <v>232</v>
      </c>
      <c r="E718" t="s">
        <v>233</v>
      </c>
      <c r="L718" t="s">
        <v>1694</v>
      </c>
      <c r="M718" s="19">
        <v>45721</v>
      </c>
      <c r="N718" s="20"/>
      <c r="O718" s="20"/>
    </row>
    <row r="719" ht="15" customHeight="1">
      <c r="A719" t="s">
        <v>1695</v>
      </c>
      <c r="B719" t="s">
        <v>1696</v>
      </c>
      <c r="C719" s="22" t="s">
        <v>55</v>
      </c>
      <c r="D719" t="s">
        <v>250</v>
      </c>
      <c r="E719" t="s">
        <v>251</v>
      </c>
      <c r="H719">
        <v>8</v>
      </c>
      <c r="K719" t="s">
        <v>1135</v>
      </c>
      <c r="L719" t="s">
        <v>1694</v>
      </c>
      <c r="M719" s="19">
        <v>45721</v>
      </c>
      <c r="N719" s="20"/>
      <c r="O719" s="20"/>
    </row>
    <row r="720" ht="15" customHeight="1">
      <c r="A720" t="s">
        <v>1697</v>
      </c>
      <c r="B720" t="s">
        <v>1698</v>
      </c>
      <c r="C720" s="23" t="s">
        <v>309</v>
      </c>
      <c r="D720" t="s">
        <v>232</v>
      </c>
      <c r="E720" t="s">
        <v>233</v>
      </c>
      <c r="K720" t="s">
        <v>866</v>
      </c>
      <c r="L720" t="s">
        <v>1699</v>
      </c>
      <c r="M720" s="19">
        <v>45721</v>
      </c>
      <c r="N720" s="20"/>
      <c r="O720" s="20"/>
    </row>
    <row r="721" ht="15" customHeight="1">
      <c r="A721" t="s">
        <v>1700</v>
      </c>
      <c r="B721" t="s">
        <v>1701</v>
      </c>
      <c r="C721" s="25" t="s">
        <v>1627</v>
      </c>
      <c r="D721" t="s">
        <v>223</v>
      </c>
      <c r="E721" t="s">
        <v>224</v>
      </c>
      <c r="K721" t="s">
        <v>1132</v>
      </c>
      <c r="L721" t="s">
        <v>1540</v>
      </c>
      <c r="M721" s="19">
        <v>45720</v>
      </c>
      <c r="N721" s="19">
        <v>45807</v>
      </c>
      <c r="O721" s="20"/>
    </row>
    <row r="722" ht="15" customHeight="1">
      <c r="A722" t="s">
        <v>1702</v>
      </c>
      <c r="B722" t="s">
        <v>1703</v>
      </c>
      <c r="C722" s="23" t="s">
        <v>309</v>
      </c>
      <c r="D722" t="s">
        <v>228</v>
      </c>
      <c r="E722" t="s">
        <v>229</v>
      </c>
      <c r="H722">
        <v>1</v>
      </c>
      <c r="K722" t="s">
        <v>286</v>
      </c>
      <c r="L722" t="s">
        <v>1699</v>
      </c>
      <c r="M722" s="19">
        <v>45714</v>
      </c>
      <c r="N722" s="20"/>
      <c r="O722" s="20"/>
    </row>
    <row r="723" ht="15" customHeight="1">
      <c r="A723" t="s">
        <v>1704</v>
      </c>
      <c r="B723" t="s">
        <v>1705</v>
      </c>
      <c r="C723" s="23" t="s">
        <v>309</v>
      </c>
      <c r="D723" t="s">
        <v>232</v>
      </c>
      <c r="E723" t="s">
        <v>233</v>
      </c>
      <c r="K723" t="s">
        <v>1706</v>
      </c>
      <c r="M723" s="19">
        <v>45713</v>
      </c>
      <c r="N723" s="20"/>
      <c r="O723" s="20"/>
    </row>
    <row r="724" ht="15" customHeight="1">
      <c r="A724" t="s">
        <v>1707</v>
      </c>
      <c r="B724" t="s">
        <v>1708</v>
      </c>
      <c r="C724" s="23" t="s">
        <v>309</v>
      </c>
      <c r="D724" t="s">
        <v>232</v>
      </c>
      <c r="E724" t="s">
        <v>233</v>
      </c>
      <c r="L724" t="s">
        <v>1486</v>
      </c>
      <c r="M724" s="19">
        <v>45709</v>
      </c>
      <c r="N724" s="20"/>
      <c r="O724" s="20"/>
    </row>
    <row r="725" ht="15" customHeight="1">
      <c r="A725" t="s">
        <v>1709</v>
      </c>
      <c r="B725" t="s">
        <v>1710</v>
      </c>
      <c r="C725" s="24" t="s">
        <v>322</v>
      </c>
      <c r="D725" t="s">
        <v>250</v>
      </c>
      <c r="E725" t="s">
        <v>251</v>
      </c>
      <c r="H725">
        <v>2</v>
      </c>
      <c r="L725" t="s">
        <v>1694</v>
      </c>
      <c r="M725" s="19">
        <v>45709</v>
      </c>
      <c r="N725" s="20"/>
      <c r="O725" s="20"/>
    </row>
    <row r="726" ht="15" customHeight="1">
      <c r="A726" t="s">
        <v>1711</v>
      </c>
      <c r="B726" t="s">
        <v>1712</v>
      </c>
      <c r="C726" s="21" t="s">
        <v>227</v>
      </c>
      <c r="D726" t="s">
        <v>250</v>
      </c>
      <c r="E726" t="s">
        <v>251</v>
      </c>
      <c r="M726" s="19">
        <v>45709</v>
      </c>
      <c r="N726" s="20"/>
      <c r="O726" s="20"/>
    </row>
    <row r="727" ht="15" customHeight="1">
      <c r="A727" t="s">
        <v>1713</v>
      </c>
      <c r="B727" t="s">
        <v>1714</v>
      </c>
      <c r="C727" t="s">
        <v>1470</v>
      </c>
      <c r="D727" t="s">
        <v>232</v>
      </c>
      <c r="E727" t="s">
        <v>233</v>
      </c>
      <c r="L727" t="s">
        <v>1365</v>
      </c>
      <c r="M727" s="19">
        <v>45709</v>
      </c>
      <c r="N727" s="20"/>
      <c r="O727" s="20"/>
    </row>
    <row r="728" ht="15" customHeight="1">
      <c r="A728" t="s">
        <v>1715</v>
      </c>
      <c r="B728" t="s">
        <v>1716</v>
      </c>
      <c r="C728" t="s">
        <v>1470</v>
      </c>
      <c r="D728" t="s">
        <v>232</v>
      </c>
      <c r="E728" t="s">
        <v>233</v>
      </c>
      <c r="M728" s="19">
        <v>45707</v>
      </c>
      <c r="N728" s="20"/>
      <c r="O728" s="20"/>
    </row>
    <row r="729" ht="15" customHeight="1">
      <c r="A729" t="s">
        <v>1717</v>
      </c>
      <c r="B729" t="s">
        <v>1718</v>
      </c>
      <c r="C729" s="25" t="s">
        <v>1627</v>
      </c>
      <c r="D729" t="s">
        <v>223</v>
      </c>
      <c r="E729" t="s">
        <v>224</v>
      </c>
      <c r="K729" t="s">
        <v>1132</v>
      </c>
      <c r="L729" t="s">
        <v>1566</v>
      </c>
      <c r="M729" s="19">
        <v>45707</v>
      </c>
      <c r="N729" s="19">
        <v>45747</v>
      </c>
      <c r="O729" s="20"/>
    </row>
    <row r="730" ht="15" customHeight="1">
      <c r="A730" t="s">
        <v>1719</v>
      </c>
      <c r="B730" t="s">
        <v>1720</v>
      </c>
      <c r="C730" s="25" t="s">
        <v>1627</v>
      </c>
      <c r="D730" t="s">
        <v>223</v>
      </c>
      <c r="E730" t="s">
        <v>224</v>
      </c>
      <c r="M730" s="19">
        <v>45707</v>
      </c>
      <c r="N730" s="20"/>
      <c r="O730" s="20"/>
    </row>
    <row r="731" ht="15" customHeight="1">
      <c r="A731" t="s">
        <v>1721</v>
      </c>
      <c r="B731" t="s">
        <v>1722</v>
      </c>
      <c r="C731" s="21" t="s">
        <v>227</v>
      </c>
      <c r="D731" t="s">
        <v>228</v>
      </c>
      <c r="E731" t="s">
        <v>229</v>
      </c>
      <c r="M731" s="19">
        <v>45701</v>
      </c>
      <c r="N731" s="20"/>
      <c r="O731" s="20"/>
    </row>
    <row r="732" ht="15" customHeight="1">
      <c r="A732" t="s">
        <v>1723</v>
      </c>
      <c r="B732" t="s">
        <v>1724</v>
      </c>
      <c r="C732" s="21" t="s">
        <v>227</v>
      </c>
      <c r="D732" t="s">
        <v>232</v>
      </c>
      <c r="E732" t="s">
        <v>233</v>
      </c>
      <c r="M732" s="19">
        <v>45701</v>
      </c>
      <c r="N732" s="20"/>
      <c r="O732" s="20"/>
    </row>
    <row r="733" ht="15" customHeight="1">
      <c r="A733" t="s">
        <v>1725</v>
      </c>
      <c r="B733" t="s">
        <v>1726</v>
      </c>
      <c r="C733" t="s">
        <v>259</v>
      </c>
      <c r="D733" t="s">
        <v>223</v>
      </c>
      <c r="E733" t="s">
        <v>224</v>
      </c>
      <c r="K733" t="s">
        <v>1132</v>
      </c>
      <c r="M733" s="19">
        <v>45701</v>
      </c>
      <c r="N733" s="20"/>
      <c r="O733" s="20"/>
    </row>
    <row r="734" ht="15" customHeight="1">
      <c r="A734" t="s">
        <v>1727</v>
      </c>
      <c r="B734" t="s">
        <v>1728</v>
      </c>
      <c r="C734" s="25" t="s">
        <v>1627</v>
      </c>
      <c r="D734" t="s">
        <v>223</v>
      </c>
      <c r="E734" t="s">
        <v>224</v>
      </c>
      <c r="K734" t="s">
        <v>1132</v>
      </c>
      <c r="M734" s="19">
        <v>45701</v>
      </c>
      <c r="N734" s="19">
        <v>45727</v>
      </c>
      <c r="O734" s="20"/>
    </row>
    <row r="735" ht="15" customHeight="1">
      <c r="A735" t="s">
        <v>1729</v>
      </c>
      <c r="B735" t="s">
        <v>1730</v>
      </c>
      <c r="C735" s="23" t="s">
        <v>309</v>
      </c>
      <c r="D735" t="s">
        <v>228</v>
      </c>
      <c r="E735" t="s">
        <v>229</v>
      </c>
      <c r="H735">
        <v>1</v>
      </c>
      <c r="L735" t="s">
        <v>1486</v>
      </c>
      <c r="M735" s="19">
        <v>45701</v>
      </c>
      <c r="N735" s="20"/>
      <c r="O735" s="20"/>
    </row>
    <row r="736" ht="15" customHeight="1">
      <c r="A736" t="s">
        <v>1731</v>
      </c>
      <c r="B736" t="s">
        <v>1732</v>
      </c>
      <c r="C736" s="21" t="s">
        <v>227</v>
      </c>
      <c r="D736" t="s">
        <v>250</v>
      </c>
      <c r="E736" t="s">
        <v>251</v>
      </c>
      <c r="H736">
        <v>3</v>
      </c>
      <c r="L736" t="s">
        <v>1699</v>
      </c>
      <c r="M736" s="19">
        <v>45699</v>
      </c>
      <c r="N736" s="20"/>
      <c r="O736" s="20"/>
    </row>
    <row r="737" ht="15" customHeight="1">
      <c r="A737" t="s">
        <v>1733</v>
      </c>
      <c r="B737" t="s">
        <v>1734</v>
      </c>
      <c r="C737" s="23" t="s">
        <v>309</v>
      </c>
      <c r="D737" t="s">
        <v>232</v>
      </c>
      <c r="E737" t="s">
        <v>233</v>
      </c>
      <c r="L737" t="s">
        <v>1486</v>
      </c>
      <c r="M737" s="19">
        <v>45699</v>
      </c>
      <c r="N737" s="20"/>
      <c r="O737" s="20"/>
    </row>
    <row r="738" ht="15" customHeight="1">
      <c r="A738" t="s">
        <v>1735</v>
      </c>
      <c r="B738" t="s">
        <v>1736</v>
      </c>
      <c r="C738" s="23" t="s">
        <v>309</v>
      </c>
      <c r="D738" t="s">
        <v>232</v>
      </c>
      <c r="E738" t="s">
        <v>233</v>
      </c>
      <c r="M738" s="19">
        <v>45695</v>
      </c>
      <c r="N738" s="20"/>
      <c r="O738" s="20"/>
    </row>
    <row r="739" ht="15" customHeight="1">
      <c r="A739" t="s">
        <v>1737</v>
      </c>
      <c r="B739" t="s">
        <v>1738</v>
      </c>
      <c r="C739" s="25" t="s">
        <v>1627</v>
      </c>
      <c r="D739" t="s">
        <v>223</v>
      </c>
      <c r="E739" t="s">
        <v>224</v>
      </c>
      <c r="L739" t="s">
        <v>1739</v>
      </c>
      <c r="M739" s="19">
        <v>45695</v>
      </c>
      <c r="N739" s="19">
        <v>45702</v>
      </c>
      <c r="O739" s="20"/>
    </row>
    <row r="740" ht="15" customHeight="1">
      <c r="A740" t="s">
        <v>1740</v>
      </c>
      <c r="B740" t="s">
        <v>1741</v>
      </c>
      <c r="C740" t="s">
        <v>259</v>
      </c>
      <c r="D740" t="s">
        <v>223</v>
      </c>
      <c r="E740" t="s">
        <v>224</v>
      </c>
      <c r="L740" t="s">
        <v>1566</v>
      </c>
      <c r="M740" s="19">
        <v>45695</v>
      </c>
      <c r="N740" s="20"/>
      <c r="O740" s="20"/>
    </row>
    <row r="741" ht="15" customHeight="1">
      <c r="A741" t="s">
        <v>1742</v>
      </c>
      <c r="B741" t="s">
        <v>1743</v>
      </c>
      <c r="C741" s="23" t="s">
        <v>309</v>
      </c>
      <c r="D741" t="s">
        <v>228</v>
      </c>
      <c r="E741" t="s">
        <v>229</v>
      </c>
      <c r="M741" s="19">
        <v>45695</v>
      </c>
      <c r="N741" s="20"/>
      <c r="O741" s="20"/>
    </row>
    <row r="742" ht="15" customHeight="1">
      <c r="A742" t="s">
        <v>1744</v>
      </c>
      <c r="B742" t="s">
        <v>1745</v>
      </c>
      <c r="C742" s="23" t="s">
        <v>309</v>
      </c>
      <c r="D742" t="s">
        <v>232</v>
      </c>
      <c r="E742" t="s">
        <v>233</v>
      </c>
      <c r="K742" t="s">
        <v>791</v>
      </c>
      <c r="M742" s="19">
        <v>45693</v>
      </c>
      <c r="N742" s="20"/>
      <c r="O742" s="20"/>
    </row>
    <row r="743" ht="15" customHeight="1">
      <c r="A743" t="s">
        <v>1746</v>
      </c>
      <c r="B743" t="s">
        <v>1747</v>
      </c>
      <c r="C743" s="23" t="s">
        <v>309</v>
      </c>
      <c r="D743" t="s">
        <v>232</v>
      </c>
      <c r="E743" t="s">
        <v>233</v>
      </c>
      <c r="M743" s="19">
        <v>45693</v>
      </c>
      <c r="N743" s="20"/>
      <c r="O743" s="20"/>
    </row>
    <row r="744" ht="15" customHeight="1">
      <c r="A744" t="s">
        <v>1748</v>
      </c>
      <c r="B744" t="s">
        <v>1749</v>
      </c>
      <c r="C744" s="25" t="s">
        <v>1627</v>
      </c>
      <c r="D744" t="s">
        <v>223</v>
      </c>
      <c r="E744" t="s">
        <v>224</v>
      </c>
      <c r="L744" t="s">
        <v>1561</v>
      </c>
      <c r="M744" s="19">
        <v>45693</v>
      </c>
      <c r="N744" s="19">
        <v>45708</v>
      </c>
      <c r="O744" s="20"/>
    </row>
    <row r="745" ht="15" customHeight="1">
      <c r="A745" t="s">
        <v>1750</v>
      </c>
      <c r="B745" t="s">
        <v>1751</v>
      </c>
      <c r="C745" s="25" t="s">
        <v>1627</v>
      </c>
      <c r="D745" t="s">
        <v>223</v>
      </c>
      <c r="E745" t="s">
        <v>224</v>
      </c>
      <c r="L745" t="s">
        <v>1752</v>
      </c>
      <c r="M745" s="19">
        <v>45693</v>
      </c>
      <c r="N745" s="19">
        <v>45747</v>
      </c>
      <c r="O745" s="20"/>
    </row>
    <row r="746" ht="15" customHeight="1">
      <c r="A746" t="s">
        <v>1753</v>
      </c>
      <c r="B746" t="s">
        <v>1754</v>
      </c>
      <c r="C746" s="25" t="s">
        <v>1627</v>
      </c>
      <c r="D746" t="s">
        <v>223</v>
      </c>
      <c r="E746" t="s">
        <v>224</v>
      </c>
      <c r="L746" t="s">
        <v>1752</v>
      </c>
      <c r="M746" s="19">
        <v>45693</v>
      </c>
      <c r="N746" s="19">
        <v>45747</v>
      </c>
      <c r="O746" s="20"/>
    </row>
    <row r="747" ht="15" customHeight="1">
      <c r="A747" t="s">
        <v>1755</v>
      </c>
      <c r="B747" t="s">
        <v>1756</v>
      </c>
      <c r="C747" t="s">
        <v>259</v>
      </c>
      <c r="D747" t="s">
        <v>223</v>
      </c>
      <c r="E747" t="s">
        <v>224</v>
      </c>
      <c r="M747" s="19">
        <v>45691</v>
      </c>
      <c r="N747" s="20"/>
      <c r="O747" s="20"/>
    </row>
    <row r="748" ht="15" customHeight="1">
      <c r="A748" t="s">
        <v>1757</v>
      </c>
      <c r="B748" t="s">
        <v>1758</v>
      </c>
      <c r="C748" t="s">
        <v>259</v>
      </c>
      <c r="D748" t="s">
        <v>223</v>
      </c>
      <c r="E748" t="s">
        <v>224</v>
      </c>
      <c r="L748" t="s">
        <v>1566</v>
      </c>
      <c r="M748" s="19">
        <v>45691</v>
      </c>
      <c r="N748" s="20"/>
      <c r="O748" s="20"/>
    </row>
    <row r="749" ht="15" customHeight="1">
      <c r="A749" t="s">
        <v>1759</v>
      </c>
      <c r="B749" t="s">
        <v>1760</v>
      </c>
      <c r="C749" s="25" t="s">
        <v>1627</v>
      </c>
      <c r="D749" t="s">
        <v>223</v>
      </c>
      <c r="E749" t="s">
        <v>224</v>
      </c>
      <c r="L749" t="s">
        <v>1566</v>
      </c>
      <c r="M749" s="19">
        <v>45691</v>
      </c>
      <c r="N749" s="20"/>
      <c r="O749" s="20"/>
    </row>
    <row r="750" ht="15" customHeight="1">
      <c r="A750" t="s">
        <v>1761</v>
      </c>
      <c r="B750" t="s">
        <v>1762</v>
      </c>
      <c r="C750" s="23" t="s">
        <v>309</v>
      </c>
      <c r="D750" t="s">
        <v>228</v>
      </c>
      <c r="E750" t="s">
        <v>229</v>
      </c>
      <c r="H750">
        <v>2</v>
      </c>
      <c r="K750" t="s">
        <v>286</v>
      </c>
      <c r="L750" t="s">
        <v>1763</v>
      </c>
      <c r="M750" s="19">
        <v>45688</v>
      </c>
      <c r="N750" s="20"/>
      <c r="O750" s="20"/>
    </row>
    <row r="751" ht="15" customHeight="1">
      <c r="A751" t="s">
        <v>1764</v>
      </c>
      <c r="B751" t="s">
        <v>1765</v>
      </c>
      <c r="C751" s="23" t="s">
        <v>309</v>
      </c>
      <c r="D751" t="s">
        <v>232</v>
      </c>
      <c r="E751" t="s">
        <v>233</v>
      </c>
      <c r="L751" t="s">
        <v>1763</v>
      </c>
      <c r="M751" s="19">
        <v>45687</v>
      </c>
      <c r="N751" s="20"/>
      <c r="O751" s="20"/>
    </row>
    <row r="752" ht="15" customHeight="1">
      <c r="A752" t="s">
        <v>1766</v>
      </c>
      <c r="B752" t="s">
        <v>1767</v>
      </c>
      <c r="C752" t="s">
        <v>1470</v>
      </c>
      <c r="D752" t="s">
        <v>232</v>
      </c>
      <c r="E752" t="s">
        <v>233</v>
      </c>
      <c r="L752" t="s">
        <v>1365</v>
      </c>
      <c r="M752" s="19">
        <v>45687</v>
      </c>
      <c r="N752" s="20"/>
      <c r="O752" s="20"/>
    </row>
    <row r="753" ht="15" customHeight="1">
      <c r="A753" t="s">
        <v>1768</v>
      </c>
      <c r="B753" t="s">
        <v>1769</v>
      </c>
      <c r="C753" s="23" t="s">
        <v>309</v>
      </c>
      <c r="D753" t="s">
        <v>232</v>
      </c>
      <c r="E753" t="s">
        <v>233</v>
      </c>
      <c r="L753" t="s">
        <v>1486</v>
      </c>
      <c r="M753" s="19">
        <v>45687</v>
      </c>
      <c r="N753" s="20"/>
      <c r="O753" s="20"/>
    </row>
    <row r="754" ht="15" customHeight="1">
      <c r="A754" t="s">
        <v>1770</v>
      </c>
      <c r="B754" t="s">
        <v>1771</v>
      </c>
      <c r="C754" s="25" t="s">
        <v>1627</v>
      </c>
      <c r="D754" t="s">
        <v>223</v>
      </c>
      <c r="E754" t="s">
        <v>224</v>
      </c>
      <c r="K754" t="s">
        <v>1132</v>
      </c>
      <c r="L754" t="s">
        <v>1540</v>
      </c>
      <c r="M754" s="19">
        <v>45685</v>
      </c>
      <c r="N754" s="19">
        <v>45713</v>
      </c>
      <c r="O754" s="20"/>
    </row>
    <row r="755" ht="15" customHeight="1">
      <c r="A755" t="s">
        <v>1772</v>
      </c>
      <c r="B755" t="s">
        <v>1773</v>
      </c>
      <c r="C755" t="s">
        <v>259</v>
      </c>
      <c r="D755" t="s">
        <v>223</v>
      </c>
      <c r="E755" t="s">
        <v>224</v>
      </c>
      <c r="M755" s="19">
        <v>45681</v>
      </c>
      <c r="N755" s="20"/>
      <c r="O755" s="20"/>
    </row>
    <row r="756" ht="15" customHeight="1">
      <c r="A756" t="s">
        <v>1774</v>
      </c>
      <c r="B756" t="s">
        <v>1775</v>
      </c>
      <c r="C756" s="23" t="s">
        <v>309</v>
      </c>
      <c r="D756" t="s">
        <v>232</v>
      </c>
      <c r="E756" t="s">
        <v>233</v>
      </c>
      <c r="L756" t="s">
        <v>1486</v>
      </c>
      <c r="M756" s="19">
        <v>45680</v>
      </c>
      <c r="N756" s="20"/>
      <c r="O756" s="20"/>
    </row>
    <row r="757" ht="15" customHeight="1">
      <c r="A757" t="s">
        <v>1776</v>
      </c>
      <c r="B757" t="s">
        <v>1777</v>
      </c>
      <c r="C757" t="s">
        <v>259</v>
      </c>
      <c r="D757" t="s">
        <v>223</v>
      </c>
      <c r="E757" t="s">
        <v>224</v>
      </c>
      <c r="L757" t="s">
        <v>1540</v>
      </c>
      <c r="M757" s="19">
        <v>45680</v>
      </c>
      <c r="N757" s="20"/>
      <c r="O757" s="20"/>
    </row>
    <row r="758" ht="15" customHeight="1">
      <c r="A758" t="s">
        <v>1778</v>
      </c>
      <c r="B758" t="s">
        <v>1779</v>
      </c>
      <c r="C758" t="s">
        <v>1470</v>
      </c>
      <c r="D758" t="s">
        <v>232</v>
      </c>
      <c r="E758" t="s">
        <v>233</v>
      </c>
      <c r="H758">
        <v>5</v>
      </c>
      <c r="M758" s="19">
        <v>45679</v>
      </c>
      <c r="N758" s="20"/>
      <c r="O758" s="20"/>
    </row>
    <row r="759" ht="15" customHeight="1">
      <c r="A759" t="s">
        <v>1780</v>
      </c>
      <c r="B759" t="s">
        <v>1781</v>
      </c>
      <c r="C759" t="s">
        <v>1470</v>
      </c>
      <c r="D759" t="s">
        <v>232</v>
      </c>
      <c r="E759" t="s">
        <v>233</v>
      </c>
      <c r="H759">
        <v>5</v>
      </c>
      <c r="M759" s="19">
        <v>45679</v>
      </c>
      <c r="N759" s="20"/>
      <c r="O759" s="20"/>
    </row>
    <row r="760" ht="15" customHeight="1">
      <c r="A760" t="s">
        <v>1782</v>
      </c>
      <c r="B760" t="s">
        <v>1783</v>
      </c>
      <c r="C760" t="s">
        <v>1470</v>
      </c>
      <c r="D760" t="s">
        <v>232</v>
      </c>
      <c r="E760" t="s">
        <v>233</v>
      </c>
      <c r="H760">
        <v>8</v>
      </c>
      <c r="L760" t="s">
        <v>1365</v>
      </c>
      <c r="M760" s="19">
        <v>45678</v>
      </c>
      <c r="N760" s="20"/>
      <c r="O760" s="20"/>
    </row>
    <row r="761" ht="15" customHeight="1">
      <c r="A761" t="s">
        <v>1784</v>
      </c>
      <c r="B761" t="s">
        <v>1785</v>
      </c>
      <c r="C761" s="25" t="s">
        <v>1627</v>
      </c>
      <c r="D761" t="s">
        <v>223</v>
      </c>
      <c r="E761" t="s">
        <v>224</v>
      </c>
      <c r="L761" t="s">
        <v>1540</v>
      </c>
      <c r="M761" s="19">
        <v>45678</v>
      </c>
      <c r="N761" s="19">
        <v>45747</v>
      </c>
      <c r="O761" s="20"/>
    </row>
    <row r="762" ht="15" customHeight="1">
      <c r="A762" t="s">
        <v>1786</v>
      </c>
      <c r="B762" t="s">
        <v>1787</v>
      </c>
      <c r="C762" s="23" t="s">
        <v>309</v>
      </c>
      <c r="D762" t="s">
        <v>232</v>
      </c>
      <c r="E762" t="s">
        <v>233</v>
      </c>
      <c r="K762" t="s">
        <v>791</v>
      </c>
      <c r="M762" s="19">
        <v>45671</v>
      </c>
      <c r="N762" s="20"/>
      <c r="O762" s="20"/>
    </row>
    <row r="763" ht="15" customHeight="1">
      <c r="A763" t="s">
        <v>1788</v>
      </c>
      <c r="B763" t="s">
        <v>1789</v>
      </c>
      <c r="C763" t="s">
        <v>1470</v>
      </c>
      <c r="D763" t="s">
        <v>232</v>
      </c>
      <c r="E763" t="s">
        <v>233</v>
      </c>
      <c r="H763">
        <v>5</v>
      </c>
      <c r="M763" s="19">
        <v>45670</v>
      </c>
      <c r="N763" s="20"/>
      <c r="O763" s="20"/>
    </row>
    <row r="764" ht="15" customHeight="1">
      <c r="A764" t="s">
        <v>1790</v>
      </c>
      <c r="B764" t="s">
        <v>1791</v>
      </c>
      <c r="C764" s="23" t="s">
        <v>309</v>
      </c>
      <c r="D764" t="s">
        <v>228</v>
      </c>
      <c r="E764" t="s">
        <v>229</v>
      </c>
      <c r="M764" s="19">
        <v>45670</v>
      </c>
      <c r="N764" s="20"/>
      <c r="O764" s="20"/>
    </row>
    <row r="765" ht="15" customHeight="1">
      <c r="A765" t="s">
        <v>1792</v>
      </c>
      <c r="B765" t="s">
        <v>1793</v>
      </c>
      <c r="C765" s="23" t="s">
        <v>309</v>
      </c>
      <c r="D765" t="s">
        <v>228</v>
      </c>
      <c r="E765" t="s">
        <v>229</v>
      </c>
      <c r="H765">
        <v>2</v>
      </c>
      <c r="K765" t="s">
        <v>286</v>
      </c>
      <c r="M765" s="19">
        <v>45670</v>
      </c>
      <c r="N765" s="20"/>
      <c r="O765" s="20"/>
    </row>
    <row r="766" ht="15" customHeight="1">
      <c r="A766" t="s">
        <v>1794</v>
      </c>
      <c r="B766" t="s">
        <v>1795</v>
      </c>
      <c r="C766" t="s">
        <v>1470</v>
      </c>
      <c r="D766" t="s">
        <v>232</v>
      </c>
      <c r="E766" t="s">
        <v>233</v>
      </c>
      <c r="M766" s="19">
        <v>45665</v>
      </c>
      <c r="N766" s="20"/>
      <c r="O766" s="20"/>
    </row>
    <row r="767" ht="15" customHeight="1">
      <c r="A767" t="s">
        <v>1796</v>
      </c>
      <c r="B767" t="s">
        <v>1797</v>
      </c>
      <c r="C767" t="s">
        <v>1470</v>
      </c>
      <c r="D767" t="s">
        <v>232</v>
      </c>
      <c r="E767" t="s">
        <v>233</v>
      </c>
      <c r="M767" s="19">
        <v>45664</v>
      </c>
      <c r="N767" s="20"/>
      <c r="O767" s="20"/>
    </row>
    <row r="768" ht="15" customHeight="1">
      <c r="A768" t="s">
        <v>1798</v>
      </c>
      <c r="B768" t="s">
        <v>1799</v>
      </c>
      <c r="C768" s="21" t="s">
        <v>227</v>
      </c>
      <c r="D768" t="s">
        <v>250</v>
      </c>
      <c r="E768" t="s">
        <v>251</v>
      </c>
      <c r="M768" s="19">
        <v>45663</v>
      </c>
      <c r="N768" s="20"/>
      <c r="O768" s="20"/>
    </row>
    <row r="769" ht="15" customHeight="1">
      <c r="A769" t="s">
        <v>1800</v>
      </c>
      <c r="B769" t="s">
        <v>1801</v>
      </c>
      <c r="C769" t="s">
        <v>1470</v>
      </c>
      <c r="D769" t="s">
        <v>232</v>
      </c>
      <c r="E769" t="s">
        <v>233</v>
      </c>
      <c r="M769" s="19">
        <v>45660</v>
      </c>
      <c r="N769" s="20"/>
      <c r="O769" s="20"/>
    </row>
    <row r="770" ht="15" customHeight="1">
      <c r="A770" t="s">
        <v>1802</v>
      </c>
      <c r="B770" t="s">
        <v>1803</v>
      </c>
      <c r="C770" t="s">
        <v>1470</v>
      </c>
      <c r="D770" t="s">
        <v>232</v>
      </c>
      <c r="E770" t="s">
        <v>233</v>
      </c>
      <c r="K770" t="s">
        <v>866</v>
      </c>
      <c r="M770" s="19">
        <v>45659</v>
      </c>
      <c r="N770" s="20"/>
      <c r="O770" s="20"/>
    </row>
    <row r="771" ht="15" customHeight="1">
      <c r="A771" t="s">
        <v>1804</v>
      </c>
      <c r="B771" t="s">
        <v>1805</v>
      </c>
      <c r="C771" s="21" t="s">
        <v>227</v>
      </c>
      <c r="D771" t="s">
        <v>228</v>
      </c>
      <c r="E771" t="s">
        <v>229</v>
      </c>
      <c r="M771" s="19">
        <v>45649</v>
      </c>
      <c r="N771" s="19">
        <v>45667</v>
      </c>
      <c r="O771" s="20"/>
    </row>
    <row r="772" ht="15" customHeight="1">
      <c r="A772" t="s">
        <v>1806</v>
      </c>
      <c r="B772" t="s">
        <v>1807</v>
      </c>
      <c r="C772" t="s">
        <v>1470</v>
      </c>
      <c r="D772" t="s">
        <v>228</v>
      </c>
      <c r="E772" t="s">
        <v>229</v>
      </c>
      <c r="K772" t="s">
        <v>994</v>
      </c>
      <c r="M772" s="19">
        <v>45645</v>
      </c>
      <c r="N772" s="20"/>
      <c r="O772" s="20"/>
    </row>
    <row r="773" ht="15" customHeight="1">
      <c r="A773" t="s">
        <v>1808</v>
      </c>
      <c r="B773" t="s">
        <v>1809</v>
      </c>
      <c r="C773" s="25" t="s">
        <v>1627</v>
      </c>
      <c r="D773" t="s">
        <v>223</v>
      </c>
      <c r="E773" t="s">
        <v>224</v>
      </c>
      <c r="L773" t="s">
        <v>1540</v>
      </c>
      <c r="M773" s="19">
        <v>45645</v>
      </c>
      <c r="N773" s="20"/>
      <c r="O773" s="20"/>
    </row>
    <row r="774" ht="15" customHeight="1">
      <c r="A774" t="s">
        <v>1810</v>
      </c>
      <c r="B774" t="s">
        <v>1811</v>
      </c>
      <c r="C774" s="22" t="s">
        <v>55</v>
      </c>
      <c r="D774" t="s">
        <v>813</v>
      </c>
      <c r="E774" t="s">
        <v>814</v>
      </c>
      <c r="M774" s="19">
        <v>45645</v>
      </c>
      <c r="N774" s="20"/>
      <c r="O774" s="20"/>
    </row>
    <row r="775" ht="15" customHeight="1">
      <c r="A775" t="s">
        <v>1812</v>
      </c>
      <c r="B775" t="s">
        <v>1813</v>
      </c>
      <c r="C775" s="23" t="s">
        <v>309</v>
      </c>
      <c r="D775" t="s">
        <v>232</v>
      </c>
      <c r="E775" t="s">
        <v>233</v>
      </c>
      <c r="K775" t="s">
        <v>256</v>
      </c>
      <c r="L775" t="s">
        <v>1814</v>
      </c>
      <c r="M775" s="19">
        <v>45644</v>
      </c>
      <c r="N775" s="20"/>
      <c r="O775" s="20"/>
    </row>
    <row r="776" ht="15" customHeight="1">
      <c r="A776" t="s">
        <v>1815</v>
      </c>
      <c r="B776" t="s">
        <v>1816</v>
      </c>
      <c r="C776" s="23" t="s">
        <v>309</v>
      </c>
      <c r="D776" t="s">
        <v>232</v>
      </c>
      <c r="E776" t="s">
        <v>233</v>
      </c>
      <c r="G776" t="s">
        <v>1053</v>
      </c>
      <c r="M776" s="19">
        <v>45639</v>
      </c>
      <c r="N776" s="20"/>
      <c r="O776" s="20"/>
    </row>
    <row r="777" ht="15" customHeight="1">
      <c r="A777" t="s">
        <v>1817</v>
      </c>
      <c r="B777" t="s">
        <v>1059</v>
      </c>
      <c r="C777" s="25" t="s">
        <v>1627</v>
      </c>
      <c r="D777" t="s">
        <v>223</v>
      </c>
      <c r="E777" t="s">
        <v>224</v>
      </c>
      <c r="L777" t="s">
        <v>1752</v>
      </c>
      <c r="M777" s="19">
        <v>45638</v>
      </c>
      <c r="N777" s="19">
        <v>45723</v>
      </c>
      <c r="O777" s="20"/>
    </row>
    <row r="778" ht="15" customHeight="1">
      <c r="A778" t="s">
        <v>1818</v>
      </c>
      <c r="B778" t="s">
        <v>1819</v>
      </c>
      <c r="C778" s="25" t="s">
        <v>1627</v>
      </c>
      <c r="D778" t="s">
        <v>223</v>
      </c>
      <c r="E778" t="s">
        <v>224</v>
      </c>
      <c r="L778" t="s">
        <v>1752</v>
      </c>
      <c r="M778" s="19">
        <v>45638</v>
      </c>
      <c r="N778" s="19">
        <v>45799</v>
      </c>
      <c r="O778" s="20"/>
    </row>
    <row r="779" ht="15" customHeight="1">
      <c r="A779" t="s">
        <v>1820</v>
      </c>
      <c r="B779" t="s">
        <v>1821</v>
      </c>
      <c r="C779" s="25" t="s">
        <v>1627</v>
      </c>
      <c r="D779" t="s">
        <v>223</v>
      </c>
      <c r="E779" t="s">
        <v>224</v>
      </c>
      <c r="M779" s="19">
        <v>45638</v>
      </c>
      <c r="N779" s="19">
        <v>45679</v>
      </c>
      <c r="O779" s="20"/>
    </row>
    <row r="780" ht="15" customHeight="1">
      <c r="A780" t="s">
        <v>1822</v>
      </c>
      <c r="B780" t="s">
        <v>1823</v>
      </c>
      <c r="C780" s="21" t="s">
        <v>227</v>
      </c>
      <c r="D780" t="s">
        <v>250</v>
      </c>
      <c r="E780" t="s">
        <v>251</v>
      </c>
      <c r="M780" s="19">
        <v>45638</v>
      </c>
      <c r="N780" s="20"/>
      <c r="O780" s="20"/>
    </row>
    <row r="781" ht="15" customHeight="1">
      <c r="A781" t="s">
        <v>1824</v>
      </c>
      <c r="B781" t="s">
        <v>1825</v>
      </c>
      <c r="C781" s="21" t="s">
        <v>227</v>
      </c>
      <c r="D781" t="s">
        <v>813</v>
      </c>
      <c r="E781" t="s">
        <v>814</v>
      </c>
      <c r="H781">
        <v>3</v>
      </c>
      <c r="L781" t="s">
        <v>1634</v>
      </c>
      <c r="M781" s="19">
        <v>45636</v>
      </c>
      <c r="N781" s="20"/>
      <c r="O781" s="20"/>
    </row>
    <row r="782" ht="15" customHeight="1">
      <c r="A782" t="s">
        <v>1826</v>
      </c>
      <c r="B782" t="s">
        <v>1827</v>
      </c>
      <c r="C782" s="23" t="s">
        <v>309</v>
      </c>
      <c r="D782" t="s">
        <v>232</v>
      </c>
      <c r="E782" t="s">
        <v>233</v>
      </c>
      <c r="H782">
        <v>3</v>
      </c>
      <c r="L782" t="s">
        <v>1828</v>
      </c>
      <c r="M782" s="19">
        <v>45636</v>
      </c>
      <c r="N782" s="20"/>
      <c r="O782" s="20"/>
    </row>
    <row r="783" ht="15" customHeight="1">
      <c r="A783" t="s">
        <v>1829</v>
      </c>
      <c r="B783" t="s">
        <v>1830</v>
      </c>
      <c r="C783" s="25" t="s">
        <v>1627</v>
      </c>
      <c r="D783" t="s">
        <v>223</v>
      </c>
      <c r="E783" t="s">
        <v>224</v>
      </c>
      <c r="L783" t="s">
        <v>1540</v>
      </c>
      <c r="M783" s="19">
        <v>45636</v>
      </c>
      <c r="N783" s="19">
        <v>45666</v>
      </c>
      <c r="O783" s="20"/>
    </row>
    <row r="784" ht="15" customHeight="1">
      <c r="A784" t="s">
        <v>1831</v>
      </c>
      <c r="B784" t="s">
        <v>1832</v>
      </c>
      <c r="C784" s="23" t="s">
        <v>309</v>
      </c>
      <c r="D784" t="s">
        <v>223</v>
      </c>
      <c r="E784" t="s">
        <v>224</v>
      </c>
      <c r="M784" s="19">
        <v>45635</v>
      </c>
      <c r="N784" s="20"/>
      <c r="O784" s="20"/>
    </row>
    <row r="785" ht="15" customHeight="1">
      <c r="A785" t="s">
        <v>1833</v>
      </c>
      <c r="B785" t="s">
        <v>1834</v>
      </c>
      <c r="C785" t="s">
        <v>1470</v>
      </c>
      <c r="D785" t="s">
        <v>232</v>
      </c>
      <c r="E785" t="s">
        <v>233</v>
      </c>
      <c r="L785" t="s">
        <v>1365</v>
      </c>
      <c r="M785" s="19">
        <v>45635</v>
      </c>
      <c r="N785" s="20"/>
      <c r="O785" s="20"/>
    </row>
    <row r="786" ht="15" customHeight="1">
      <c r="A786" t="s">
        <v>1835</v>
      </c>
      <c r="B786" t="s">
        <v>1836</v>
      </c>
      <c r="C786" s="25" t="s">
        <v>1627</v>
      </c>
      <c r="D786" t="s">
        <v>223</v>
      </c>
      <c r="E786" t="s">
        <v>224</v>
      </c>
      <c r="M786" s="19">
        <v>45635</v>
      </c>
      <c r="N786" s="19">
        <v>45638</v>
      </c>
      <c r="O786" s="20"/>
    </row>
    <row r="787" ht="15" customHeight="1">
      <c r="A787" t="s">
        <v>1837</v>
      </c>
      <c r="B787" t="s">
        <v>1838</v>
      </c>
      <c r="C787" t="s">
        <v>1470</v>
      </c>
      <c r="D787" t="s">
        <v>232</v>
      </c>
      <c r="E787" t="s">
        <v>233</v>
      </c>
      <c r="M787" s="19">
        <v>45632</v>
      </c>
      <c r="N787" s="20"/>
      <c r="O787" s="20"/>
    </row>
    <row r="788" ht="15" customHeight="1">
      <c r="A788" t="s">
        <v>1839</v>
      </c>
      <c r="B788" t="s">
        <v>1840</v>
      </c>
      <c r="C788" t="s">
        <v>1470</v>
      </c>
      <c r="D788" t="s">
        <v>232</v>
      </c>
      <c r="E788" t="s">
        <v>233</v>
      </c>
      <c r="L788" t="s">
        <v>1365</v>
      </c>
      <c r="M788" s="19">
        <v>45630</v>
      </c>
      <c r="N788" s="20"/>
      <c r="O788" s="20"/>
    </row>
    <row r="789" ht="15" customHeight="1">
      <c r="A789" t="s">
        <v>1841</v>
      </c>
      <c r="B789" t="s">
        <v>1842</v>
      </c>
      <c r="C789" s="23" t="s">
        <v>309</v>
      </c>
      <c r="D789" t="s">
        <v>232</v>
      </c>
      <c r="E789" t="s">
        <v>233</v>
      </c>
      <c r="K789" t="s">
        <v>859</v>
      </c>
      <c r="L789" t="s">
        <v>1828</v>
      </c>
      <c r="M789" s="19">
        <v>45630</v>
      </c>
      <c r="N789" s="20"/>
      <c r="O789" s="20"/>
    </row>
    <row r="790" ht="15" customHeight="1">
      <c r="A790" t="s">
        <v>1843</v>
      </c>
      <c r="B790" t="s">
        <v>1844</v>
      </c>
      <c r="C790" t="s">
        <v>1470</v>
      </c>
      <c r="D790" t="s">
        <v>228</v>
      </c>
      <c r="E790" t="s">
        <v>229</v>
      </c>
      <c r="H790">
        <v>3</v>
      </c>
      <c r="K790" t="s">
        <v>286</v>
      </c>
      <c r="M790" s="19">
        <v>45629</v>
      </c>
      <c r="N790" s="20"/>
      <c r="O790" s="20"/>
    </row>
    <row r="791" ht="15" customHeight="1">
      <c r="A791" t="s">
        <v>1845</v>
      </c>
      <c r="B791" t="s">
        <v>1846</v>
      </c>
      <c r="C791" s="21" t="s">
        <v>227</v>
      </c>
      <c r="D791" t="s">
        <v>250</v>
      </c>
      <c r="E791" t="s">
        <v>251</v>
      </c>
      <c r="H791">
        <v>1</v>
      </c>
      <c r="L791" t="s">
        <v>1486</v>
      </c>
      <c r="M791" s="19">
        <v>45629</v>
      </c>
      <c r="N791" s="20"/>
      <c r="O791" s="20"/>
    </row>
    <row r="792" ht="15" customHeight="1">
      <c r="A792" t="s">
        <v>1847</v>
      </c>
      <c r="B792" t="s">
        <v>1848</v>
      </c>
      <c r="C792" s="21" t="s">
        <v>227</v>
      </c>
      <c r="D792" t="s">
        <v>250</v>
      </c>
      <c r="E792" t="s">
        <v>251</v>
      </c>
      <c r="H792">
        <v>1</v>
      </c>
      <c r="L792" t="s">
        <v>1634</v>
      </c>
      <c r="M792" s="19">
        <v>45629</v>
      </c>
      <c r="N792" s="20"/>
      <c r="O792" s="20"/>
    </row>
    <row r="793" ht="15" customHeight="1">
      <c r="A793" t="s">
        <v>1849</v>
      </c>
      <c r="B793" t="s">
        <v>1850</v>
      </c>
      <c r="C793" t="s">
        <v>1470</v>
      </c>
      <c r="D793" t="s">
        <v>232</v>
      </c>
      <c r="E793" t="s">
        <v>233</v>
      </c>
      <c r="H793">
        <v>5</v>
      </c>
      <c r="L793" t="s">
        <v>1828</v>
      </c>
      <c r="M793" s="19">
        <v>45623</v>
      </c>
      <c r="N793" s="20"/>
      <c r="O793" s="20"/>
    </row>
    <row r="794" ht="15" customHeight="1">
      <c r="A794" t="s">
        <v>1851</v>
      </c>
      <c r="B794" t="s">
        <v>1852</v>
      </c>
      <c r="C794" s="25" t="s">
        <v>1627</v>
      </c>
      <c r="D794" t="s">
        <v>223</v>
      </c>
      <c r="E794" t="s">
        <v>224</v>
      </c>
      <c r="L794" t="s">
        <v>1752</v>
      </c>
      <c r="M794" s="19">
        <v>45623</v>
      </c>
      <c r="N794" s="19">
        <v>45702</v>
      </c>
      <c r="O794" s="20"/>
    </row>
    <row r="795" ht="15" customHeight="1">
      <c r="A795" t="s">
        <v>1853</v>
      </c>
      <c r="B795" t="s">
        <v>1854</v>
      </c>
      <c r="C795" s="23" t="s">
        <v>309</v>
      </c>
      <c r="D795" t="s">
        <v>228</v>
      </c>
      <c r="E795" t="s">
        <v>229</v>
      </c>
      <c r="H795">
        <v>3</v>
      </c>
      <c r="L795" t="s">
        <v>1814</v>
      </c>
      <c r="M795" s="19">
        <v>45623</v>
      </c>
      <c r="N795" s="20"/>
      <c r="O795" s="20"/>
    </row>
    <row r="796" ht="15" customHeight="1">
      <c r="A796" t="s">
        <v>1855</v>
      </c>
      <c r="B796" t="s">
        <v>1856</v>
      </c>
      <c r="C796" s="23" t="s">
        <v>309</v>
      </c>
      <c r="D796" t="s">
        <v>228</v>
      </c>
      <c r="E796" t="s">
        <v>229</v>
      </c>
      <c r="H796">
        <v>3</v>
      </c>
      <c r="L796" t="s">
        <v>1814</v>
      </c>
      <c r="M796" s="19">
        <v>45623</v>
      </c>
      <c r="N796" s="20"/>
      <c r="O796" s="20"/>
    </row>
    <row r="797" ht="15" customHeight="1">
      <c r="A797" t="s">
        <v>1857</v>
      </c>
      <c r="B797" t="s">
        <v>1858</v>
      </c>
      <c r="C797" t="s">
        <v>1057</v>
      </c>
      <c r="D797" t="s">
        <v>223</v>
      </c>
      <c r="E797" t="s">
        <v>224</v>
      </c>
      <c r="M797" s="19">
        <v>45622</v>
      </c>
      <c r="N797" s="20"/>
      <c r="O797" s="20"/>
    </row>
    <row r="798" ht="15" customHeight="1">
      <c r="A798" t="s">
        <v>1859</v>
      </c>
      <c r="B798" t="s">
        <v>1860</v>
      </c>
      <c r="C798" s="21" t="s">
        <v>227</v>
      </c>
      <c r="D798" t="s">
        <v>232</v>
      </c>
      <c r="E798" t="s">
        <v>233</v>
      </c>
      <c r="M798" s="19">
        <v>45622</v>
      </c>
      <c r="N798" s="20"/>
      <c r="O798" s="20"/>
    </row>
    <row r="799" ht="15" customHeight="1">
      <c r="A799" t="s">
        <v>1861</v>
      </c>
      <c r="B799" t="s">
        <v>1862</v>
      </c>
      <c r="C799" s="21" t="s">
        <v>227</v>
      </c>
      <c r="D799" t="s">
        <v>250</v>
      </c>
      <c r="E799" t="s">
        <v>251</v>
      </c>
      <c r="M799" s="19">
        <v>45615</v>
      </c>
      <c r="N799" s="20"/>
      <c r="O799" s="20"/>
    </row>
    <row r="800" ht="15" customHeight="1">
      <c r="A800" t="s">
        <v>1863</v>
      </c>
      <c r="B800" t="s">
        <v>1864</v>
      </c>
      <c r="C800" t="s">
        <v>1470</v>
      </c>
      <c r="D800" t="s">
        <v>232</v>
      </c>
      <c r="E800" t="s">
        <v>233</v>
      </c>
      <c r="M800" s="19">
        <v>45614</v>
      </c>
      <c r="N800" s="20"/>
      <c r="O800" s="20"/>
    </row>
    <row r="801" ht="15" customHeight="1">
      <c r="A801" t="s">
        <v>1865</v>
      </c>
      <c r="B801" t="s">
        <v>1866</v>
      </c>
      <c r="C801" t="s">
        <v>1470</v>
      </c>
      <c r="D801" t="s">
        <v>232</v>
      </c>
      <c r="E801" t="s">
        <v>233</v>
      </c>
      <c r="M801" s="19">
        <v>45611</v>
      </c>
      <c r="N801" s="20"/>
      <c r="O801" s="20"/>
    </row>
    <row r="802" ht="15" customHeight="1">
      <c r="A802" t="s">
        <v>1867</v>
      </c>
      <c r="B802" t="s">
        <v>1868</v>
      </c>
      <c r="C802" t="s">
        <v>1470</v>
      </c>
      <c r="D802" t="s">
        <v>232</v>
      </c>
      <c r="E802" t="s">
        <v>233</v>
      </c>
      <c r="M802" s="19">
        <v>45611</v>
      </c>
      <c r="N802" s="20"/>
      <c r="O802" s="20"/>
    </row>
    <row r="803" ht="15" customHeight="1">
      <c r="A803" t="s">
        <v>1869</v>
      </c>
      <c r="B803" t="s">
        <v>1870</v>
      </c>
      <c r="C803" t="s">
        <v>1470</v>
      </c>
      <c r="D803" t="s">
        <v>232</v>
      </c>
      <c r="E803" t="s">
        <v>233</v>
      </c>
      <c r="M803" s="19">
        <v>45611</v>
      </c>
      <c r="N803" s="20"/>
      <c r="O803" s="20"/>
    </row>
    <row r="804" ht="15" customHeight="1">
      <c r="A804" t="s">
        <v>1871</v>
      </c>
      <c r="B804" t="s">
        <v>1872</v>
      </c>
      <c r="C804" t="s">
        <v>1470</v>
      </c>
      <c r="D804" t="s">
        <v>232</v>
      </c>
      <c r="E804" t="s">
        <v>233</v>
      </c>
      <c r="M804" s="19">
        <v>45610</v>
      </c>
      <c r="N804" s="20"/>
      <c r="O804" s="20"/>
    </row>
    <row r="805" ht="15" customHeight="1">
      <c r="A805" t="s">
        <v>1873</v>
      </c>
      <c r="B805" t="s">
        <v>1874</v>
      </c>
      <c r="C805" s="23" t="s">
        <v>309</v>
      </c>
      <c r="D805" t="s">
        <v>232</v>
      </c>
      <c r="E805" t="s">
        <v>233</v>
      </c>
      <c r="L805" t="s">
        <v>1875</v>
      </c>
      <c r="M805" s="19">
        <v>45610</v>
      </c>
      <c r="N805" s="20"/>
      <c r="O805" s="20"/>
    </row>
    <row r="806" ht="15" customHeight="1">
      <c r="A806" t="s">
        <v>1876</v>
      </c>
      <c r="B806" t="s">
        <v>1877</v>
      </c>
      <c r="C806" t="s">
        <v>1470</v>
      </c>
      <c r="D806" t="s">
        <v>232</v>
      </c>
      <c r="E806" t="s">
        <v>233</v>
      </c>
      <c r="L806" t="s">
        <v>1365</v>
      </c>
      <c r="M806" s="19">
        <v>45610</v>
      </c>
      <c r="N806" s="20"/>
      <c r="O806" s="20"/>
    </row>
    <row r="807" ht="15" customHeight="1">
      <c r="A807" t="s">
        <v>1878</v>
      </c>
      <c r="B807" t="s">
        <v>1879</v>
      </c>
      <c r="C807" s="21" t="s">
        <v>227</v>
      </c>
      <c r="D807" t="s">
        <v>232</v>
      </c>
      <c r="E807" t="s">
        <v>233</v>
      </c>
      <c r="M807" s="19">
        <v>45609</v>
      </c>
      <c r="N807" s="20"/>
      <c r="O807" s="20"/>
    </row>
    <row r="808" ht="15" customHeight="1">
      <c r="A808" t="s">
        <v>1880</v>
      </c>
      <c r="B808" t="s">
        <v>1881</v>
      </c>
      <c r="C808" s="21" t="s">
        <v>227</v>
      </c>
      <c r="D808" t="s">
        <v>813</v>
      </c>
      <c r="E808" t="s">
        <v>814</v>
      </c>
      <c r="M808" s="19">
        <v>45609</v>
      </c>
      <c r="N808" s="20"/>
      <c r="O808" s="20"/>
    </row>
    <row r="809" ht="15" customHeight="1">
      <c r="A809" t="s">
        <v>1882</v>
      </c>
      <c r="B809" t="s">
        <v>1883</v>
      </c>
      <c r="C809" t="s">
        <v>259</v>
      </c>
      <c r="D809" t="s">
        <v>223</v>
      </c>
      <c r="E809" t="s">
        <v>224</v>
      </c>
      <c r="M809" s="19">
        <v>45609</v>
      </c>
      <c r="N809" s="20"/>
      <c r="O809" s="20"/>
    </row>
    <row r="810" ht="15" customHeight="1">
      <c r="A810" t="s">
        <v>1884</v>
      </c>
      <c r="B810" t="s">
        <v>1885</v>
      </c>
      <c r="C810" s="22" t="s">
        <v>55</v>
      </c>
      <c r="D810" t="s">
        <v>813</v>
      </c>
      <c r="E810" t="s">
        <v>814</v>
      </c>
      <c r="M810" s="19">
        <v>45609</v>
      </c>
      <c r="N810" s="20"/>
      <c r="O810" s="20"/>
    </row>
    <row r="811" ht="15" customHeight="1">
      <c r="A811" t="s">
        <v>1886</v>
      </c>
      <c r="B811" t="s">
        <v>1887</v>
      </c>
      <c r="C811" t="s">
        <v>1470</v>
      </c>
      <c r="D811" t="s">
        <v>232</v>
      </c>
      <c r="E811" t="s">
        <v>233</v>
      </c>
      <c r="M811" s="19">
        <v>45608</v>
      </c>
      <c r="N811" s="20"/>
      <c r="O811" s="20"/>
    </row>
    <row r="812" ht="15" customHeight="1">
      <c r="A812" t="s">
        <v>1888</v>
      </c>
      <c r="B812" t="s">
        <v>1889</v>
      </c>
      <c r="C812" t="s">
        <v>1470</v>
      </c>
      <c r="D812" t="s">
        <v>813</v>
      </c>
      <c r="E812" t="s">
        <v>814</v>
      </c>
      <c r="M812" s="19">
        <v>45608</v>
      </c>
      <c r="N812" s="20"/>
      <c r="O812" s="20"/>
    </row>
    <row r="813" ht="15" customHeight="1">
      <c r="A813" t="s">
        <v>1890</v>
      </c>
      <c r="B813" t="s">
        <v>1891</v>
      </c>
      <c r="C813" t="s">
        <v>1685</v>
      </c>
      <c r="D813" t="s">
        <v>223</v>
      </c>
      <c r="E813" t="s">
        <v>224</v>
      </c>
      <c r="L813" t="s">
        <v>1540</v>
      </c>
      <c r="M813" s="19">
        <v>45607</v>
      </c>
      <c r="N813" s="20"/>
      <c r="O813" s="20"/>
    </row>
    <row r="814" ht="15" customHeight="1">
      <c r="A814" t="s">
        <v>1892</v>
      </c>
      <c r="B814" t="s">
        <v>1893</v>
      </c>
      <c r="C814" s="23" t="s">
        <v>309</v>
      </c>
      <c r="D814" t="s">
        <v>232</v>
      </c>
      <c r="E814" t="s">
        <v>233</v>
      </c>
      <c r="M814" s="19">
        <v>45604</v>
      </c>
      <c r="N814" s="20"/>
      <c r="O814" s="20"/>
    </row>
    <row r="815" ht="15" customHeight="1">
      <c r="A815" t="s">
        <v>1894</v>
      </c>
      <c r="B815" t="s">
        <v>1895</v>
      </c>
      <c r="C815" s="23" t="s">
        <v>309</v>
      </c>
      <c r="D815" t="s">
        <v>232</v>
      </c>
      <c r="E815" t="s">
        <v>233</v>
      </c>
      <c r="M815" s="19">
        <v>45604</v>
      </c>
      <c r="N815" s="20"/>
      <c r="O815" s="20"/>
    </row>
    <row r="816" ht="15" customHeight="1">
      <c r="A816" t="s">
        <v>1896</v>
      </c>
      <c r="B816" t="s">
        <v>1897</v>
      </c>
      <c r="C816" s="23" t="s">
        <v>309</v>
      </c>
      <c r="D816" t="s">
        <v>232</v>
      </c>
      <c r="E816" t="s">
        <v>233</v>
      </c>
      <c r="L816" t="s">
        <v>1898</v>
      </c>
      <c r="M816" s="19">
        <v>45603</v>
      </c>
      <c r="N816" s="20"/>
      <c r="O816" s="20"/>
    </row>
    <row r="817" ht="15" customHeight="1">
      <c r="A817" t="s">
        <v>1899</v>
      </c>
      <c r="B817" t="s">
        <v>1900</v>
      </c>
      <c r="C817" s="21" t="s">
        <v>227</v>
      </c>
      <c r="D817" t="s">
        <v>250</v>
      </c>
      <c r="E817" t="s">
        <v>251</v>
      </c>
      <c r="M817" s="19">
        <v>45601</v>
      </c>
      <c r="N817" s="20"/>
      <c r="O817" s="20"/>
    </row>
    <row r="818" ht="15" customHeight="1">
      <c r="A818" t="s">
        <v>1901</v>
      </c>
      <c r="B818" t="s">
        <v>1902</v>
      </c>
      <c r="C818" s="21" t="s">
        <v>227</v>
      </c>
      <c r="D818" t="s">
        <v>250</v>
      </c>
      <c r="E818" t="s">
        <v>251</v>
      </c>
      <c r="H818">
        <v>3</v>
      </c>
      <c r="L818" t="s">
        <v>1814</v>
      </c>
      <c r="M818" s="19">
        <v>45601</v>
      </c>
      <c r="N818" s="20"/>
      <c r="O818" s="20"/>
    </row>
    <row r="819" ht="15" customHeight="1">
      <c r="A819" t="s">
        <v>1903</v>
      </c>
      <c r="B819" t="s">
        <v>1904</v>
      </c>
      <c r="C819" s="23" t="s">
        <v>309</v>
      </c>
      <c r="D819" t="s">
        <v>250</v>
      </c>
      <c r="E819" t="s">
        <v>251</v>
      </c>
      <c r="H819">
        <v>3</v>
      </c>
      <c r="K819" t="s">
        <v>1135</v>
      </c>
      <c r="L819" t="s">
        <v>1905</v>
      </c>
      <c r="M819" s="19">
        <v>45601</v>
      </c>
      <c r="N819" s="20"/>
      <c r="O819" s="20"/>
    </row>
    <row r="820" ht="15" customHeight="1">
      <c r="A820" t="s">
        <v>1906</v>
      </c>
      <c r="B820" t="s">
        <v>1907</v>
      </c>
      <c r="C820" t="s">
        <v>1470</v>
      </c>
      <c r="D820" t="s">
        <v>232</v>
      </c>
      <c r="E820" t="s">
        <v>233</v>
      </c>
      <c r="L820" t="s">
        <v>1365</v>
      </c>
      <c r="M820" s="19">
        <v>45596</v>
      </c>
      <c r="N820" s="20"/>
      <c r="O820" s="20"/>
    </row>
    <row r="821" ht="15" customHeight="1">
      <c r="A821" t="s">
        <v>1908</v>
      </c>
      <c r="B821" t="s">
        <v>1909</v>
      </c>
      <c r="C821" s="23" t="s">
        <v>309</v>
      </c>
      <c r="D821" t="s">
        <v>228</v>
      </c>
      <c r="E821" t="s">
        <v>229</v>
      </c>
      <c r="H821">
        <v>2</v>
      </c>
      <c r="K821" t="s">
        <v>994</v>
      </c>
      <c r="L821" t="s">
        <v>1898</v>
      </c>
      <c r="M821" s="19">
        <v>45596</v>
      </c>
      <c r="N821" s="20"/>
      <c r="O821" s="20"/>
    </row>
    <row r="822" ht="15" customHeight="1">
      <c r="A822" t="s">
        <v>1910</v>
      </c>
      <c r="B822" t="s">
        <v>1911</v>
      </c>
      <c r="C822" s="23" t="s">
        <v>309</v>
      </c>
      <c r="D822" t="s">
        <v>232</v>
      </c>
      <c r="E822" t="s">
        <v>233</v>
      </c>
      <c r="H822">
        <v>3</v>
      </c>
      <c r="L822" t="s">
        <v>1905</v>
      </c>
      <c r="M822" s="19">
        <v>45595</v>
      </c>
      <c r="N822" s="20"/>
      <c r="O822" s="20"/>
    </row>
    <row r="823" ht="15" customHeight="1">
      <c r="A823" t="s">
        <v>1912</v>
      </c>
      <c r="B823" t="s">
        <v>1913</v>
      </c>
      <c r="C823" s="23" t="s">
        <v>309</v>
      </c>
      <c r="D823" t="s">
        <v>232</v>
      </c>
      <c r="E823" t="s">
        <v>233</v>
      </c>
      <c r="M823" s="19">
        <v>45595</v>
      </c>
      <c r="N823" s="20"/>
      <c r="O823" s="20"/>
    </row>
    <row r="824" ht="15" customHeight="1">
      <c r="A824" t="s">
        <v>1914</v>
      </c>
      <c r="B824" t="s">
        <v>1915</v>
      </c>
      <c r="C824" s="23" t="s">
        <v>309</v>
      </c>
      <c r="D824" t="s">
        <v>232</v>
      </c>
      <c r="E824" t="s">
        <v>233</v>
      </c>
      <c r="M824" s="19">
        <v>45595</v>
      </c>
      <c r="N824" s="20"/>
      <c r="O824" s="20"/>
    </row>
    <row r="825" ht="15" customHeight="1">
      <c r="A825" t="s">
        <v>1916</v>
      </c>
      <c r="B825" t="s">
        <v>1917</v>
      </c>
      <c r="C825" s="24" t="s">
        <v>1338</v>
      </c>
      <c r="D825" t="s">
        <v>223</v>
      </c>
      <c r="E825" t="s">
        <v>224</v>
      </c>
      <c r="K825" t="s">
        <v>1132</v>
      </c>
      <c r="L825" t="s">
        <v>1540</v>
      </c>
      <c r="M825" s="19">
        <v>45595</v>
      </c>
      <c r="N825" s="19">
        <v>45838</v>
      </c>
      <c r="O825" s="20"/>
    </row>
    <row r="826" ht="15" customHeight="1">
      <c r="A826" t="s">
        <v>1918</v>
      </c>
      <c r="B826" t="s">
        <v>1919</v>
      </c>
      <c r="C826" s="25" t="s">
        <v>1627</v>
      </c>
      <c r="D826" t="s">
        <v>223</v>
      </c>
      <c r="E826" t="s">
        <v>224</v>
      </c>
      <c r="K826" t="s">
        <v>1132</v>
      </c>
      <c r="L826" t="s">
        <v>1540</v>
      </c>
      <c r="M826" s="19">
        <v>45594</v>
      </c>
      <c r="N826" s="19">
        <v>45645</v>
      </c>
      <c r="O826" s="20"/>
    </row>
    <row r="827" ht="15" customHeight="1">
      <c r="A827" t="s">
        <v>1920</v>
      </c>
      <c r="B827" t="s">
        <v>1921</v>
      </c>
      <c r="C827" s="21" t="s">
        <v>227</v>
      </c>
      <c r="D827" t="s">
        <v>813</v>
      </c>
      <c r="E827" t="s">
        <v>814</v>
      </c>
      <c r="L827" t="s">
        <v>1634</v>
      </c>
      <c r="M827" s="19">
        <v>45594</v>
      </c>
      <c r="N827" s="20"/>
      <c r="O827" s="20"/>
    </row>
    <row r="828" ht="15" customHeight="1">
      <c r="A828" t="s">
        <v>1922</v>
      </c>
      <c r="B828" t="s">
        <v>1923</v>
      </c>
      <c r="C828" s="25" t="s">
        <v>1627</v>
      </c>
      <c r="D828" t="s">
        <v>223</v>
      </c>
      <c r="E828" t="s">
        <v>224</v>
      </c>
      <c r="L828" t="s">
        <v>1540</v>
      </c>
      <c r="M828" s="19">
        <v>45590</v>
      </c>
      <c r="N828" s="19">
        <v>45666</v>
      </c>
      <c r="O828" s="20"/>
    </row>
    <row r="829" ht="15" customHeight="1">
      <c r="A829" t="s">
        <v>1924</v>
      </c>
      <c r="B829" t="s">
        <v>1925</v>
      </c>
      <c r="C829" t="s">
        <v>1470</v>
      </c>
      <c r="D829" t="s">
        <v>232</v>
      </c>
      <c r="E829" t="s">
        <v>233</v>
      </c>
      <c r="L829" t="s">
        <v>1365</v>
      </c>
      <c r="M829" s="19">
        <v>45590</v>
      </c>
      <c r="N829" s="20"/>
      <c r="O829" s="20"/>
    </row>
    <row r="830" ht="15" customHeight="1">
      <c r="A830" t="s">
        <v>1926</v>
      </c>
      <c r="B830" t="s">
        <v>1927</v>
      </c>
      <c r="C830" s="23" t="s">
        <v>309</v>
      </c>
      <c r="D830" t="s">
        <v>250</v>
      </c>
      <c r="E830" t="s">
        <v>251</v>
      </c>
      <c r="H830">
        <v>2</v>
      </c>
      <c r="L830" t="s">
        <v>1898</v>
      </c>
      <c r="M830" s="19">
        <v>45587</v>
      </c>
      <c r="N830" s="20"/>
      <c r="O830" s="20"/>
    </row>
    <row r="831" ht="15" customHeight="1">
      <c r="A831" t="s">
        <v>1928</v>
      </c>
      <c r="B831" t="s">
        <v>1929</v>
      </c>
      <c r="C831" s="23" t="s">
        <v>309</v>
      </c>
      <c r="D831" t="s">
        <v>232</v>
      </c>
      <c r="E831" t="s">
        <v>233</v>
      </c>
      <c r="H831">
        <v>5</v>
      </c>
      <c r="M831" s="19">
        <v>45587</v>
      </c>
      <c r="N831" s="20"/>
      <c r="O831" s="20"/>
    </row>
    <row r="832" ht="15" customHeight="1">
      <c r="A832" t="s">
        <v>1930</v>
      </c>
      <c r="B832" t="s">
        <v>1931</v>
      </c>
      <c r="C832" t="s">
        <v>1470</v>
      </c>
      <c r="D832" t="s">
        <v>232</v>
      </c>
      <c r="E832" t="s">
        <v>233</v>
      </c>
      <c r="L832" t="s">
        <v>1365</v>
      </c>
      <c r="M832" s="19">
        <v>45586</v>
      </c>
      <c r="N832" s="20"/>
      <c r="O832" s="20"/>
    </row>
    <row r="833" ht="15" customHeight="1">
      <c r="A833" t="s">
        <v>1932</v>
      </c>
      <c r="B833" t="s">
        <v>1933</v>
      </c>
      <c r="C833" s="23" t="s">
        <v>309</v>
      </c>
      <c r="D833" t="s">
        <v>232</v>
      </c>
      <c r="E833" t="s">
        <v>233</v>
      </c>
      <c r="H833">
        <v>3</v>
      </c>
      <c r="M833" s="19">
        <v>45586</v>
      </c>
      <c r="N833" s="20"/>
      <c r="O833" s="20"/>
    </row>
    <row r="834" ht="15" customHeight="1">
      <c r="A834" t="s">
        <v>1934</v>
      </c>
      <c r="B834" t="s">
        <v>1935</v>
      </c>
      <c r="C834" s="23" t="s">
        <v>309</v>
      </c>
      <c r="D834" t="s">
        <v>232</v>
      </c>
      <c r="E834" t="s">
        <v>233</v>
      </c>
      <c r="H834">
        <v>5</v>
      </c>
      <c r="M834" s="19">
        <v>45586</v>
      </c>
      <c r="N834" s="20"/>
      <c r="O834" s="20"/>
    </row>
    <row r="835" ht="15" customHeight="1">
      <c r="A835" t="s">
        <v>1936</v>
      </c>
      <c r="B835" t="s">
        <v>1937</v>
      </c>
      <c r="C835" t="s">
        <v>1470</v>
      </c>
      <c r="D835" t="s">
        <v>232</v>
      </c>
      <c r="E835" t="s">
        <v>233</v>
      </c>
      <c r="M835" s="19">
        <v>45583</v>
      </c>
      <c r="N835" s="20"/>
      <c r="O835" s="20"/>
    </row>
    <row r="836" ht="15" customHeight="1">
      <c r="A836" t="s">
        <v>1938</v>
      </c>
      <c r="B836" t="s">
        <v>1939</v>
      </c>
      <c r="C836" t="s">
        <v>1470</v>
      </c>
      <c r="D836" t="s">
        <v>232</v>
      </c>
      <c r="E836" t="s">
        <v>233</v>
      </c>
      <c r="M836" s="19">
        <v>45582</v>
      </c>
      <c r="N836" s="20"/>
      <c r="O836" s="20"/>
    </row>
    <row r="837" ht="15" customHeight="1">
      <c r="A837" t="s">
        <v>1940</v>
      </c>
      <c r="B837" t="s">
        <v>1941</v>
      </c>
      <c r="C837" s="23" t="s">
        <v>309</v>
      </c>
      <c r="D837" t="s">
        <v>232</v>
      </c>
      <c r="E837" t="s">
        <v>233</v>
      </c>
      <c r="M837" s="19">
        <v>45581</v>
      </c>
      <c r="N837" s="20"/>
      <c r="O837" s="20"/>
    </row>
    <row r="838" ht="15" customHeight="1">
      <c r="A838" t="s">
        <v>1942</v>
      </c>
      <c r="B838" t="s">
        <v>1943</v>
      </c>
      <c r="C838" s="23" t="s">
        <v>309</v>
      </c>
      <c r="D838" t="s">
        <v>228</v>
      </c>
      <c r="E838" t="s">
        <v>229</v>
      </c>
      <c r="K838" t="s">
        <v>286</v>
      </c>
      <c r="L838" t="s">
        <v>1944</v>
      </c>
      <c r="M838" s="19">
        <v>45581</v>
      </c>
      <c r="N838" s="20"/>
      <c r="O838" s="20"/>
    </row>
    <row r="839" ht="15" customHeight="1">
      <c r="A839" t="s">
        <v>1945</v>
      </c>
      <c r="B839" t="s">
        <v>1946</v>
      </c>
      <c r="C839" s="25" t="s">
        <v>1627</v>
      </c>
      <c r="D839" t="s">
        <v>223</v>
      </c>
      <c r="E839" t="s">
        <v>224</v>
      </c>
      <c r="M839" s="19">
        <v>45575</v>
      </c>
      <c r="N839" s="19">
        <v>45578</v>
      </c>
      <c r="O839" s="20"/>
    </row>
    <row r="840" ht="15" customHeight="1">
      <c r="A840" t="s">
        <v>1947</v>
      </c>
      <c r="B840" t="s">
        <v>1948</v>
      </c>
      <c r="C840" s="23" t="s">
        <v>309</v>
      </c>
      <c r="D840" t="s">
        <v>232</v>
      </c>
      <c r="E840" t="s">
        <v>233</v>
      </c>
      <c r="K840" t="s">
        <v>859</v>
      </c>
      <c r="L840" t="s">
        <v>1944</v>
      </c>
      <c r="M840" s="19">
        <v>45574</v>
      </c>
      <c r="N840" s="20"/>
      <c r="O840" s="20"/>
    </row>
    <row r="841" ht="15" customHeight="1">
      <c r="A841" t="s">
        <v>1949</v>
      </c>
      <c r="B841" t="s">
        <v>1950</v>
      </c>
      <c r="C841" s="23" t="s">
        <v>309</v>
      </c>
      <c r="D841" t="s">
        <v>232</v>
      </c>
      <c r="E841" t="s">
        <v>233</v>
      </c>
      <c r="M841" s="19">
        <v>45574</v>
      </c>
      <c r="N841" s="20"/>
      <c r="O841" s="20"/>
    </row>
    <row r="842" ht="15" customHeight="1">
      <c r="A842" t="s">
        <v>1951</v>
      </c>
      <c r="B842" t="s">
        <v>1952</v>
      </c>
      <c r="C842" s="21" t="s">
        <v>227</v>
      </c>
      <c r="D842" t="s">
        <v>232</v>
      </c>
      <c r="E842" t="s">
        <v>233</v>
      </c>
      <c r="L842" t="s">
        <v>1365</v>
      </c>
      <c r="M842" s="19">
        <v>45574</v>
      </c>
      <c r="N842" s="20"/>
      <c r="O842" s="20"/>
    </row>
    <row r="843" ht="15" customHeight="1">
      <c r="A843" t="s">
        <v>1953</v>
      </c>
      <c r="B843" t="s">
        <v>1954</v>
      </c>
      <c r="C843" s="21" t="s">
        <v>227</v>
      </c>
      <c r="D843" t="s">
        <v>250</v>
      </c>
      <c r="E843" t="s">
        <v>251</v>
      </c>
      <c r="M843" s="19">
        <v>45574</v>
      </c>
      <c r="N843" s="20"/>
      <c r="O843" s="20"/>
    </row>
    <row r="844" ht="15" customHeight="1">
      <c r="A844" t="s">
        <v>1955</v>
      </c>
      <c r="B844" t="s">
        <v>1956</v>
      </c>
      <c r="C844" s="21" t="s">
        <v>227</v>
      </c>
      <c r="D844" t="s">
        <v>250</v>
      </c>
      <c r="E844" t="s">
        <v>251</v>
      </c>
      <c r="M844" s="19">
        <v>45574</v>
      </c>
      <c r="N844" s="20"/>
      <c r="O844" s="20"/>
    </row>
    <row r="845" ht="15" customHeight="1">
      <c r="A845" t="s">
        <v>1957</v>
      </c>
      <c r="B845" t="s">
        <v>1958</v>
      </c>
      <c r="C845" s="21" t="s">
        <v>227</v>
      </c>
      <c r="D845" t="s">
        <v>250</v>
      </c>
      <c r="E845" t="s">
        <v>251</v>
      </c>
      <c r="M845" s="19">
        <v>45574</v>
      </c>
      <c r="N845" s="20"/>
      <c r="O845" s="20"/>
    </row>
    <row r="846" ht="15" customHeight="1">
      <c r="A846" t="s">
        <v>1959</v>
      </c>
      <c r="B846" t="s">
        <v>1960</v>
      </c>
      <c r="C846" s="21" t="s">
        <v>227</v>
      </c>
      <c r="D846" t="s">
        <v>250</v>
      </c>
      <c r="E846" t="s">
        <v>251</v>
      </c>
      <c r="M846" s="19">
        <v>45574</v>
      </c>
      <c r="N846" s="20"/>
      <c r="O846" s="20"/>
    </row>
    <row r="847" ht="15" customHeight="1">
      <c r="A847" t="s">
        <v>1961</v>
      </c>
      <c r="B847" t="s">
        <v>1962</v>
      </c>
      <c r="C847" s="21" t="s">
        <v>227</v>
      </c>
      <c r="D847" t="s">
        <v>250</v>
      </c>
      <c r="E847" t="s">
        <v>251</v>
      </c>
      <c r="M847" s="19">
        <v>45574</v>
      </c>
      <c r="N847" s="20"/>
      <c r="O847" s="20"/>
    </row>
    <row r="848" ht="15" customHeight="1">
      <c r="A848" t="s">
        <v>1963</v>
      </c>
      <c r="B848" t="s">
        <v>1964</v>
      </c>
      <c r="C848" s="21" t="s">
        <v>227</v>
      </c>
      <c r="D848" t="s">
        <v>250</v>
      </c>
      <c r="E848" t="s">
        <v>251</v>
      </c>
      <c r="M848" s="19">
        <v>45574</v>
      </c>
      <c r="N848" s="20"/>
      <c r="O848" s="20"/>
    </row>
    <row r="849" ht="15" customHeight="1">
      <c r="A849" t="s">
        <v>1965</v>
      </c>
      <c r="B849" t="s">
        <v>1966</v>
      </c>
      <c r="C849" s="21" t="s">
        <v>227</v>
      </c>
      <c r="D849" t="s">
        <v>250</v>
      </c>
      <c r="E849" t="s">
        <v>251</v>
      </c>
      <c r="M849" s="19">
        <v>45574</v>
      </c>
      <c r="N849" s="20"/>
      <c r="O849" s="20"/>
    </row>
    <row r="850" ht="15" customHeight="1">
      <c r="A850" t="s">
        <v>1967</v>
      </c>
      <c r="B850" t="s">
        <v>1968</v>
      </c>
      <c r="C850" s="21" t="s">
        <v>227</v>
      </c>
      <c r="D850" t="s">
        <v>250</v>
      </c>
      <c r="E850" t="s">
        <v>251</v>
      </c>
      <c r="M850" s="19">
        <v>45574</v>
      </c>
      <c r="N850" s="20"/>
      <c r="O850" s="20"/>
    </row>
    <row r="851" ht="15" customHeight="1">
      <c r="A851" t="s">
        <v>1969</v>
      </c>
      <c r="B851" t="s">
        <v>1970</v>
      </c>
      <c r="C851" s="21" t="s">
        <v>227</v>
      </c>
      <c r="D851" t="s">
        <v>250</v>
      </c>
      <c r="E851" t="s">
        <v>251</v>
      </c>
      <c r="M851" s="19">
        <v>45574</v>
      </c>
      <c r="N851" s="20"/>
      <c r="O851" s="20"/>
    </row>
    <row r="852" ht="15" customHeight="1">
      <c r="A852" t="s">
        <v>1971</v>
      </c>
      <c r="B852" t="s">
        <v>1972</v>
      </c>
      <c r="C852" s="21" t="s">
        <v>227</v>
      </c>
      <c r="D852" t="s">
        <v>250</v>
      </c>
      <c r="E852" t="s">
        <v>251</v>
      </c>
      <c r="M852" s="19">
        <v>45574</v>
      </c>
      <c r="N852" s="20"/>
      <c r="O852" s="20"/>
    </row>
    <row r="853" ht="15" customHeight="1">
      <c r="A853" t="s">
        <v>1973</v>
      </c>
      <c r="B853" t="s">
        <v>1974</v>
      </c>
      <c r="C853" s="21" t="s">
        <v>227</v>
      </c>
      <c r="D853" t="s">
        <v>250</v>
      </c>
      <c r="E853" t="s">
        <v>251</v>
      </c>
      <c r="M853" s="19">
        <v>45574</v>
      </c>
      <c r="N853" s="20"/>
      <c r="O853" s="20"/>
    </row>
    <row r="854" ht="15" customHeight="1">
      <c r="A854" t="s">
        <v>1975</v>
      </c>
      <c r="B854" t="s">
        <v>1976</v>
      </c>
      <c r="C854" s="21" t="s">
        <v>227</v>
      </c>
      <c r="D854" t="s">
        <v>250</v>
      </c>
      <c r="E854" t="s">
        <v>251</v>
      </c>
      <c r="M854" s="19">
        <v>45574</v>
      </c>
      <c r="N854" s="20"/>
      <c r="O854" s="20"/>
    </row>
    <row r="855" ht="15" customHeight="1">
      <c r="A855" t="s">
        <v>1977</v>
      </c>
      <c r="B855" t="s">
        <v>1978</v>
      </c>
      <c r="C855" s="21" t="s">
        <v>227</v>
      </c>
      <c r="D855" t="s">
        <v>250</v>
      </c>
      <c r="E855" t="s">
        <v>251</v>
      </c>
      <c r="M855" s="19">
        <v>45573</v>
      </c>
      <c r="N855" s="20"/>
      <c r="O855" s="20"/>
    </row>
    <row r="856" ht="15" customHeight="1">
      <c r="A856" t="s">
        <v>1979</v>
      </c>
      <c r="B856" t="s">
        <v>1980</v>
      </c>
      <c r="C856" t="s">
        <v>1470</v>
      </c>
      <c r="D856" t="s">
        <v>228</v>
      </c>
      <c r="E856" t="s">
        <v>229</v>
      </c>
      <c r="M856" s="19">
        <v>45573</v>
      </c>
      <c r="N856" s="20"/>
      <c r="O856" s="20"/>
    </row>
    <row r="857" ht="15" customHeight="1">
      <c r="A857" t="s">
        <v>1981</v>
      </c>
      <c r="B857" t="s">
        <v>1982</v>
      </c>
      <c r="C857" t="s">
        <v>1470</v>
      </c>
      <c r="D857" t="s">
        <v>232</v>
      </c>
      <c r="E857" t="s">
        <v>233</v>
      </c>
      <c r="M857" s="19">
        <v>45573</v>
      </c>
      <c r="N857" s="20"/>
      <c r="O857" s="20"/>
    </row>
    <row r="858" ht="15" customHeight="1">
      <c r="A858" t="s">
        <v>1983</v>
      </c>
      <c r="B858" t="s">
        <v>1984</v>
      </c>
      <c r="C858" s="21" t="s">
        <v>227</v>
      </c>
      <c r="D858" t="s">
        <v>228</v>
      </c>
      <c r="E858" t="s">
        <v>229</v>
      </c>
      <c r="M858" s="19">
        <v>45573</v>
      </c>
      <c r="N858" s="20"/>
      <c r="O858" s="20"/>
    </row>
    <row r="859" ht="15" customHeight="1">
      <c r="A859" t="s">
        <v>1985</v>
      </c>
      <c r="B859" t="s">
        <v>1986</v>
      </c>
      <c r="C859" s="21" t="s">
        <v>227</v>
      </c>
      <c r="D859" t="s">
        <v>232</v>
      </c>
      <c r="E859" t="s">
        <v>233</v>
      </c>
      <c r="M859" s="19">
        <v>45573</v>
      </c>
      <c r="N859" s="20"/>
      <c r="O859" s="20"/>
    </row>
    <row r="860" ht="15" customHeight="1">
      <c r="A860" t="s">
        <v>1987</v>
      </c>
      <c r="B860" t="s">
        <v>1988</v>
      </c>
      <c r="C860" s="21" t="s">
        <v>227</v>
      </c>
      <c r="D860" t="s">
        <v>250</v>
      </c>
      <c r="E860" t="s">
        <v>251</v>
      </c>
      <c r="H860">
        <v>5</v>
      </c>
      <c r="L860" t="s">
        <v>1634</v>
      </c>
      <c r="M860" s="19">
        <v>45573</v>
      </c>
      <c r="N860" s="20"/>
      <c r="O860" s="20"/>
    </row>
    <row r="861" ht="15" customHeight="1">
      <c r="A861" t="s">
        <v>1989</v>
      </c>
      <c r="B861" t="s">
        <v>1990</v>
      </c>
      <c r="C861" s="21" t="s">
        <v>227</v>
      </c>
      <c r="D861" t="s">
        <v>232</v>
      </c>
      <c r="E861" t="s">
        <v>233</v>
      </c>
      <c r="H861">
        <v>3</v>
      </c>
      <c r="L861" t="s">
        <v>1365</v>
      </c>
      <c r="M861" s="19">
        <v>45573</v>
      </c>
      <c r="N861" s="20"/>
      <c r="O861" s="20"/>
    </row>
    <row r="862" ht="15" customHeight="1">
      <c r="A862" t="s">
        <v>1991</v>
      </c>
      <c r="B862" t="s">
        <v>1992</v>
      </c>
      <c r="C862" s="21" t="s">
        <v>227</v>
      </c>
      <c r="D862" t="s">
        <v>232</v>
      </c>
      <c r="E862" t="s">
        <v>233</v>
      </c>
      <c r="G862" t="s">
        <v>144</v>
      </c>
      <c r="M862" s="19">
        <v>45573</v>
      </c>
      <c r="N862" s="20"/>
      <c r="O862" s="20"/>
    </row>
    <row r="863" ht="15" customHeight="1">
      <c r="A863" t="s">
        <v>1993</v>
      </c>
      <c r="B863" t="s">
        <v>1994</v>
      </c>
      <c r="C863" s="21" t="s">
        <v>227</v>
      </c>
      <c r="D863" t="s">
        <v>250</v>
      </c>
      <c r="E863" t="s">
        <v>251</v>
      </c>
      <c r="M863" s="19">
        <v>45573</v>
      </c>
      <c r="N863" s="20"/>
      <c r="O863" s="20"/>
    </row>
    <row r="864" ht="15" customHeight="1">
      <c r="A864" t="s">
        <v>1995</v>
      </c>
      <c r="B864" t="s">
        <v>1996</v>
      </c>
      <c r="C864" s="21" t="s">
        <v>227</v>
      </c>
      <c r="D864" t="s">
        <v>250</v>
      </c>
      <c r="E864" t="s">
        <v>251</v>
      </c>
      <c r="M864" s="19">
        <v>45573</v>
      </c>
      <c r="N864" s="20"/>
      <c r="O864" s="20"/>
    </row>
    <row r="865" ht="15" customHeight="1">
      <c r="A865" t="s">
        <v>1997</v>
      </c>
      <c r="B865" t="s">
        <v>1998</v>
      </c>
      <c r="C865" s="24" t="s">
        <v>1338</v>
      </c>
      <c r="D865" t="s">
        <v>223</v>
      </c>
      <c r="E865" t="s">
        <v>224</v>
      </c>
      <c r="K865" t="s">
        <v>1132</v>
      </c>
      <c r="L865" t="s">
        <v>1540</v>
      </c>
      <c r="M865" s="19">
        <v>45572</v>
      </c>
      <c r="N865" s="20"/>
      <c r="O865" s="20"/>
    </row>
    <row r="866" ht="15" customHeight="1">
      <c r="A866" t="s">
        <v>1999</v>
      </c>
      <c r="B866" t="s">
        <v>2000</v>
      </c>
      <c r="C866" t="s">
        <v>259</v>
      </c>
      <c r="D866" t="s">
        <v>223</v>
      </c>
      <c r="E866" t="s">
        <v>224</v>
      </c>
      <c r="M866" s="19">
        <v>45569</v>
      </c>
      <c r="N866" s="20"/>
      <c r="O866" s="20"/>
    </row>
    <row r="867" ht="15" customHeight="1">
      <c r="A867" t="s">
        <v>2001</v>
      </c>
      <c r="B867" t="s">
        <v>2002</v>
      </c>
      <c r="C867" s="21" t="s">
        <v>227</v>
      </c>
      <c r="D867" t="s">
        <v>250</v>
      </c>
      <c r="E867" t="s">
        <v>251</v>
      </c>
      <c r="M867" s="19">
        <v>45569</v>
      </c>
      <c r="N867" s="20"/>
      <c r="O867" s="20"/>
    </row>
    <row r="868" ht="15" customHeight="1">
      <c r="A868" t="s">
        <v>2003</v>
      </c>
      <c r="B868" t="s">
        <v>2004</v>
      </c>
      <c r="C868" s="21" t="s">
        <v>227</v>
      </c>
      <c r="D868" t="s">
        <v>250</v>
      </c>
      <c r="E868" t="s">
        <v>251</v>
      </c>
      <c r="M868" s="19">
        <v>45569</v>
      </c>
      <c r="N868" s="20"/>
      <c r="O868" s="20"/>
    </row>
    <row r="869" ht="15" customHeight="1">
      <c r="A869" t="s">
        <v>2005</v>
      </c>
      <c r="B869" t="s">
        <v>2006</v>
      </c>
      <c r="C869" s="21" t="s">
        <v>227</v>
      </c>
      <c r="D869" t="s">
        <v>250</v>
      </c>
      <c r="E869" t="s">
        <v>251</v>
      </c>
      <c r="M869" s="19">
        <v>45569</v>
      </c>
      <c r="N869" s="20"/>
      <c r="O869" s="20"/>
    </row>
    <row r="870" ht="15" customHeight="1">
      <c r="A870" t="s">
        <v>2007</v>
      </c>
      <c r="B870" t="s">
        <v>2008</v>
      </c>
      <c r="C870" t="s">
        <v>1470</v>
      </c>
      <c r="D870" t="s">
        <v>232</v>
      </c>
      <c r="E870" t="s">
        <v>233</v>
      </c>
      <c r="M870" s="19">
        <v>45569</v>
      </c>
      <c r="N870" s="20"/>
      <c r="O870" s="20"/>
    </row>
    <row r="871" ht="15" customHeight="1">
      <c r="A871" t="s">
        <v>2009</v>
      </c>
      <c r="B871" t="s">
        <v>2010</v>
      </c>
      <c r="C871" s="21" t="s">
        <v>227</v>
      </c>
      <c r="D871" t="s">
        <v>232</v>
      </c>
      <c r="E871" t="s">
        <v>233</v>
      </c>
      <c r="M871" s="19">
        <v>45569</v>
      </c>
      <c r="N871" s="20"/>
      <c r="O871" s="20"/>
    </row>
    <row r="872" ht="15" customHeight="1">
      <c r="A872" t="s">
        <v>2011</v>
      </c>
      <c r="B872" t="s">
        <v>2012</v>
      </c>
      <c r="C872" s="23" t="s">
        <v>309</v>
      </c>
      <c r="D872" t="s">
        <v>232</v>
      </c>
      <c r="E872" t="s">
        <v>233</v>
      </c>
      <c r="K872" t="s">
        <v>859</v>
      </c>
      <c r="L872" t="s">
        <v>2013</v>
      </c>
      <c r="M872" s="19">
        <v>45568</v>
      </c>
      <c r="N872" s="20"/>
      <c r="O872" s="20"/>
    </row>
    <row r="873" ht="15" customHeight="1">
      <c r="A873" t="s">
        <v>2014</v>
      </c>
      <c r="B873" t="s">
        <v>2015</v>
      </c>
      <c r="C873" t="s">
        <v>1470</v>
      </c>
      <c r="D873" t="s">
        <v>232</v>
      </c>
      <c r="E873" t="s">
        <v>233</v>
      </c>
      <c r="M873" s="19">
        <v>45568</v>
      </c>
      <c r="N873" s="20"/>
      <c r="O873" s="20"/>
    </row>
    <row r="874" ht="15" customHeight="1">
      <c r="A874" t="s">
        <v>2016</v>
      </c>
      <c r="B874" t="s">
        <v>2017</v>
      </c>
      <c r="C874" t="s">
        <v>1470</v>
      </c>
      <c r="D874" t="s">
        <v>232</v>
      </c>
      <c r="E874" t="s">
        <v>233</v>
      </c>
      <c r="M874" s="19">
        <v>45568</v>
      </c>
      <c r="N874" s="20"/>
      <c r="O874" s="20"/>
    </row>
    <row r="875" ht="15" customHeight="1">
      <c r="A875" t="s">
        <v>2018</v>
      </c>
      <c r="B875" t="s">
        <v>2019</v>
      </c>
      <c r="C875" t="s">
        <v>1470</v>
      </c>
      <c r="D875" t="s">
        <v>232</v>
      </c>
      <c r="E875" t="s">
        <v>233</v>
      </c>
      <c r="M875" s="19">
        <v>45567</v>
      </c>
      <c r="N875" s="20"/>
      <c r="O875" s="20"/>
    </row>
    <row r="876" ht="15" customHeight="1">
      <c r="A876" t="s">
        <v>2020</v>
      </c>
      <c r="B876" t="s">
        <v>2021</v>
      </c>
      <c r="C876" s="23" t="s">
        <v>309</v>
      </c>
      <c r="D876" t="s">
        <v>232</v>
      </c>
      <c r="E876" t="s">
        <v>233</v>
      </c>
      <c r="H876">
        <v>3</v>
      </c>
      <c r="L876" t="s">
        <v>2013</v>
      </c>
      <c r="M876" s="19">
        <v>45567</v>
      </c>
      <c r="N876" s="20"/>
      <c r="O876" s="20"/>
    </row>
    <row r="877" ht="15" customHeight="1">
      <c r="A877" t="s">
        <v>2022</v>
      </c>
      <c r="B877" t="s">
        <v>2023</v>
      </c>
      <c r="C877" s="23" t="s">
        <v>309</v>
      </c>
      <c r="D877" t="s">
        <v>228</v>
      </c>
      <c r="E877" t="s">
        <v>229</v>
      </c>
      <c r="H877">
        <v>5</v>
      </c>
      <c r="L877" t="s">
        <v>1944</v>
      </c>
      <c r="M877" s="19">
        <v>45566</v>
      </c>
      <c r="N877" s="20"/>
      <c r="O877" s="20"/>
    </row>
    <row r="878" ht="15" customHeight="1">
      <c r="A878" t="s">
        <v>2024</v>
      </c>
      <c r="B878" t="s">
        <v>2025</v>
      </c>
      <c r="C878" s="25" t="s">
        <v>1627</v>
      </c>
      <c r="D878" t="s">
        <v>223</v>
      </c>
      <c r="E878" t="s">
        <v>224</v>
      </c>
      <c r="L878" t="s">
        <v>2026</v>
      </c>
      <c r="M878" s="19">
        <v>45566</v>
      </c>
      <c r="N878" s="20"/>
      <c r="O878" s="20"/>
    </row>
    <row r="879" ht="15" customHeight="1">
      <c r="A879" t="s">
        <v>2027</v>
      </c>
      <c r="B879" t="s">
        <v>2028</v>
      </c>
      <c r="C879" s="23" t="s">
        <v>309</v>
      </c>
      <c r="D879" t="s">
        <v>228</v>
      </c>
      <c r="E879" t="s">
        <v>229</v>
      </c>
      <c r="H879">
        <v>3</v>
      </c>
      <c r="L879" t="s">
        <v>1944</v>
      </c>
      <c r="M879" s="19">
        <v>45566</v>
      </c>
      <c r="N879" s="20"/>
      <c r="O879" s="20"/>
    </row>
    <row r="880" ht="15" customHeight="1">
      <c r="A880" t="s">
        <v>2029</v>
      </c>
      <c r="B880" t="s">
        <v>1937</v>
      </c>
      <c r="C880" t="s">
        <v>1470</v>
      </c>
      <c r="D880" t="s">
        <v>250</v>
      </c>
      <c r="E880" t="s">
        <v>251</v>
      </c>
      <c r="M880" s="19">
        <v>45566</v>
      </c>
      <c r="N880" s="20"/>
      <c r="O880" s="20"/>
    </row>
    <row r="881" ht="15" customHeight="1">
      <c r="A881" t="s">
        <v>2030</v>
      </c>
      <c r="B881" t="s">
        <v>2031</v>
      </c>
      <c r="C881" t="s">
        <v>1470</v>
      </c>
      <c r="D881" t="s">
        <v>232</v>
      </c>
      <c r="E881" t="s">
        <v>233</v>
      </c>
      <c r="M881" s="19">
        <v>45566</v>
      </c>
      <c r="N881" s="20"/>
      <c r="O881" s="20"/>
    </row>
    <row r="882" ht="15" customHeight="1">
      <c r="A882" t="s">
        <v>2032</v>
      </c>
      <c r="B882" t="s">
        <v>2033</v>
      </c>
      <c r="C882" s="23" t="s">
        <v>309</v>
      </c>
      <c r="D882" t="s">
        <v>232</v>
      </c>
      <c r="E882" t="s">
        <v>233</v>
      </c>
      <c r="M882" s="19">
        <v>45565</v>
      </c>
      <c r="N882" s="20"/>
      <c r="O882" s="20"/>
    </row>
    <row r="883" ht="15" customHeight="1">
      <c r="A883" t="s">
        <v>2034</v>
      </c>
      <c r="B883" t="s">
        <v>2035</v>
      </c>
      <c r="C883" s="23" t="s">
        <v>309</v>
      </c>
      <c r="D883" t="s">
        <v>232</v>
      </c>
      <c r="E883" t="s">
        <v>233</v>
      </c>
      <c r="M883" s="19">
        <v>45565</v>
      </c>
      <c r="N883" s="20"/>
      <c r="O883" s="20"/>
    </row>
    <row r="884" ht="15" customHeight="1">
      <c r="A884" t="s">
        <v>2036</v>
      </c>
      <c r="B884" t="s">
        <v>2037</v>
      </c>
      <c r="C884" s="25" t="s">
        <v>1627</v>
      </c>
      <c r="D884" t="s">
        <v>223</v>
      </c>
      <c r="E884" t="s">
        <v>224</v>
      </c>
      <c r="L884" t="s">
        <v>1540</v>
      </c>
      <c r="M884" s="19">
        <v>45565</v>
      </c>
      <c r="N884" s="20"/>
      <c r="O884" s="20"/>
    </row>
    <row r="885" ht="15" customHeight="1">
      <c r="A885" t="s">
        <v>2038</v>
      </c>
      <c r="B885" t="s">
        <v>2039</v>
      </c>
      <c r="C885" s="23" t="s">
        <v>309</v>
      </c>
      <c r="D885" t="s">
        <v>250</v>
      </c>
      <c r="E885" t="s">
        <v>251</v>
      </c>
      <c r="L885" t="s">
        <v>2040</v>
      </c>
      <c r="M885" s="19">
        <v>45562</v>
      </c>
      <c r="N885" s="20"/>
      <c r="O885" s="20"/>
    </row>
    <row r="886" ht="15" customHeight="1">
      <c r="A886" t="s">
        <v>2041</v>
      </c>
      <c r="B886" t="s">
        <v>2042</v>
      </c>
      <c r="C886" s="25" t="s">
        <v>1627</v>
      </c>
      <c r="D886" t="s">
        <v>223</v>
      </c>
      <c r="E886" t="s">
        <v>224</v>
      </c>
      <c r="K886" t="s">
        <v>1132</v>
      </c>
      <c r="L886" t="s">
        <v>1540</v>
      </c>
      <c r="M886" s="19">
        <v>45562</v>
      </c>
      <c r="N886" s="20"/>
      <c r="O886" s="20"/>
    </row>
    <row r="887" ht="15" customHeight="1">
      <c r="A887" t="s">
        <v>2043</v>
      </c>
      <c r="B887" t="s">
        <v>2044</v>
      </c>
      <c r="C887" t="s">
        <v>1470</v>
      </c>
      <c r="D887" t="s">
        <v>813</v>
      </c>
      <c r="E887" t="s">
        <v>814</v>
      </c>
      <c r="H887">
        <v>5</v>
      </c>
      <c r="M887" s="19">
        <v>45562</v>
      </c>
      <c r="N887" s="20"/>
      <c r="O887" s="20"/>
    </row>
    <row r="888" ht="15" customHeight="1">
      <c r="A888" t="s">
        <v>2045</v>
      </c>
      <c r="B888" t="s">
        <v>2046</v>
      </c>
      <c r="C888" t="s">
        <v>1470</v>
      </c>
      <c r="D888" t="s">
        <v>813</v>
      </c>
      <c r="E888" t="s">
        <v>814</v>
      </c>
      <c r="H888">
        <v>5</v>
      </c>
      <c r="M888" s="19">
        <v>45562</v>
      </c>
      <c r="N888" s="20"/>
      <c r="O888" s="20"/>
    </row>
    <row r="889" ht="15" customHeight="1">
      <c r="A889" t="s">
        <v>2047</v>
      </c>
      <c r="B889" t="s">
        <v>2048</v>
      </c>
      <c r="C889" t="s">
        <v>1470</v>
      </c>
      <c r="D889" t="s">
        <v>232</v>
      </c>
      <c r="E889" t="s">
        <v>233</v>
      </c>
      <c r="M889" s="19">
        <v>45561</v>
      </c>
      <c r="N889" s="20"/>
      <c r="O889" s="20"/>
    </row>
    <row r="890" ht="15" customHeight="1">
      <c r="A890" t="s">
        <v>2049</v>
      </c>
      <c r="B890" t="s">
        <v>2050</v>
      </c>
      <c r="C890" s="21" t="s">
        <v>227</v>
      </c>
      <c r="D890" t="s">
        <v>228</v>
      </c>
      <c r="E890" t="s">
        <v>229</v>
      </c>
      <c r="M890" s="19">
        <v>45560</v>
      </c>
      <c r="N890" s="20"/>
      <c r="O890" s="20"/>
    </row>
    <row r="891" ht="15" customHeight="1">
      <c r="A891" t="s">
        <v>2051</v>
      </c>
      <c r="B891" t="s">
        <v>2052</v>
      </c>
      <c r="C891" t="s">
        <v>259</v>
      </c>
      <c r="D891" t="s">
        <v>223</v>
      </c>
      <c r="E891" t="s">
        <v>224</v>
      </c>
      <c r="L891" t="s">
        <v>2026</v>
      </c>
      <c r="M891" s="19">
        <v>45559</v>
      </c>
      <c r="N891" s="19">
        <v>45715</v>
      </c>
      <c r="O891" s="20"/>
    </row>
    <row r="892" ht="15" customHeight="1">
      <c r="A892" t="s">
        <v>2053</v>
      </c>
      <c r="B892" t="s">
        <v>2054</v>
      </c>
      <c r="C892" t="s">
        <v>259</v>
      </c>
      <c r="D892" t="s">
        <v>223</v>
      </c>
      <c r="E892" t="s">
        <v>224</v>
      </c>
      <c r="K892" t="s">
        <v>1132</v>
      </c>
      <c r="M892" s="19">
        <v>45558</v>
      </c>
      <c r="N892" s="20"/>
      <c r="O892" s="20"/>
    </row>
    <row r="893" ht="15" customHeight="1">
      <c r="A893" t="s">
        <v>2055</v>
      </c>
      <c r="B893" t="s">
        <v>2056</v>
      </c>
      <c r="C893" t="s">
        <v>1470</v>
      </c>
      <c r="D893" t="s">
        <v>232</v>
      </c>
      <c r="E893" t="s">
        <v>233</v>
      </c>
      <c r="M893" s="19">
        <v>45554</v>
      </c>
      <c r="N893" s="20"/>
      <c r="O893" s="20"/>
    </row>
    <row r="894" ht="15" customHeight="1">
      <c r="A894" t="s">
        <v>2057</v>
      </c>
      <c r="B894" t="s">
        <v>2058</v>
      </c>
      <c r="C894" t="s">
        <v>1470</v>
      </c>
      <c r="D894" t="s">
        <v>813</v>
      </c>
      <c r="E894" t="s">
        <v>814</v>
      </c>
      <c r="H894">
        <v>3</v>
      </c>
      <c r="K894" t="s">
        <v>815</v>
      </c>
      <c r="M894" s="19">
        <v>45554</v>
      </c>
      <c r="N894" s="20"/>
      <c r="O894" s="20"/>
    </row>
    <row r="895" ht="15" customHeight="1">
      <c r="A895" t="s">
        <v>2059</v>
      </c>
      <c r="B895" t="s">
        <v>2060</v>
      </c>
      <c r="C895" s="23" t="s">
        <v>309</v>
      </c>
      <c r="D895" t="s">
        <v>228</v>
      </c>
      <c r="E895" t="s">
        <v>229</v>
      </c>
      <c r="M895" s="19">
        <v>45553</v>
      </c>
      <c r="N895" s="20"/>
      <c r="O895" s="20"/>
    </row>
    <row r="896" ht="15" customHeight="1">
      <c r="A896" t="s">
        <v>2061</v>
      </c>
      <c r="B896" t="s">
        <v>2062</v>
      </c>
      <c r="C896" s="25" t="s">
        <v>1627</v>
      </c>
      <c r="D896" t="s">
        <v>223</v>
      </c>
      <c r="E896" t="s">
        <v>224</v>
      </c>
      <c r="K896" t="s">
        <v>1132</v>
      </c>
      <c r="L896" t="s">
        <v>1540</v>
      </c>
      <c r="M896" s="19">
        <v>45553</v>
      </c>
      <c r="N896" s="19">
        <v>45657</v>
      </c>
      <c r="O896" s="20"/>
    </row>
    <row r="897" ht="15" customHeight="1">
      <c r="A897" t="s">
        <v>2063</v>
      </c>
      <c r="B897" t="s">
        <v>2064</v>
      </c>
      <c r="C897" t="s">
        <v>259</v>
      </c>
      <c r="D897" t="s">
        <v>223</v>
      </c>
      <c r="E897" t="s">
        <v>224</v>
      </c>
      <c r="M897" s="19">
        <v>45553</v>
      </c>
      <c r="N897" s="20"/>
      <c r="O897" s="20"/>
    </row>
    <row r="898" ht="15" customHeight="1">
      <c r="A898" t="s">
        <v>2065</v>
      </c>
      <c r="B898" t="s">
        <v>2066</v>
      </c>
      <c r="C898" t="s">
        <v>1470</v>
      </c>
      <c r="D898" t="s">
        <v>228</v>
      </c>
      <c r="E898" t="s">
        <v>229</v>
      </c>
      <c r="H898">
        <v>3</v>
      </c>
      <c r="M898" s="19">
        <v>45553</v>
      </c>
      <c r="N898" s="20"/>
      <c r="O898" s="20"/>
    </row>
    <row r="899" ht="15" customHeight="1">
      <c r="A899" t="s">
        <v>2067</v>
      </c>
      <c r="B899" t="s">
        <v>2068</v>
      </c>
      <c r="C899" t="s">
        <v>1470</v>
      </c>
      <c r="D899" t="s">
        <v>228</v>
      </c>
      <c r="E899" t="s">
        <v>229</v>
      </c>
      <c r="H899">
        <v>3</v>
      </c>
      <c r="M899" s="19">
        <v>45553</v>
      </c>
      <c r="N899" s="20"/>
      <c r="O899" s="20"/>
    </row>
    <row r="900" ht="15" customHeight="1">
      <c r="A900" t="s">
        <v>2069</v>
      </c>
      <c r="B900" t="s">
        <v>2070</v>
      </c>
      <c r="C900" t="s">
        <v>1470</v>
      </c>
      <c r="D900" t="s">
        <v>228</v>
      </c>
      <c r="E900" t="s">
        <v>229</v>
      </c>
      <c r="H900">
        <v>8</v>
      </c>
      <c r="M900" s="19">
        <v>45553</v>
      </c>
      <c r="N900" s="20"/>
      <c r="O900" s="20"/>
    </row>
    <row r="901" ht="15" customHeight="1">
      <c r="A901" t="s">
        <v>2071</v>
      </c>
      <c r="B901" t="s">
        <v>2072</v>
      </c>
      <c r="C901" t="s">
        <v>1057</v>
      </c>
      <c r="D901" t="s">
        <v>223</v>
      </c>
      <c r="E901" t="s">
        <v>224</v>
      </c>
      <c r="M901" s="19">
        <v>45553</v>
      </c>
      <c r="N901" s="20"/>
      <c r="O901" s="20"/>
    </row>
    <row r="902" ht="15" customHeight="1">
      <c r="A902" t="s">
        <v>2073</v>
      </c>
      <c r="B902" t="s">
        <v>2074</v>
      </c>
      <c r="C902" s="23" t="s">
        <v>309</v>
      </c>
      <c r="D902" t="s">
        <v>250</v>
      </c>
      <c r="E902" t="s">
        <v>251</v>
      </c>
      <c r="M902" s="19">
        <v>45552</v>
      </c>
      <c r="N902" s="20"/>
      <c r="O902" s="20"/>
    </row>
    <row r="903" ht="15" customHeight="1">
      <c r="A903" t="s">
        <v>2075</v>
      </c>
      <c r="B903" t="s">
        <v>2076</v>
      </c>
      <c r="C903" s="21" t="s">
        <v>227</v>
      </c>
      <c r="D903" t="s">
        <v>228</v>
      </c>
      <c r="E903" t="s">
        <v>229</v>
      </c>
      <c r="M903" s="19">
        <v>45552</v>
      </c>
      <c r="N903" s="20"/>
      <c r="O903" s="20"/>
    </row>
    <row r="904" ht="15" customHeight="1">
      <c r="A904" t="s">
        <v>2077</v>
      </c>
      <c r="B904" t="s">
        <v>2078</v>
      </c>
      <c r="C904" s="23" t="s">
        <v>309</v>
      </c>
      <c r="D904" t="s">
        <v>228</v>
      </c>
      <c r="E904" t="s">
        <v>229</v>
      </c>
      <c r="H904">
        <v>2</v>
      </c>
      <c r="M904" s="19">
        <v>45552</v>
      </c>
      <c r="N904" s="20"/>
      <c r="O904" s="20"/>
    </row>
    <row r="905" ht="15" customHeight="1">
      <c r="A905" t="s">
        <v>2079</v>
      </c>
      <c r="B905" t="s">
        <v>2080</v>
      </c>
      <c r="C905" s="23" t="s">
        <v>309</v>
      </c>
      <c r="D905" t="s">
        <v>232</v>
      </c>
      <c r="E905" t="s">
        <v>233</v>
      </c>
      <c r="H905">
        <v>5</v>
      </c>
      <c r="M905" s="19">
        <v>45552</v>
      </c>
      <c r="N905" s="20"/>
      <c r="O905" s="20"/>
    </row>
    <row r="906" ht="15" customHeight="1">
      <c r="A906" t="s">
        <v>2081</v>
      </c>
      <c r="B906" t="s">
        <v>2082</v>
      </c>
      <c r="C906" t="s">
        <v>259</v>
      </c>
      <c r="D906" t="s">
        <v>223</v>
      </c>
      <c r="E906" t="s">
        <v>224</v>
      </c>
      <c r="K906" t="s">
        <v>1132</v>
      </c>
      <c r="L906" t="s">
        <v>2026</v>
      </c>
      <c r="M906" s="19">
        <v>45552</v>
      </c>
      <c r="N906" s="20"/>
      <c r="O906" s="20"/>
    </row>
    <row r="907" ht="15" customHeight="1">
      <c r="A907" t="s">
        <v>2083</v>
      </c>
      <c r="B907" t="s">
        <v>2084</v>
      </c>
      <c r="C907" s="21" t="s">
        <v>227</v>
      </c>
      <c r="D907" t="s">
        <v>232</v>
      </c>
      <c r="E907" t="s">
        <v>233</v>
      </c>
      <c r="H907">
        <v>3</v>
      </c>
      <c r="L907" t="s">
        <v>1365</v>
      </c>
      <c r="M907" s="19">
        <v>45552</v>
      </c>
      <c r="N907" s="20"/>
      <c r="O907" s="20"/>
    </row>
    <row r="908" ht="15" customHeight="1">
      <c r="A908" t="s">
        <v>2085</v>
      </c>
      <c r="B908" t="s">
        <v>2086</v>
      </c>
      <c r="C908" s="25" t="s">
        <v>1627</v>
      </c>
      <c r="D908" t="s">
        <v>223</v>
      </c>
      <c r="E908" t="s">
        <v>224</v>
      </c>
      <c r="K908" t="s">
        <v>1132</v>
      </c>
      <c r="L908" t="s">
        <v>2087</v>
      </c>
      <c r="M908" s="19">
        <v>45551</v>
      </c>
      <c r="N908" s="20"/>
      <c r="O908" s="20"/>
    </row>
    <row r="909" ht="15" customHeight="1">
      <c r="A909" t="s">
        <v>2088</v>
      </c>
      <c r="B909" t="s">
        <v>2089</v>
      </c>
      <c r="C909" s="21" t="s">
        <v>227</v>
      </c>
      <c r="D909" t="s">
        <v>228</v>
      </c>
      <c r="E909" t="s">
        <v>229</v>
      </c>
      <c r="M909" s="19">
        <v>45551</v>
      </c>
      <c r="N909" s="20"/>
      <c r="O909" s="20"/>
    </row>
    <row r="910" ht="15" customHeight="1">
      <c r="A910" t="s">
        <v>2090</v>
      </c>
      <c r="B910" t="s">
        <v>2089</v>
      </c>
      <c r="C910" t="s">
        <v>259</v>
      </c>
      <c r="D910" t="s">
        <v>223</v>
      </c>
      <c r="E910" t="s">
        <v>224</v>
      </c>
      <c r="M910" s="19">
        <v>45551</v>
      </c>
      <c r="N910" s="20"/>
      <c r="O910" s="20"/>
    </row>
    <row r="911" ht="15" customHeight="1">
      <c r="A911" t="s">
        <v>2091</v>
      </c>
      <c r="B911" t="s">
        <v>2092</v>
      </c>
      <c r="C911" t="s">
        <v>1057</v>
      </c>
      <c r="D911" t="s">
        <v>223</v>
      </c>
      <c r="E911" t="s">
        <v>224</v>
      </c>
      <c r="K911" t="s">
        <v>1132</v>
      </c>
      <c r="L911" t="s">
        <v>1540</v>
      </c>
      <c r="M911" s="19">
        <v>45548</v>
      </c>
      <c r="N911" s="20"/>
      <c r="O911" s="20"/>
    </row>
    <row r="912" ht="15" customHeight="1">
      <c r="A912" t="s">
        <v>2093</v>
      </c>
      <c r="B912" t="s">
        <v>2094</v>
      </c>
      <c r="C912" s="25" t="s">
        <v>1627</v>
      </c>
      <c r="D912" t="s">
        <v>223</v>
      </c>
      <c r="E912" t="s">
        <v>224</v>
      </c>
      <c r="K912" t="s">
        <v>1132</v>
      </c>
      <c r="L912" t="s">
        <v>1540</v>
      </c>
      <c r="M912" s="19">
        <v>45548</v>
      </c>
      <c r="N912" s="19">
        <v>45580</v>
      </c>
      <c r="O912" s="20"/>
    </row>
    <row r="913" ht="15" customHeight="1">
      <c r="A913" t="s">
        <v>2095</v>
      </c>
      <c r="B913" t="s">
        <v>2096</v>
      </c>
      <c r="C913" s="25" t="s">
        <v>1627</v>
      </c>
      <c r="D913" t="s">
        <v>223</v>
      </c>
      <c r="E913" t="s">
        <v>224</v>
      </c>
      <c r="K913" t="s">
        <v>1132</v>
      </c>
      <c r="L913" t="s">
        <v>1540</v>
      </c>
      <c r="M913" s="19">
        <v>45548</v>
      </c>
      <c r="N913" s="19">
        <v>45581</v>
      </c>
      <c r="O913" s="20"/>
    </row>
    <row r="914" ht="15" customHeight="1">
      <c r="A914" t="s">
        <v>2097</v>
      </c>
      <c r="B914" t="s">
        <v>2098</v>
      </c>
      <c r="C914" s="25" t="s">
        <v>1627</v>
      </c>
      <c r="D914" t="s">
        <v>223</v>
      </c>
      <c r="E914" t="s">
        <v>224</v>
      </c>
      <c r="K914" t="s">
        <v>1132</v>
      </c>
      <c r="M914" s="19">
        <v>45547</v>
      </c>
      <c r="N914" s="20"/>
      <c r="O914" s="20"/>
    </row>
    <row r="915" ht="15" customHeight="1">
      <c r="A915" t="s">
        <v>2099</v>
      </c>
      <c r="B915" t="s">
        <v>2100</v>
      </c>
      <c r="C915" s="25" t="s">
        <v>1627</v>
      </c>
      <c r="D915" t="s">
        <v>223</v>
      </c>
      <c r="E915" t="s">
        <v>224</v>
      </c>
      <c r="K915" t="s">
        <v>1132</v>
      </c>
      <c r="L915" t="s">
        <v>2026</v>
      </c>
      <c r="M915" s="19">
        <v>45545</v>
      </c>
      <c r="N915" s="20"/>
      <c r="O915" s="20"/>
    </row>
    <row r="916" ht="15" customHeight="1">
      <c r="A916" t="s">
        <v>2101</v>
      </c>
      <c r="B916" t="s">
        <v>2102</v>
      </c>
      <c r="C916" s="23" t="s">
        <v>309</v>
      </c>
      <c r="D916" t="s">
        <v>250</v>
      </c>
      <c r="E916" t="s">
        <v>251</v>
      </c>
      <c r="H916">
        <v>3</v>
      </c>
      <c r="M916" s="19">
        <v>45545</v>
      </c>
      <c r="N916" s="20"/>
      <c r="O916" s="20"/>
    </row>
    <row r="917" ht="15" customHeight="1">
      <c r="A917" t="s">
        <v>2103</v>
      </c>
      <c r="B917" t="s">
        <v>2104</v>
      </c>
      <c r="C917" s="21" t="s">
        <v>227</v>
      </c>
      <c r="D917" t="s">
        <v>250</v>
      </c>
      <c r="E917" t="s">
        <v>251</v>
      </c>
      <c r="H917">
        <v>3</v>
      </c>
      <c r="M917" s="19">
        <v>45545</v>
      </c>
      <c r="N917" s="20"/>
      <c r="O917" s="20"/>
    </row>
    <row r="918" ht="15" customHeight="1">
      <c r="A918" t="s">
        <v>2105</v>
      </c>
      <c r="B918" t="s">
        <v>2106</v>
      </c>
      <c r="C918" s="23" t="s">
        <v>309</v>
      </c>
      <c r="D918" t="s">
        <v>250</v>
      </c>
      <c r="E918" t="s">
        <v>251</v>
      </c>
      <c r="H918">
        <v>3</v>
      </c>
      <c r="M918" s="19">
        <v>45545</v>
      </c>
      <c r="N918" s="20"/>
      <c r="O918" s="20"/>
    </row>
    <row r="919" ht="15" customHeight="1">
      <c r="A919" t="s">
        <v>2107</v>
      </c>
      <c r="B919" t="s">
        <v>2108</v>
      </c>
      <c r="C919" s="21" t="s">
        <v>227</v>
      </c>
      <c r="D919" t="s">
        <v>250</v>
      </c>
      <c r="E919" t="s">
        <v>251</v>
      </c>
      <c r="H919">
        <v>3</v>
      </c>
      <c r="M919" s="19">
        <v>45545</v>
      </c>
      <c r="N919" s="20"/>
      <c r="O919" s="20"/>
    </row>
    <row r="920" ht="15" customHeight="1">
      <c r="A920" t="s">
        <v>2109</v>
      </c>
      <c r="B920" t="s">
        <v>2110</v>
      </c>
      <c r="C920" s="21" t="s">
        <v>227</v>
      </c>
      <c r="D920" t="s">
        <v>813</v>
      </c>
      <c r="E920" t="s">
        <v>814</v>
      </c>
      <c r="H920">
        <v>17</v>
      </c>
      <c r="M920" s="19">
        <v>45544</v>
      </c>
      <c r="N920" s="20"/>
      <c r="O920" s="20"/>
    </row>
    <row r="921" ht="15" customHeight="1">
      <c r="A921" t="s">
        <v>2111</v>
      </c>
      <c r="B921" t="s">
        <v>2112</v>
      </c>
      <c r="C921" s="21" t="s">
        <v>227</v>
      </c>
      <c r="D921" t="s">
        <v>250</v>
      </c>
      <c r="E921" t="s">
        <v>251</v>
      </c>
      <c r="M921" s="19">
        <v>45544</v>
      </c>
      <c r="N921" s="20"/>
      <c r="O921" s="20"/>
    </row>
    <row r="922" ht="15" customHeight="1">
      <c r="A922" t="s">
        <v>2113</v>
      </c>
      <c r="B922" t="s">
        <v>2114</v>
      </c>
      <c r="C922" s="21" t="s">
        <v>227</v>
      </c>
      <c r="D922" t="s">
        <v>250</v>
      </c>
      <c r="E922" t="s">
        <v>251</v>
      </c>
      <c r="H922">
        <v>66</v>
      </c>
      <c r="M922" s="19">
        <v>45544</v>
      </c>
      <c r="N922" s="20"/>
      <c r="O922" s="20"/>
    </row>
    <row r="923" ht="15" customHeight="1">
      <c r="A923" t="s">
        <v>2115</v>
      </c>
      <c r="B923" t="s">
        <v>2116</v>
      </c>
      <c r="C923" s="21" t="s">
        <v>227</v>
      </c>
      <c r="D923" t="s">
        <v>232</v>
      </c>
      <c r="E923" t="s">
        <v>233</v>
      </c>
      <c r="M923" s="19">
        <v>45544</v>
      </c>
      <c r="N923" s="20"/>
      <c r="O923" s="20"/>
    </row>
    <row r="924" ht="15" customHeight="1">
      <c r="A924" t="s">
        <v>2117</v>
      </c>
      <c r="B924" t="s">
        <v>2118</v>
      </c>
      <c r="C924" t="s">
        <v>1470</v>
      </c>
      <c r="D924" t="s">
        <v>232</v>
      </c>
      <c r="E924" t="s">
        <v>233</v>
      </c>
      <c r="H924">
        <v>2</v>
      </c>
      <c r="M924" s="19">
        <v>45544</v>
      </c>
      <c r="N924" s="19">
        <v>45568</v>
      </c>
      <c r="O924" s="20"/>
    </row>
    <row r="925" ht="15" customHeight="1">
      <c r="A925" t="s">
        <v>2119</v>
      </c>
      <c r="B925" t="s">
        <v>2120</v>
      </c>
      <c r="C925" s="23" t="s">
        <v>309</v>
      </c>
      <c r="D925" t="s">
        <v>228</v>
      </c>
      <c r="E925" t="s">
        <v>229</v>
      </c>
      <c r="H925">
        <v>7</v>
      </c>
      <c r="M925" s="19">
        <v>45544</v>
      </c>
      <c r="N925" s="20"/>
      <c r="O925" s="20"/>
    </row>
    <row r="926" ht="15" customHeight="1">
      <c r="A926" t="s">
        <v>2121</v>
      </c>
      <c r="B926" t="s">
        <v>2122</v>
      </c>
      <c r="C926" s="23" t="s">
        <v>309</v>
      </c>
      <c r="D926" t="s">
        <v>228</v>
      </c>
      <c r="E926" t="s">
        <v>229</v>
      </c>
      <c r="M926" s="19">
        <v>45544</v>
      </c>
      <c r="N926" s="20"/>
      <c r="O926" s="20"/>
    </row>
    <row r="927" ht="15" customHeight="1">
      <c r="A927" t="s">
        <v>2123</v>
      </c>
      <c r="B927" t="s">
        <v>2124</v>
      </c>
      <c r="C927" s="21" t="s">
        <v>227</v>
      </c>
      <c r="D927" t="s">
        <v>232</v>
      </c>
      <c r="E927" t="s">
        <v>233</v>
      </c>
      <c r="H927">
        <v>76</v>
      </c>
      <c r="M927" s="19">
        <v>45544</v>
      </c>
      <c r="N927" s="20"/>
      <c r="O927" s="20"/>
    </row>
    <row r="928" ht="15" customHeight="1">
      <c r="A928" t="s">
        <v>2125</v>
      </c>
      <c r="B928" t="s">
        <v>2126</v>
      </c>
      <c r="C928" s="23" t="s">
        <v>309</v>
      </c>
      <c r="D928" t="s">
        <v>232</v>
      </c>
      <c r="E928" t="s">
        <v>233</v>
      </c>
      <c r="M928" s="19">
        <v>45544</v>
      </c>
      <c r="N928" s="20"/>
      <c r="O928" s="20"/>
    </row>
    <row r="929" ht="15" customHeight="1">
      <c r="A929" t="s">
        <v>2127</v>
      </c>
      <c r="B929" t="s">
        <v>2128</v>
      </c>
      <c r="C929" s="21" t="s">
        <v>227</v>
      </c>
      <c r="D929" t="s">
        <v>232</v>
      </c>
      <c r="E929" t="s">
        <v>233</v>
      </c>
      <c r="M929" s="19">
        <v>45544</v>
      </c>
      <c r="N929" s="20"/>
      <c r="O929" s="20"/>
    </row>
    <row r="930" ht="15" customHeight="1">
      <c r="A930" t="s">
        <v>2129</v>
      </c>
      <c r="B930" t="s">
        <v>2130</v>
      </c>
      <c r="C930" s="23" t="s">
        <v>309</v>
      </c>
      <c r="D930" t="s">
        <v>813</v>
      </c>
      <c r="E930" t="s">
        <v>814</v>
      </c>
      <c r="M930" s="19">
        <v>45544</v>
      </c>
      <c r="N930" s="20"/>
      <c r="O930" s="20"/>
    </row>
    <row r="931" ht="15" customHeight="1">
      <c r="A931" t="s">
        <v>2131</v>
      </c>
      <c r="B931" t="s">
        <v>2132</v>
      </c>
      <c r="C931" s="23" t="s">
        <v>309</v>
      </c>
      <c r="D931" t="s">
        <v>250</v>
      </c>
      <c r="E931" t="s">
        <v>251</v>
      </c>
      <c r="K931" t="s">
        <v>2133</v>
      </c>
      <c r="M931" s="19">
        <v>45544</v>
      </c>
      <c r="N931" s="20"/>
      <c r="O931" s="19">
        <v>45544</v>
      </c>
    </row>
    <row r="932" ht="15" customHeight="1">
      <c r="A932" t="s">
        <v>2134</v>
      </c>
      <c r="B932" t="s">
        <v>2135</v>
      </c>
      <c r="C932" s="22" t="s">
        <v>55</v>
      </c>
      <c r="D932" t="s">
        <v>232</v>
      </c>
      <c r="E932" t="s">
        <v>233</v>
      </c>
      <c r="H932">
        <v>61</v>
      </c>
      <c r="K932" t="s">
        <v>2136</v>
      </c>
      <c r="M932" s="19">
        <v>45543</v>
      </c>
      <c r="N932" s="20"/>
      <c r="O932" s="20"/>
    </row>
    <row r="933" ht="15" customHeight="1">
      <c r="A933" t="s">
        <v>2137</v>
      </c>
      <c r="B933" t="s">
        <v>2126</v>
      </c>
      <c r="C933" s="23" t="s">
        <v>309</v>
      </c>
      <c r="D933" t="s">
        <v>232</v>
      </c>
      <c r="E933" t="s">
        <v>233</v>
      </c>
      <c r="M933" s="19">
        <v>45543</v>
      </c>
      <c r="N933" s="20"/>
      <c r="O933" s="20"/>
    </row>
    <row r="934" ht="15" customHeight="1">
      <c r="A934" t="s">
        <v>2138</v>
      </c>
      <c r="B934" t="s">
        <v>2139</v>
      </c>
      <c r="C934" s="21" t="s">
        <v>227</v>
      </c>
      <c r="D934" t="s">
        <v>232</v>
      </c>
      <c r="E934" t="s">
        <v>233</v>
      </c>
      <c r="H934">
        <v>106</v>
      </c>
      <c r="K934" t="s">
        <v>2136</v>
      </c>
      <c r="M934" s="19">
        <v>45543</v>
      </c>
      <c r="N934" s="20"/>
      <c r="O934" s="20"/>
    </row>
    <row r="935" ht="15" customHeight="1">
      <c r="A935" t="s">
        <v>2140</v>
      </c>
      <c r="B935" t="s">
        <v>2124</v>
      </c>
      <c r="C935" s="22" t="s">
        <v>55</v>
      </c>
      <c r="D935" t="s">
        <v>232</v>
      </c>
      <c r="E935" t="s">
        <v>233</v>
      </c>
      <c r="H935">
        <v>76</v>
      </c>
      <c r="M935" s="19">
        <v>45543</v>
      </c>
      <c r="N935" s="20"/>
      <c r="O935" s="20"/>
    </row>
    <row r="936" ht="15" customHeight="1">
      <c r="A936" t="s">
        <v>2141</v>
      </c>
      <c r="B936" t="s">
        <v>2142</v>
      </c>
      <c r="C936" s="23" t="s">
        <v>309</v>
      </c>
      <c r="D936" t="s">
        <v>232</v>
      </c>
      <c r="E936" t="s">
        <v>233</v>
      </c>
      <c r="M936" s="19">
        <v>45543</v>
      </c>
      <c r="N936" s="20"/>
      <c r="O936" s="20"/>
    </row>
    <row r="937" ht="15" customHeight="1">
      <c r="A937" t="s">
        <v>2143</v>
      </c>
      <c r="B937" t="s">
        <v>2144</v>
      </c>
      <c r="C937" s="21" t="s">
        <v>227</v>
      </c>
      <c r="D937" t="s">
        <v>232</v>
      </c>
      <c r="E937" t="s">
        <v>233</v>
      </c>
      <c r="H937">
        <v>23</v>
      </c>
      <c r="M937" s="19">
        <v>45543</v>
      </c>
      <c r="N937" s="20"/>
      <c r="O937" s="20"/>
    </row>
    <row r="938" ht="15" customHeight="1">
      <c r="A938" t="s">
        <v>2145</v>
      </c>
      <c r="B938" t="s">
        <v>2146</v>
      </c>
      <c r="C938" s="21" t="s">
        <v>227</v>
      </c>
      <c r="D938" t="s">
        <v>232</v>
      </c>
      <c r="E938" t="s">
        <v>233</v>
      </c>
      <c r="M938" s="19">
        <v>45543</v>
      </c>
      <c r="N938" s="19">
        <v>45473</v>
      </c>
      <c r="O938" s="20"/>
    </row>
    <row r="939" ht="15" customHeight="1">
      <c r="A939" t="s">
        <v>2147</v>
      </c>
      <c r="B939" t="s">
        <v>2148</v>
      </c>
      <c r="C939" s="21" t="s">
        <v>227</v>
      </c>
      <c r="D939" t="s">
        <v>232</v>
      </c>
      <c r="E939" t="s">
        <v>233</v>
      </c>
      <c r="K939" t="s">
        <v>2149</v>
      </c>
      <c r="M939" s="19">
        <v>45543</v>
      </c>
      <c r="N939" s="20"/>
      <c r="O939" s="20"/>
    </row>
    <row r="940" ht="15" customHeight="1">
      <c r="A940" t="s">
        <v>2150</v>
      </c>
      <c r="B940" t="s">
        <v>2116</v>
      </c>
      <c r="C940" s="21" t="s">
        <v>227</v>
      </c>
      <c r="D940" t="s">
        <v>232</v>
      </c>
      <c r="E940" t="s">
        <v>233</v>
      </c>
      <c r="M940" s="19">
        <v>45543</v>
      </c>
      <c r="N940" s="20"/>
      <c r="O940" s="20"/>
    </row>
    <row r="941" ht="15" customHeight="1">
      <c r="A941" t="s">
        <v>2151</v>
      </c>
      <c r="B941" t="s">
        <v>2152</v>
      </c>
      <c r="C941" s="21" t="s">
        <v>227</v>
      </c>
      <c r="D941" t="s">
        <v>232</v>
      </c>
      <c r="E941" t="s">
        <v>233</v>
      </c>
      <c r="M941" s="19">
        <v>45543</v>
      </c>
      <c r="N941" s="20"/>
      <c r="O941" s="20"/>
    </row>
    <row r="942" ht="15" customHeight="1">
      <c r="A942" t="s">
        <v>2153</v>
      </c>
      <c r="B942" t="s">
        <v>2154</v>
      </c>
      <c r="C942" s="23" t="s">
        <v>309</v>
      </c>
      <c r="D942" t="s">
        <v>232</v>
      </c>
      <c r="E942" t="s">
        <v>233</v>
      </c>
      <c r="M942" s="19">
        <v>45543</v>
      </c>
      <c r="N942" s="20"/>
      <c r="O942" s="20"/>
    </row>
    <row r="943" ht="15" customHeight="1">
      <c r="A943" t="s">
        <v>2155</v>
      </c>
      <c r="B943" t="s">
        <v>2156</v>
      </c>
      <c r="C943" s="21" t="s">
        <v>227</v>
      </c>
      <c r="D943" t="s">
        <v>232</v>
      </c>
      <c r="E943" t="s">
        <v>233</v>
      </c>
      <c r="G943" t="s">
        <v>844</v>
      </c>
      <c r="M943" s="19">
        <v>45543</v>
      </c>
      <c r="N943" s="19">
        <v>45267</v>
      </c>
      <c r="O943" s="20"/>
    </row>
    <row r="944" ht="15" customHeight="1">
      <c r="A944" t="s">
        <v>2157</v>
      </c>
      <c r="B944" t="s">
        <v>2158</v>
      </c>
      <c r="C944" s="22" t="s">
        <v>55</v>
      </c>
      <c r="D944" t="s">
        <v>232</v>
      </c>
      <c r="E944" t="s">
        <v>233</v>
      </c>
      <c r="M944" s="19">
        <v>45543</v>
      </c>
      <c r="N944" s="20"/>
      <c r="O944" s="20"/>
    </row>
    <row r="945" ht="15" customHeight="1">
      <c r="A945" t="s">
        <v>2159</v>
      </c>
      <c r="B945" t="s">
        <v>2160</v>
      </c>
      <c r="C945" s="21" t="s">
        <v>227</v>
      </c>
      <c r="D945" t="s">
        <v>232</v>
      </c>
      <c r="E945" t="s">
        <v>233</v>
      </c>
      <c r="K945" t="s">
        <v>815</v>
      </c>
      <c r="M945" s="19">
        <v>45543</v>
      </c>
      <c r="N945" s="20"/>
      <c r="O945" s="20"/>
    </row>
    <row r="946" ht="15" customHeight="1">
      <c r="A946" t="s">
        <v>2161</v>
      </c>
      <c r="B946" t="s">
        <v>2162</v>
      </c>
      <c r="C946" s="22" t="s">
        <v>55</v>
      </c>
      <c r="D946" t="s">
        <v>232</v>
      </c>
      <c r="E946" t="s">
        <v>233</v>
      </c>
      <c r="M946" s="19">
        <v>45543</v>
      </c>
      <c r="N946" s="20"/>
      <c r="O946" s="20"/>
    </row>
    <row r="947" ht="15" customHeight="1">
      <c r="A947" t="s">
        <v>2163</v>
      </c>
      <c r="B947" t="s">
        <v>2164</v>
      </c>
      <c r="C947" s="22" t="s">
        <v>55</v>
      </c>
      <c r="D947" t="s">
        <v>228</v>
      </c>
      <c r="E947" t="s">
        <v>229</v>
      </c>
      <c r="H947">
        <v>0</v>
      </c>
      <c r="K947" t="s">
        <v>2136</v>
      </c>
      <c r="M947" s="19">
        <v>45543</v>
      </c>
      <c r="N947" s="20"/>
      <c r="O947" s="20"/>
    </row>
    <row r="948" ht="15" customHeight="1">
      <c r="A948" t="s">
        <v>2165</v>
      </c>
      <c r="B948" t="s">
        <v>2166</v>
      </c>
      <c r="C948" s="22" t="s">
        <v>55</v>
      </c>
      <c r="D948" t="s">
        <v>228</v>
      </c>
      <c r="E948" t="s">
        <v>229</v>
      </c>
      <c r="H948">
        <v>42</v>
      </c>
      <c r="K948" t="s">
        <v>2136</v>
      </c>
      <c r="M948" s="19">
        <v>45543</v>
      </c>
      <c r="N948" s="20"/>
      <c r="O948" s="20"/>
    </row>
    <row r="949" ht="15" customHeight="1">
      <c r="A949" t="s">
        <v>2167</v>
      </c>
      <c r="B949" t="s">
        <v>2168</v>
      </c>
      <c r="C949" s="22" t="s">
        <v>55</v>
      </c>
      <c r="D949" t="s">
        <v>228</v>
      </c>
      <c r="E949" t="s">
        <v>229</v>
      </c>
      <c r="H949">
        <v>23</v>
      </c>
      <c r="M949" s="19">
        <v>45543</v>
      </c>
      <c r="N949" s="19">
        <v>45016</v>
      </c>
      <c r="O949" s="20"/>
    </row>
    <row r="950" ht="15" customHeight="1">
      <c r="A950" t="s">
        <v>2169</v>
      </c>
      <c r="B950" t="s">
        <v>2170</v>
      </c>
      <c r="C950" s="22" t="s">
        <v>55</v>
      </c>
      <c r="D950" t="s">
        <v>228</v>
      </c>
      <c r="E950" t="s">
        <v>229</v>
      </c>
      <c r="M950" s="19">
        <v>45543</v>
      </c>
      <c r="N950" s="20"/>
      <c r="O950" s="20"/>
    </row>
    <row r="951" ht="15" customHeight="1">
      <c r="A951" t="s">
        <v>2171</v>
      </c>
      <c r="B951" t="s">
        <v>2172</v>
      </c>
      <c r="C951" s="22" t="s">
        <v>55</v>
      </c>
      <c r="D951" t="s">
        <v>228</v>
      </c>
      <c r="E951" t="s">
        <v>229</v>
      </c>
      <c r="H951">
        <v>61</v>
      </c>
      <c r="K951" t="s">
        <v>2136</v>
      </c>
      <c r="M951" s="19">
        <v>45543</v>
      </c>
      <c r="N951" s="20"/>
      <c r="O951" s="20"/>
    </row>
    <row r="952" ht="15" customHeight="1">
      <c r="A952" t="s">
        <v>2173</v>
      </c>
      <c r="B952" t="s">
        <v>2174</v>
      </c>
      <c r="C952" s="21" t="s">
        <v>227</v>
      </c>
      <c r="D952" t="s">
        <v>228</v>
      </c>
      <c r="E952" t="s">
        <v>229</v>
      </c>
      <c r="G952" t="s">
        <v>1053</v>
      </c>
      <c r="M952" s="19">
        <v>45543</v>
      </c>
      <c r="N952" s="20"/>
      <c r="O952" s="20"/>
    </row>
    <row r="953" ht="15" customHeight="1">
      <c r="A953" t="s">
        <v>2175</v>
      </c>
      <c r="B953" t="s">
        <v>2176</v>
      </c>
      <c r="C953" s="22" t="s">
        <v>55</v>
      </c>
      <c r="D953" t="s">
        <v>228</v>
      </c>
      <c r="E953" t="s">
        <v>229</v>
      </c>
      <c r="H953">
        <v>76</v>
      </c>
      <c r="M953" s="19">
        <v>45543</v>
      </c>
      <c r="N953" s="20"/>
      <c r="O953" s="20"/>
    </row>
    <row r="954" ht="15" customHeight="1">
      <c r="A954" t="s">
        <v>2177</v>
      </c>
      <c r="B954" t="s">
        <v>2178</v>
      </c>
      <c r="C954" s="23" t="s">
        <v>309</v>
      </c>
      <c r="D954" t="s">
        <v>228</v>
      </c>
      <c r="E954" t="s">
        <v>229</v>
      </c>
      <c r="M954" s="19">
        <v>45543</v>
      </c>
      <c r="N954" s="20"/>
      <c r="O954" s="20"/>
    </row>
    <row r="955" ht="15" customHeight="1">
      <c r="A955" t="s">
        <v>2179</v>
      </c>
      <c r="B955" t="s">
        <v>2180</v>
      </c>
      <c r="C955" s="21" t="s">
        <v>227</v>
      </c>
      <c r="D955" t="s">
        <v>228</v>
      </c>
      <c r="E955" t="s">
        <v>229</v>
      </c>
      <c r="K955" t="s">
        <v>2149</v>
      </c>
      <c r="M955" s="19">
        <v>45543</v>
      </c>
      <c r="N955" s="20"/>
      <c r="O955" s="20"/>
    </row>
    <row r="956" ht="15" customHeight="1">
      <c r="A956" t="s">
        <v>2181</v>
      </c>
      <c r="B956" t="s">
        <v>2182</v>
      </c>
      <c r="C956" s="23" t="s">
        <v>309</v>
      </c>
      <c r="D956" t="s">
        <v>228</v>
      </c>
      <c r="E956" t="s">
        <v>229</v>
      </c>
      <c r="M956" s="19">
        <v>45543</v>
      </c>
      <c r="N956" s="20"/>
      <c r="O956" s="20"/>
    </row>
    <row r="957" ht="15" customHeight="1">
      <c r="A957" t="s">
        <v>2183</v>
      </c>
      <c r="B957" t="s">
        <v>2184</v>
      </c>
      <c r="C957" s="22" t="s">
        <v>55</v>
      </c>
      <c r="D957" t="s">
        <v>228</v>
      </c>
      <c r="E957" t="s">
        <v>229</v>
      </c>
      <c r="H957">
        <v>0</v>
      </c>
      <c r="M957" s="19">
        <v>45543</v>
      </c>
      <c r="N957" s="20"/>
      <c r="O957" s="20"/>
    </row>
    <row r="958" ht="15" customHeight="1">
      <c r="A958" t="s">
        <v>2185</v>
      </c>
      <c r="B958" t="s">
        <v>2186</v>
      </c>
      <c r="C958" s="22" t="s">
        <v>55</v>
      </c>
      <c r="D958" t="s">
        <v>228</v>
      </c>
      <c r="E958" t="s">
        <v>229</v>
      </c>
      <c r="M958" s="19">
        <v>45543</v>
      </c>
      <c r="N958" s="20"/>
      <c r="O958" s="20"/>
    </row>
    <row r="959" ht="15" customHeight="1">
      <c r="A959" t="s">
        <v>2187</v>
      </c>
      <c r="B959" t="s">
        <v>2188</v>
      </c>
      <c r="C959" s="22" t="s">
        <v>55</v>
      </c>
      <c r="D959" t="s">
        <v>228</v>
      </c>
      <c r="E959" t="s">
        <v>229</v>
      </c>
      <c r="M959" s="19">
        <v>45543</v>
      </c>
      <c r="N959" s="20"/>
      <c r="O959" s="20"/>
    </row>
    <row r="960" ht="15" customHeight="1">
      <c r="A960" t="s">
        <v>2189</v>
      </c>
      <c r="B960" t="s">
        <v>2190</v>
      </c>
      <c r="C960" s="25" t="s">
        <v>1627</v>
      </c>
      <c r="D960" t="s">
        <v>223</v>
      </c>
      <c r="E960" t="s">
        <v>224</v>
      </c>
      <c r="L960" t="s">
        <v>2087</v>
      </c>
      <c r="M960" s="19">
        <v>45540</v>
      </c>
      <c r="N960" s="19">
        <v>45596</v>
      </c>
      <c r="O960" s="20"/>
    </row>
    <row r="961" ht="15" customHeight="1">
      <c r="A961" t="s">
        <v>2191</v>
      </c>
      <c r="B961" t="s">
        <v>2192</v>
      </c>
      <c r="C961" s="25" t="s">
        <v>1627</v>
      </c>
      <c r="D961" t="s">
        <v>223</v>
      </c>
      <c r="E961" t="s">
        <v>224</v>
      </c>
      <c r="L961" t="s">
        <v>1540</v>
      </c>
      <c r="M961" s="19">
        <v>45540</v>
      </c>
      <c r="N961" s="19">
        <v>45583</v>
      </c>
      <c r="O961" s="20"/>
    </row>
    <row r="962" ht="15" customHeight="1">
      <c r="A962" t="s">
        <v>2193</v>
      </c>
      <c r="B962" t="s">
        <v>2194</v>
      </c>
      <c r="C962" s="25" t="s">
        <v>1627</v>
      </c>
      <c r="D962" t="s">
        <v>223</v>
      </c>
      <c r="E962" t="s">
        <v>224</v>
      </c>
      <c r="K962" t="s">
        <v>1132</v>
      </c>
      <c r="M962" s="19">
        <v>45540</v>
      </c>
      <c r="N962" s="19">
        <v>45562</v>
      </c>
      <c r="O962" s="20"/>
    </row>
    <row r="963" ht="15" customHeight="1">
      <c r="A963" t="s">
        <v>2195</v>
      </c>
      <c r="B963" t="s">
        <v>2196</v>
      </c>
      <c r="C963" s="25" t="s">
        <v>1627</v>
      </c>
      <c r="D963" t="s">
        <v>223</v>
      </c>
      <c r="E963" t="s">
        <v>224</v>
      </c>
      <c r="K963" t="s">
        <v>1132</v>
      </c>
      <c r="L963" t="s">
        <v>2197</v>
      </c>
      <c r="M963" s="19">
        <v>45540</v>
      </c>
      <c r="N963" s="19">
        <v>45562</v>
      </c>
      <c r="O963" s="20"/>
    </row>
    <row r="964" ht="15" customHeight="1">
      <c r="A964" t="s">
        <v>2198</v>
      </c>
      <c r="B964" t="s">
        <v>2199</v>
      </c>
      <c r="C964" s="25" t="s">
        <v>1627</v>
      </c>
      <c r="D964" t="s">
        <v>223</v>
      </c>
      <c r="E964" t="s">
        <v>224</v>
      </c>
      <c r="K964" t="s">
        <v>1132</v>
      </c>
      <c r="L964" t="s">
        <v>2197</v>
      </c>
      <c r="M964" s="19">
        <v>45540</v>
      </c>
      <c r="N964" s="19">
        <v>45548</v>
      </c>
      <c r="O964" s="20"/>
    </row>
    <row r="965" ht="15" customHeight="1">
      <c r="A965" t="s">
        <v>2200</v>
      </c>
      <c r="B965" t="s">
        <v>2201</v>
      </c>
      <c r="C965" t="s">
        <v>1470</v>
      </c>
      <c r="D965" t="s">
        <v>232</v>
      </c>
      <c r="E965" t="s">
        <v>233</v>
      </c>
      <c r="H965">
        <v>3</v>
      </c>
      <c r="M965" s="19">
        <v>45540</v>
      </c>
      <c r="N965" s="20"/>
      <c r="O965" s="20"/>
    </row>
    <row r="966" ht="15" customHeight="1">
      <c r="A966" t="s">
        <v>2202</v>
      </c>
      <c r="B966" t="s">
        <v>2203</v>
      </c>
      <c r="C966" t="s">
        <v>1470</v>
      </c>
      <c r="D966" t="s">
        <v>232</v>
      </c>
      <c r="E966" t="s">
        <v>233</v>
      </c>
      <c r="M966" s="19">
        <v>45540</v>
      </c>
      <c r="N966" s="20"/>
      <c r="O966" s="20"/>
    </row>
    <row r="967" ht="15" customHeight="1">
      <c r="A967" t="s">
        <v>2204</v>
      </c>
      <c r="B967" t="s">
        <v>2205</v>
      </c>
      <c r="C967" s="23" t="s">
        <v>309</v>
      </c>
      <c r="D967" t="s">
        <v>232</v>
      </c>
      <c r="E967" t="s">
        <v>233</v>
      </c>
      <c r="H967">
        <v>3</v>
      </c>
      <c r="K967" t="s">
        <v>802</v>
      </c>
      <c r="L967" t="s">
        <v>2206</v>
      </c>
      <c r="M967" s="19">
        <v>45539</v>
      </c>
      <c r="N967" s="20"/>
      <c r="O967" s="20"/>
    </row>
    <row r="968" ht="15" customHeight="1">
      <c r="A968" t="s">
        <v>2207</v>
      </c>
      <c r="B968" t="s">
        <v>2208</v>
      </c>
      <c r="C968" s="21" t="s">
        <v>227</v>
      </c>
      <c r="D968" t="s">
        <v>813</v>
      </c>
      <c r="E968" t="s">
        <v>814</v>
      </c>
      <c r="H968">
        <v>1</v>
      </c>
      <c r="L968" t="s">
        <v>1634</v>
      </c>
      <c r="M968" s="19">
        <v>45538</v>
      </c>
      <c r="N968" s="20"/>
      <c r="O968" s="20"/>
    </row>
    <row r="969" ht="15" customHeight="1">
      <c r="A969" t="s">
        <v>2209</v>
      </c>
      <c r="B969" t="s">
        <v>2210</v>
      </c>
      <c r="C969" s="23" t="s">
        <v>309</v>
      </c>
      <c r="D969" t="s">
        <v>813</v>
      </c>
      <c r="E969" t="s">
        <v>814</v>
      </c>
      <c r="H969">
        <v>1</v>
      </c>
      <c r="M969" s="19">
        <v>45538</v>
      </c>
      <c r="N969" s="20"/>
      <c r="O969" s="20"/>
    </row>
    <row r="970" ht="15" customHeight="1">
      <c r="A970" t="s">
        <v>2211</v>
      </c>
      <c r="B970" t="s">
        <v>2212</v>
      </c>
      <c r="C970" t="s">
        <v>1470</v>
      </c>
      <c r="D970" t="s">
        <v>232</v>
      </c>
      <c r="E970" t="s">
        <v>233</v>
      </c>
      <c r="H970">
        <v>3</v>
      </c>
      <c r="M970" s="19">
        <v>45532</v>
      </c>
      <c r="N970" s="20"/>
      <c r="O970" s="20"/>
    </row>
    <row r="971" ht="15" customHeight="1">
      <c r="A971" t="s">
        <v>2213</v>
      </c>
      <c r="B971" t="s">
        <v>2214</v>
      </c>
      <c r="C971" s="23" t="s">
        <v>309</v>
      </c>
      <c r="D971" t="s">
        <v>250</v>
      </c>
      <c r="E971" t="s">
        <v>251</v>
      </c>
      <c r="H971">
        <v>8</v>
      </c>
      <c r="M971" s="19">
        <v>45531</v>
      </c>
      <c r="N971" s="20"/>
      <c r="O971" s="20"/>
    </row>
    <row r="972" ht="15" customHeight="1">
      <c r="A972" t="s">
        <v>2215</v>
      </c>
      <c r="B972" t="s">
        <v>2216</v>
      </c>
      <c r="C972" s="21" t="s">
        <v>227</v>
      </c>
      <c r="D972" t="s">
        <v>228</v>
      </c>
      <c r="E972" t="s">
        <v>229</v>
      </c>
      <c r="M972" s="19">
        <v>45530</v>
      </c>
      <c r="N972" s="20"/>
      <c r="O972" s="20"/>
    </row>
    <row r="973" ht="15" customHeight="1">
      <c r="A973" t="s">
        <v>2217</v>
      </c>
      <c r="B973" t="s">
        <v>2218</v>
      </c>
      <c r="C973" t="s">
        <v>1470</v>
      </c>
      <c r="D973" t="s">
        <v>228</v>
      </c>
      <c r="E973" t="s">
        <v>229</v>
      </c>
      <c r="M973" s="19">
        <v>45530</v>
      </c>
      <c r="N973" s="20"/>
      <c r="O973" s="20"/>
    </row>
    <row r="974" ht="15" customHeight="1">
      <c r="A974" t="s">
        <v>2219</v>
      </c>
      <c r="B974" t="s">
        <v>2220</v>
      </c>
      <c r="C974" t="s">
        <v>1470</v>
      </c>
      <c r="D974" t="s">
        <v>228</v>
      </c>
      <c r="E974" t="s">
        <v>229</v>
      </c>
      <c r="M974" s="19">
        <v>45530</v>
      </c>
      <c r="N974" s="20"/>
      <c r="O974" s="20"/>
    </row>
    <row r="975" ht="15" customHeight="1">
      <c r="A975" t="s">
        <v>2221</v>
      </c>
      <c r="B975" t="s">
        <v>2222</v>
      </c>
      <c r="C975" t="s">
        <v>1470</v>
      </c>
      <c r="D975" t="s">
        <v>228</v>
      </c>
      <c r="E975" t="s">
        <v>229</v>
      </c>
      <c r="M975" s="19">
        <v>45530</v>
      </c>
      <c r="N975" s="20"/>
      <c r="O975" s="20"/>
    </row>
    <row r="976" ht="15" customHeight="1">
      <c r="A976" t="s">
        <v>2223</v>
      </c>
      <c r="B976" t="s">
        <v>2224</v>
      </c>
      <c r="C976" t="s">
        <v>1470</v>
      </c>
      <c r="D976" t="s">
        <v>228</v>
      </c>
      <c r="E976" t="s">
        <v>229</v>
      </c>
      <c r="M976" s="19">
        <v>45530</v>
      </c>
      <c r="N976" s="20"/>
      <c r="O976" s="20"/>
    </row>
    <row r="977" ht="15" customHeight="1">
      <c r="A977" t="s">
        <v>2225</v>
      </c>
      <c r="B977" t="s">
        <v>2226</v>
      </c>
      <c r="C977" s="23" t="s">
        <v>309</v>
      </c>
      <c r="D977" t="s">
        <v>250</v>
      </c>
      <c r="E977" t="s">
        <v>251</v>
      </c>
      <c r="L977" t="s">
        <v>2013</v>
      </c>
      <c r="M977" s="19">
        <v>45527</v>
      </c>
      <c r="N977" s="20"/>
      <c r="O977" s="20"/>
    </row>
    <row r="978" ht="15" customHeight="1">
      <c r="A978" t="s">
        <v>2227</v>
      </c>
      <c r="B978" t="s">
        <v>2228</v>
      </c>
      <c r="C978" t="s">
        <v>1470</v>
      </c>
      <c r="D978" t="s">
        <v>232</v>
      </c>
      <c r="E978" t="s">
        <v>233</v>
      </c>
      <c r="K978" t="s">
        <v>802</v>
      </c>
      <c r="M978" s="19">
        <v>45524</v>
      </c>
      <c r="N978" s="20"/>
      <c r="O978" s="20"/>
    </row>
    <row r="979" ht="15" customHeight="1">
      <c r="A979" t="s">
        <v>2229</v>
      </c>
      <c r="B979" t="s">
        <v>2230</v>
      </c>
      <c r="C979" s="21" t="s">
        <v>227</v>
      </c>
      <c r="D979" t="s">
        <v>813</v>
      </c>
      <c r="E979" t="s">
        <v>814</v>
      </c>
      <c r="H979">
        <v>5</v>
      </c>
      <c r="L979" t="s">
        <v>1634</v>
      </c>
      <c r="M979" s="19">
        <v>45524</v>
      </c>
      <c r="N979" s="20"/>
      <c r="O979" s="20"/>
    </row>
    <row r="980" ht="15" customHeight="1">
      <c r="A980" t="s">
        <v>2231</v>
      </c>
      <c r="B980" t="s">
        <v>2232</v>
      </c>
      <c r="C980" s="21" t="s">
        <v>227</v>
      </c>
      <c r="D980" t="s">
        <v>232</v>
      </c>
      <c r="E980" t="s">
        <v>233</v>
      </c>
      <c r="H980">
        <v>3</v>
      </c>
      <c r="L980" t="s">
        <v>2233</v>
      </c>
      <c r="M980" s="19">
        <v>45519</v>
      </c>
      <c r="N980" s="20"/>
      <c r="O980" s="20"/>
    </row>
    <row r="981" ht="15" customHeight="1">
      <c r="A981" t="s">
        <v>2234</v>
      </c>
      <c r="B981" t="s">
        <v>2235</v>
      </c>
      <c r="C981" t="s">
        <v>1470</v>
      </c>
      <c r="D981" t="s">
        <v>232</v>
      </c>
      <c r="E981" t="s">
        <v>233</v>
      </c>
      <c r="M981" s="19">
        <v>45512</v>
      </c>
      <c r="N981" s="20"/>
      <c r="O981" s="20"/>
    </row>
    <row r="982" ht="15" customHeight="1">
      <c r="A982" t="s">
        <v>2236</v>
      </c>
      <c r="B982" t="s">
        <v>2237</v>
      </c>
      <c r="C982" t="s">
        <v>1470</v>
      </c>
      <c r="D982" t="s">
        <v>232</v>
      </c>
      <c r="E982" t="s">
        <v>233</v>
      </c>
      <c r="H982">
        <v>5</v>
      </c>
      <c r="M982" s="19">
        <v>45512</v>
      </c>
      <c r="N982" s="20"/>
      <c r="O982" s="20"/>
    </row>
    <row r="983" ht="15" customHeight="1">
      <c r="A983" t="s">
        <v>2238</v>
      </c>
      <c r="B983" t="s">
        <v>2239</v>
      </c>
      <c r="C983" t="s">
        <v>1470</v>
      </c>
      <c r="D983" t="s">
        <v>232</v>
      </c>
      <c r="E983" t="s">
        <v>233</v>
      </c>
      <c r="H983">
        <v>5</v>
      </c>
      <c r="M983" s="19">
        <v>45511</v>
      </c>
      <c r="N983" s="20"/>
      <c r="O983" s="20"/>
    </row>
    <row r="984" ht="15" customHeight="1">
      <c r="A984" t="s">
        <v>2240</v>
      </c>
      <c r="B984" t="s">
        <v>2241</v>
      </c>
      <c r="C984" s="21" t="s">
        <v>227</v>
      </c>
      <c r="D984" t="s">
        <v>813</v>
      </c>
      <c r="E984" t="s">
        <v>814</v>
      </c>
      <c r="H984">
        <v>3</v>
      </c>
      <c r="L984" t="s">
        <v>2233</v>
      </c>
      <c r="M984" s="19">
        <v>45511</v>
      </c>
      <c r="N984" s="19">
        <v>45526</v>
      </c>
      <c r="O984" s="20"/>
    </row>
    <row r="985" ht="15" customHeight="1">
      <c r="A985" t="s">
        <v>2242</v>
      </c>
      <c r="B985" t="s">
        <v>2243</v>
      </c>
      <c r="C985" t="s">
        <v>1470</v>
      </c>
      <c r="D985" t="s">
        <v>232</v>
      </c>
      <c r="E985" t="s">
        <v>233</v>
      </c>
      <c r="H985">
        <v>3</v>
      </c>
      <c r="L985" t="s">
        <v>2233</v>
      </c>
      <c r="M985" s="19">
        <v>45511</v>
      </c>
      <c r="N985" s="20"/>
      <c r="O985" s="20"/>
    </row>
    <row r="986" ht="15" customHeight="1">
      <c r="A986" t="s">
        <v>2244</v>
      </c>
      <c r="B986" t="s">
        <v>2245</v>
      </c>
      <c r="C986" s="23" t="s">
        <v>309</v>
      </c>
      <c r="D986" t="s">
        <v>250</v>
      </c>
      <c r="E986" t="s">
        <v>251</v>
      </c>
      <c r="H986">
        <v>5</v>
      </c>
      <c r="K986" t="s">
        <v>1135</v>
      </c>
      <c r="L986" t="s">
        <v>2246</v>
      </c>
      <c r="M986" s="19">
        <v>45511</v>
      </c>
      <c r="N986" s="20"/>
      <c r="O986" s="20"/>
    </row>
    <row r="987" ht="15" customHeight="1">
      <c r="A987" t="s">
        <v>2247</v>
      </c>
      <c r="B987" t="s">
        <v>2248</v>
      </c>
      <c r="C987" s="23" t="s">
        <v>309</v>
      </c>
      <c r="D987" t="s">
        <v>228</v>
      </c>
      <c r="E987" t="s">
        <v>229</v>
      </c>
      <c r="H987">
        <v>3</v>
      </c>
      <c r="K987" t="s">
        <v>994</v>
      </c>
      <c r="M987" s="19">
        <v>45510</v>
      </c>
      <c r="N987" s="19">
        <v>45568</v>
      </c>
      <c r="O987" s="20"/>
    </row>
    <row r="988" ht="15" customHeight="1">
      <c r="A988" t="s">
        <v>2249</v>
      </c>
      <c r="B988" t="s">
        <v>2250</v>
      </c>
      <c r="C988" t="s">
        <v>1470</v>
      </c>
      <c r="D988" t="s">
        <v>232</v>
      </c>
      <c r="E988" t="s">
        <v>233</v>
      </c>
      <c r="H988">
        <v>2</v>
      </c>
      <c r="L988" t="s">
        <v>2233</v>
      </c>
      <c r="M988" s="19">
        <v>45510</v>
      </c>
      <c r="N988" s="20"/>
      <c r="O988" s="20"/>
    </row>
    <row r="989" ht="15" customHeight="1">
      <c r="A989" t="s">
        <v>2251</v>
      </c>
      <c r="B989" t="s">
        <v>2252</v>
      </c>
      <c r="C989" s="23" t="s">
        <v>309</v>
      </c>
      <c r="D989" t="s">
        <v>232</v>
      </c>
      <c r="E989" t="s">
        <v>233</v>
      </c>
      <c r="H989">
        <v>3</v>
      </c>
      <c r="K989" t="s">
        <v>866</v>
      </c>
      <c r="L989" t="s">
        <v>2206</v>
      </c>
      <c r="M989" s="19">
        <v>45509</v>
      </c>
      <c r="N989" s="19">
        <v>45554</v>
      </c>
      <c r="O989" s="20"/>
    </row>
    <row r="990" ht="15" customHeight="1">
      <c r="A990" t="s">
        <v>2253</v>
      </c>
      <c r="B990" t="s">
        <v>2254</v>
      </c>
      <c r="C990" s="21" t="s">
        <v>227</v>
      </c>
      <c r="D990" t="s">
        <v>250</v>
      </c>
      <c r="E990" t="s">
        <v>251</v>
      </c>
      <c r="M990" s="19">
        <v>45504</v>
      </c>
      <c r="N990" s="20"/>
      <c r="O990" s="20"/>
    </row>
    <row r="991" ht="15" customHeight="1">
      <c r="A991" t="s">
        <v>2255</v>
      </c>
      <c r="B991" t="s">
        <v>2256</v>
      </c>
      <c r="C991" s="23" t="s">
        <v>309</v>
      </c>
      <c r="D991" t="s">
        <v>250</v>
      </c>
      <c r="E991" t="s">
        <v>251</v>
      </c>
      <c r="H991">
        <v>3</v>
      </c>
      <c r="L991" t="s">
        <v>2257</v>
      </c>
      <c r="M991" s="19">
        <v>45504</v>
      </c>
      <c r="N991" s="20"/>
      <c r="O991" s="20"/>
    </row>
    <row r="992" ht="15" customHeight="1">
      <c r="A992" t="s">
        <v>2258</v>
      </c>
      <c r="B992" t="s">
        <v>2259</v>
      </c>
      <c r="C992" s="23" t="s">
        <v>309</v>
      </c>
      <c r="D992" t="s">
        <v>250</v>
      </c>
      <c r="E992" t="s">
        <v>251</v>
      </c>
      <c r="M992" s="19">
        <v>45504</v>
      </c>
      <c r="N992" s="20"/>
      <c r="O992" s="20"/>
    </row>
    <row r="993" ht="15" customHeight="1">
      <c r="A993" t="s">
        <v>2260</v>
      </c>
      <c r="B993" t="s">
        <v>2261</v>
      </c>
      <c r="C993" s="21" t="s">
        <v>227</v>
      </c>
      <c r="D993" t="s">
        <v>250</v>
      </c>
      <c r="E993" t="s">
        <v>251</v>
      </c>
      <c r="M993" s="19">
        <v>45503</v>
      </c>
      <c r="N993" s="20"/>
      <c r="O993" s="20"/>
    </row>
    <row r="994" ht="15" customHeight="1">
      <c r="A994" t="s">
        <v>2262</v>
      </c>
      <c r="B994" t="s">
        <v>2263</v>
      </c>
      <c r="C994" t="s">
        <v>1470</v>
      </c>
      <c r="D994" t="s">
        <v>232</v>
      </c>
      <c r="E994" t="s">
        <v>233</v>
      </c>
      <c r="H994">
        <v>3</v>
      </c>
      <c r="K994" t="s">
        <v>859</v>
      </c>
      <c r="M994" s="19">
        <v>45503</v>
      </c>
      <c r="N994" s="20"/>
      <c r="O994" s="20"/>
    </row>
    <row r="995" ht="15" customHeight="1">
      <c r="A995" t="s">
        <v>2264</v>
      </c>
      <c r="B995" t="s">
        <v>2265</v>
      </c>
      <c r="C995" s="21" t="s">
        <v>227</v>
      </c>
      <c r="D995" t="s">
        <v>250</v>
      </c>
      <c r="E995" t="s">
        <v>251</v>
      </c>
      <c r="M995" s="19">
        <v>45502</v>
      </c>
      <c r="N995" s="20"/>
      <c r="O995" s="20"/>
    </row>
    <row r="996" ht="15" customHeight="1">
      <c r="A996" t="s">
        <v>2266</v>
      </c>
      <c r="B996" t="s">
        <v>2267</v>
      </c>
      <c r="C996" s="21" t="s">
        <v>227</v>
      </c>
      <c r="D996" t="s">
        <v>250</v>
      </c>
      <c r="E996" t="s">
        <v>251</v>
      </c>
      <c r="M996" s="19">
        <v>45502</v>
      </c>
      <c r="N996" s="20"/>
      <c r="O996" s="20"/>
    </row>
    <row r="997" ht="15" customHeight="1">
      <c r="A997" t="s">
        <v>2268</v>
      </c>
      <c r="B997" t="s">
        <v>2269</v>
      </c>
      <c r="C997" s="21" t="s">
        <v>227</v>
      </c>
      <c r="D997" t="s">
        <v>250</v>
      </c>
      <c r="E997" t="s">
        <v>251</v>
      </c>
      <c r="M997" s="19">
        <v>45502</v>
      </c>
      <c r="N997" s="20"/>
      <c r="O997" s="20"/>
    </row>
    <row r="998" ht="15" customHeight="1">
      <c r="A998" t="s">
        <v>2270</v>
      </c>
      <c r="B998" t="s">
        <v>2271</v>
      </c>
      <c r="C998" s="21" t="s">
        <v>227</v>
      </c>
      <c r="D998" t="s">
        <v>250</v>
      </c>
      <c r="E998" t="s">
        <v>251</v>
      </c>
      <c r="M998" s="19">
        <v>45502</v>
      </c>
      <c r="N998" s="20"/>
      <c r="O998" s="20"/>
    </row>
    <row r="999" ht="15" customHeight="1">
      <c r="A999" t="s">
        <v>2272</v>
      </c>
      <c r="B999" t="s">
        <v>2273</v>
      </c>
      <c r="C999" s="21" t="s">
        <v>227</v>
      </c>
      <c r="D999" t="s">
        <v>250</v>
      </c>
      <c r="E999" t="s">
        <v>251</v>
      </c>
      <c r="M999" s="19">
        <v>45502</v>
      </c>
      <c r="N999" s="20"/>
      <c r="O999" s="20"/>
    </row>
    <row r="1000" ht="15" customHeight="1">
      <c r="A1000" t="s">
        <v>2274</v>
      </c>
      <c r="B1000" t="s">
        <v>2275</v>
      </c>
      <c r="C1000" s="21" t="s">
        <v>227</v>
      </c>
      <c r="D1000" t="s">
        <v>250</v>
      </c>
      <c r="E1000" t="s">
        <v>251</v>
      </c>
      <c r="M1000" s="19">
        <v>45502</v>
      </c>
      <c r="N1000" s="20"/>
      <c r="O1000" s="20"/>
    </row>
    <row r="1001" ht="15" customHeight="1">
      <c r="A1001" t="s">
        <v>2276</v>
      </c>
      <c r="B1001" t="s">
        <v>2277</v>
      </c>
      <c r="C1001" s="23" t="s">
        <v>309</v>
      </c>
      <c r="D1001" t="s">
        <v>250</v>
      </c>
      <c r="E1001" t="s">
        <v>251</v>
      </c>
      <c r="M1001" s="19">
        <v>45502</v>
      </c>
      <c r="N1001" s="20"/>
      <c r="O1001" s="20"/>
    </row>
    <row r="1002" ht="15" customHeight="1">
      <c r="A1002" t="s">
        <v>2278</v>
      </c>
      <c r="B1002" t="s">
        <v>2279</v>
      </c>
      <c r="C1002" s="23" t="s">
        <v>309</v>
      </c>
      <c r="D1002" t="s">
        <v>250</v>
      </c>
      <c r="E1002" t="s">
        <v>251</v>
      </c>
      <c r="M1002" s="19">
        <v>45502</v>
      </c>
      <c r="N1002" s="20"/>
      <c r="O1002" s="20"/>
    </row>
    <row r="1003" ht="15" customHeight="1">
      <c r="A1003" t="s">
        <v>2280</v>
      </c>
      <c r="B1003" t="s">
        <v>2281</v>
      </c>
      <c r="C1003" s="23" t="s">
        <v>309</v>
      </c>
      <c r="D1003" t="s">
        <v>250</v>
      </c>
      <c r="E1003" t="s">
        <v>251</v>
      </c>
      <c r="M1003" s="19">
        <v>45502</v>
      </c>
      <c r="N1003" s="20"/>
      <c r="O1003" s="20"/>
    </row>
    <row r="1004" ht="15" customHeight="1">
      <c r="A1004" t="s">
        <v>2282</v>
      </c>
      <c r="B1004" t="s">
        <v>2283</v>
      </c>
      <c r="C1004" s="23" t="s">
        <v>309</v>
      </c>
      <c r="D1004" t="s">
        <v>250</v>
      </c>
      <c r="E1004" t="s">
        <v>251</v>
      </c>
      <c r="M1004" s="19">
        <v>45502</v>
      </c>
      <c r="N1004" s="20"/>
      <c r="O1004" s="20"/>
    </row>
    <row r="1005" ht="15" customHeight="1">
      <c r="A1005" t="s">
        <v>2284</v>
      </c>
      <c r="B1005" t="s">
        <v>2285</v>
      </c>
      <c r="C1005" s="21" t="s">
        <v>227</v>
      </c>
      <c r="D1005" t="s">
        <v>250</v>
      </c>
      <c r="E1005" t="s">
        <v>251</v>
      </c>
      <c r="M1005" s="19">
        <v>45502</v>
      </c>
      <c r="N1005" s="20"/>
      <c r="O1005" s="20"/>
    </row>
    <row r="1006" ht="15" customHeight="1">
      <c r="A1006" t="s">
        <v>2286</v>
      </c>
      <c r="B1006" t="s">
        <v>2287</v>
      </c>
      <c r="C1006" s="21" t="s">
        <v>227</v>
      </c>
      <c r="D1006" t="s">
        <v>250</v>
      </c>
      <c r="E1006" t="s">
        <v>251</v>
      </c>
      <c r="M1006" s="19">
        <v>45502</v>
      </c>
      <c r="N1006" s="20"/>
      <c r="O1006" s="20"/>
    </row>
    <row r="1007" ht="15" customHeight="1">
      <c r="A1007" t="s">
        <v>2288</v>
      </c>
      <c r="B1007" t="s">
        <v>2289</v>
      </c>
      <c r="C1007" s="21" t="s">
        <v>227</v>
      </c>
      <c r="D1007" t="s">
        <v>250</v>
      </c>
      <c r="E1007" t="s">
        <v>251</v>
      </c>
      <c r="M1007" s="19">
        <v>45502</v>
      </c>
      <c r="N1007" s="20"/>
      <c r="O1007" s="20"/>
    </row>
    <row r="1008" ht="15" customHeight="1">
      <c r="A1008" t="s">
        <v>2290</v>
      </c>
      <c r="B1008" t="s">
        <v>2291</v>
      </c>
      <c r="C1008" t="s">
        <v>1470</v>
      </c>
      <c r="D1008" t="s">
        <v>232</v>
      </c>
      <c r="E1008" t="s">
        <v>233</v>
      </c>
      <c r="H1008">
        <v>3</v>
      </c>
      <c r="M1008" s="19">
        <v>45502</v>
      </c>
      <c r="N1008" s="19">
        <v>45526</v>
      </c>
      <c r="O1008" s="20"/>
    </row>
    <row r="1009" ht="15" customHeight="1">
      <c r="A1009" t="s">
        <v>2292</v>
      </c>
      <c r="B1009" t="s">
        <v>2293</v>
      </c>
      <c r="C1009" s="23" t="s">
        <v>309</v>
      </c>
      <c r="D1009" t="s">
        <v>232</v>
      </c>
      <c r="E1009" t="s">
        <v>233</v>
      </c>
      <c r="H1009">
        <v>3</v>
      </c>
      <c r="K1009" t="s">
        <v>791</v>
      </c>
      <c r="L1009" t="s">
        <v>2206</v>
      </c>
      <c r="M1009" s="19">
        <v>45499</v>
      </c>
      <c r="N1009" s="19">
        <v>45554</v>
      </c>
      <c r="O1009" s="20"/>
    </row>
    <row r="1010" ht="15" customHeight="1">
      <c r="A1010" t="s">
        <v>2294</v>
      </c>
      <c r="B1010" t="s">
        <v>2295</v>
      </c>
      <c r="C1010" t="s">
        <v>1470</v>
      </c>
      <c r="D1010" t="s">
        <v>232</v>
      </c>
      <c r="E1010" t="s">
        <v>233</v>
      </c>
      <c r="L1010" t="s">
        <v>1365</v>
      </c>
      <c r="M1010" s="19">
        <v>45499</v>
      </c>
      <c r="N1010" s="19">
        <v>45568</v>
      </c>
      <c r="O1010" s="20"/>
    </row>
    <row r="1011" ht="15" customHeight="1">
      <c r="A1011" t="s">
        <v>2296</v>
      </c>
      <c r="B1011" t="s">
        <v>2297</v>
      </c>
      <c r="C1011" t="s">
        <v>1470</v>
      </c>
      <c r="D1011" t="s">
        <v>232</v>
      </c>
      <c r="E1011" t="s">
        <v>233</v>
      </c>
      <c r="M1011" s="19">
        <v>45497</v>
      </c>
      <c r="N1011" s="20"/>
      <c r="O1011" s="20"/>
    </row>
    <row r="1012" ht="15" customHeight="1">
      <c r="A1012" t="s">
        <v>2298</v>
      </c>
      <c r="B1012" t="s">
        <v>2299</v>
      </c>
      <c r="C1012" t="s">
        <v>1470</v>
      </c>
      <c r="D1012" t="s">
        <v>813</v>
      </c>
      <c r="E1012" t="s">
        <v>814</v>
      </c>
      <c r="M1012" s="19">
        <v>45496</v>
      </c>
      <c r="N1012" s="20"/>
      <c r="O1012" s="20"/>
    </row>
    <row r="1013" ht="15" customHeight="1">
      <c r="A1013" t="s">
        <v>2300</v>
      </c>
      <c r="B1013" t="s">
        <v>2301</v>
      </c>
      <c r="C1013" s="23" t="s">
        <v>309</v>
      </c>
      <c r="D1013" t="s">
        <v>250</v>
      </c>
      <c r="E1013" t="s">
        <v>251</v>
      </c>
      <c r="H1013">
        <v>3</v>
      </c>
      <c r="L1013" t="s">
        <v>2257</v>
      </c>
      <c r="M1013" s="19">
        <v>45495</v>
      </c>
      <c r="N1013" s="20"/>
      <c r="O1013" s="20"/>
    </row>
    <row r="1014" ht="15" customHeight="1">
      <c r="A1014" t="s">
        <v>2302</v>
      </c>
      <c r="B1014" t="s">
        <v>2303</v>
      </c>
      <c r="C1014" s="23" t="s">
        <v>309</v>
      </c>
      <c r="D1014" t="s">
        <v>232</v>
      </c>
      <c r="E1014" t="s">
        <v>233</v>
      </c>
      <c r="H1014">
        <v>3</v>
      </c>
      <c r="L1014" t="s">
        <v>1699</v>
      </c>
      <c r="M1014" s="19">
        <v>45495</v>
      </c>
      <c r="N1014" s="20"/>
      <c r="O1014" s="20"/>
    </row>
    <row r="1015" ht="15" customHeight="1">
      <c r="A1015" t="s">
        <v>2304</v>
      </c>
      <c r="B1015" t="s">
        <v>2305</v>
      </c>
      <c r="C1015" s="23" t="s">
        <v>309</v>
      </c>
      <c r="D1015" t="s">
        <v>232</v>
      </c>
      <c r="E1015" t="s">
        <v>233</v>
      </c>
      <c r="H1015">
        <v>3</v>
      </c>
      <c r="L1015" t="s">
        <v>1944</v>
      </c>
      <c r="M1015" s="19">
        <v>45495</v>
      </c>
      <c r="N1015" s="20"/>
      <c r="O1015" s="20"/>
    </row>
    <row r="1016" ht="15" customHeight="1">
      <c r="A1016" t="s">
        <v>2306</v>
      </c>
      <c r="B1016" t="s">
        <v>2307</v>
      </c>
      <c r="C1016" s="23" t="s">
        <v>309</v>
      </c>
      <c r="D1016" t="s">
        <v>232</v>
      </c>
      <c r="E1016" t="s">
        <v>233</v>
      </c>
      <c r="H1016">
        <v>5</v>
      </c>
      <c r="L1016" t="s">
        <v>1944</v>
      </c>
      <c r="M1016" s="19">
        <v>45495</v>
      </c>
      <c r="N1016" s="20"/>
      <c r="O1016" s="20"/>
    </row>
    <row r="1017" ht="15" customHeight="1">
      <c r="A1017" t="s">
        <v>2308</v>
      </c>
      <c r="B1017" t="s">
        <v>2309</v>
      </c>
      <c r="C1017" s="21" t="s">
        <v>227</v>
      </c>
      <c r="D1017" t="s">
        <v>250</v>
      </c>
      <c r="E1017" t="s">
        <v>251</v>
      </c>
      <c r="M1017" s="19">
        <v>45489</v>
      </c>
      <c r="N1017" s="20"/>
      <c r="O1017" s="20"/>
    </row>
    <row r="1018" ht="15" customHeight="1">
      <c r="A1018" t="s">
        <v>2310</v>
      </c>
      <c r="B1018" t="s">
        <v>2311</v>
      </c>
      <c r="C1018" s="23" t="s">
        <v>309</v>
      </c>
      <c r="D1018" t="s">
        <v>232</v>
      </c>
      <c r="E1018" t="s">
        <v>233</v>
      </c>
      <c r="H1018">
        <v>3</v>
      </c>
      <c r="L1018" t="s">
        <v>1944</v>
      </c>
      <c r="M1018" s="19">
        <v>45489</v>
      </c>
      <c r="N1018" s="20"/>
      <c r="O1018" s="20"/>
    </row>
    <row r="1019" ht="15" customHeight="1">
      <c r="A1019" t="s">
        <v>2312</v>
      </c>
      <c r="B1019" t="s">
        <v>2313</v>
      </c>
      <c r="C1019" s="21" t="s">
        <v>227</v>
      </c>
      <c r="D1019" t="s">
        <v>250</v>
      </c>
      <c r="E1019" t="s">
        <v>251</v>
      </c>
      <c r="M1019" s="19">
        <v>45489</v>
      </c>
      <c r="N1019" s="20"/>
      <c r="O1019" s="20"/>
    </row>
    <row r="1020" ht="15" customHeight="1">
      <c r="A1020" t="s">
        <v>2314</v>
      </c>
      <c r="B1020" t="s">
        <v>2315</v>
      </c>
      <c r="C1020" s="21" t="s">
        <v>227</v>
      </c>
      <c r="D1020" t="s">
        <v>232</v>
      </c>
      <c r="E1020" t="s">
        <v>233</v>
      </c>
      <c r="H1020">
        <v>3</v>
      </c>
      <c r="L1020" t="s">
        <v>1365</v>
      </c>
      <c r="M1020" s="19">
        <v>45489</v>
      </c>
      <c r="N1020" s="20"/>
      <c r="O1020" s="20"/>
    </row>
    <row r="1021" ht="15" customHeight="1">
      <c r="A1021" t="s">
        <v>2316</v>
      </c>
      <c r="B1021" t="s">
        <v>2317</v>
      </c>
      <c r="C1021" s="23" t="s">
        <v>309</v>
      </c>
      <c r="D1021" t="s">
        <v>232</v>
      </c>
      <c r="E1021" t="s">
        <v>233</v>
      </c>
      <c r="H1021">
        <v>3</v>
      </c>
      <c r="L1021" t="s">
        <v>1944</v>
      </c>
      <c r="M1021" s="19">
        <v>45489</v>
      </c>
      <c r="N1021" s="20"/>
      <c r="O1021" s="20"/>
    </row>
    <row r="1022" ht="15" customHeight="1">
      <c r="A1022" t="s">
        <v>2318</v>
      </c>
      <c r="B1022" t="s">
        <v>2319</v>
      </c>
      <c r="C1022" t="s">
        <v>1470</v>
      </c>
      <c r="D1022" t="s">
        <v>232</v>
      </c>
      <c r="E1022" t="s">
        <v>233</v>
      </c>
      <c r="M1022" s="19">
        <v>45488</v>
      </c>
      <c r="N1022" s="20"/>
      <c r="O1022" s="20"/>
    </row>
    <row r="1023" ht="15" customHeight="1">
      <c r="A1023" t="s">
        <v>2320</v>
      </c>
      <c r="B1023" t="s">
        <v>2321</v>
      </c>
      <c r="C1023" s="21" t="s">
        <v>227</v>
      </c>
      <c r="D1023" t="s">
        <v>250</v>
      </c>
      <c r="E1023" t="s">
        <v>251</v>
      </c>
      <c r="M1023" s="19">
        <v>45484</v>
      </c>
      <c r="N1023" s="20"/>
      <c r="O1023" s="20"/>
    </row>
    <row r="1024" ht="15" customHeight="1">
      <c r="A1024" t="s">
        <v>2322</v>
      </c>
      <c r="B1024" t="s">
        <v>2323</v>
      </c>
      <c r="C1024" s="21" t="s">
        <v>227</v>
      </c>
      <c r="D1024" t="s">
        <v>250</v>
      </c>
      <c r="E1024" t="s">
        <v>251</v>
      </c>
      <c r="M1024" s="19">
        <v>45483</v>
      </c>
      <c r="N1024" s="20"/>
      <c r="O1024" s="20"/>
    </row>
    <row r="1025" ht="15" customHeight="1">
      <c r="A1025" t="s">
        <v>2324</v>
      </c>
      <c r="B1025" t="s">
        <v>2325</v>
      </c>
      <c r="C1025" t="s">
        <v>1470</v>
      </c>
      <c r="D1025" t="s">
        <v>232</v>
      </c>
      <c r="E1025" t="s">
        <v>233</v>
      </c>
      <c r="K1025" t="s">
        <v>994</v>
      </c>
      <c r="M1025" s="19">
        <v>45483</v>
      </c>
      <c r="N1025" s="20"/>
      <c r="O1025" s="20"/>
    </row>
    <row r="1026" ht="15" customHeight="1">
      <c r="A1026" t="s">
        <v>2326</v>
      </c>
      <c r="B1026" t="s">
        <v>2327</v>
      </c>
      <c r="C1026" t="s">
        <v>1470</v>
      </c>
      <c r="D1026" t="s">
        <v>228</v>
      </c>
      <c r="E1026" t="s">
        <v>229</v>
      </c>
      <c r="H1026">
        <v>8</v>
      </c>
      <c r="K1026" t="s">
        <v>286</v>
      </c>
      <c r="M1026" s="19">
        <v>45482</v>
      </c>
      <c r="N1026" s="20"/>
      <c r="O1026" s="20"/>
    </row>
    <row r="1027" ht="15" customHeight="1">
      <c r="A1027" t="s">
        <v>2328</v>
      </c>
      <c r="B1027" t="s">
        <v>2329</v>
      </c>
      <c r="C1027" s="23" t="s">
        <v>309</v>
      </c>
      <c r="D1027" t="s">
        <v>813</v>
      </c>
      <c r="E1027" t="s">
        <v>814</v>
      </c>
      <c r="H1027">
        <v>3</v>
      </c>
      <c r="L1027" t="s">
        <v>2233</v>
      </c>
      <c r="M1027" s="19">
        <v>45482</v>
      </c>
      <c r="N1027" s="19">
        <v>45526</v>
      </c>
      <c r="O1027" s="20"/>
    </row>
    <row r="1028" ht="15" customHeight="1">
      <c r="A1028" t="s">
        <v>2330</v>
      </c>
      <c r="B1028" t="s">
        <v>2331</v>
      </c>
      <c r="C1028" s="21" t="s">
        <v>227</v>
      </c>
      <c r="D1028" t="s">
        <v>228</v>
      </c>
      <c r="E1028" t="s">
        <v>229</v>
      </c>
      <c r="M1028" s="19">
        <v>45481</v>
      </c>
      <c r="N1028" s="20"/>
      <c r="O1028" s="20"/>
    </row>
    <row r="1029" ht="15" customHeight="1">
      <c r="A1029" t="s">
        <v>2332</v>
      </c>
      <c r="B1029" t="s">
        <v>2333</v>
      </c>
      <c r="C1029" s="21" t="s">
        <v>227</v>
      </c>
      <c r="D1029" t="s">
        <v>250</v>
      </c>
      <c r="E1029" t="s">
        <v>251</v>
      </c>
      <c r="M1029" s="19">
        <v>45481</v>
      </c>
      <c r="N1029" s="20"/>
      <c r="O1029" s="20"/>
    </row>
    <row r="1030" ht="15" customHeight="1">
      <c r="A1030" t="s">
        <v>2334</v>
      </c>
      <c r="B1030" t="s">
        <v>2335</v>
      </c>
      <c r="C1030" s="21" t="s">
        <v>227</v>
      </c>
      <c r="D1030" t="s">
        <v>250</v>
      </c>
      <c r="E1030" t="s">
        <v>251</v>
      </c>
      <c r="M1030" s="19">
        <v>45481</v>
      </c>
      <c r="N1030" s="20"/>
      <c r="O1030" s="20"/>
    </row>
    <row r="1031" ht="15" customHeight="1">
      <c r="A1031" t="s">
        <v>2336</v>
      </c>
      <c r="B1031" t="s">
        <v>2337</v>
      </c>
      <c r="C1031" t="s">
        <v>1470</v>
      </c>
      <c r="D1031" t="s">
        <v>232</v>
      </c>
      <c r="E1031" t="s">
        <v>233</v>
      </c>
      <c r="M1031" s="19">
        <v>45481</v>
      </c>
      <c r="N1031" s="20"/>
      <c r="O1031" s="20"/>
    </row>
    <row r="1032" ht="15" customHeight="1">
      <c r="A1032" t="s">
        <v>2338</v>
      </c>
      <c r="B1032" t="s">
        <v>2339</v>
      </c>
      <c r="C1032" s="21" t="s">
        <v>227</v>
      </c>
      <c r="D1032" t="s">
        <v>250</v>
      </c>
      <c r="E1032" t="s">
        <v>251</v>
      </c>
      <c r="M1032" s="19">
        <v>45481</v>
      </c>
      <c r="N1032" s="20"/>
      <c r="O1032" s="20"/>
    </row>
    <row r="1033" ht="15" customHeight="1">
      <c r="A1033" t="s">
        <v>2340</v>
      </c>
      <c r="B1033" t="s">
        <v>2341</v>
      </c>
      <c r="C1033" s="21" t="s">
        <v>227</v>
      </c>
      <c r="D1033" t="s">
        <v>250</v>
      </c>
      <c r="E1033" t="s">
        <v>251</v>
      </c>
      <c r="M1033" s="19">
        <v>45481</v>
      </c>
      <c r="N1033" s="20"/>
      <c r="O1033" s="20"/>
    </row>
    <row r="1034" ht="15" customHeight="1">
      <c r="A1034" t="s">
        <v>2342</v>
      </c>
      <c r="B1034" t="s">
        <v>2343</v>
      </c>
      <c r="C1034" t="s">
        <v>1470</v>
      </c>
      <c r="D1034" t="s">
        <v>232</v>
      </c>
      <c r="E1034" t="s">
        <v>233</v>
      </c>
      <c r="M1034" s="19">
        <v>45481</v>
      </c>
      <c r="N1034" s="20"/>
      <c r="O1034" s="20"/>
    </row>
    <row r="1035" ht="15" customHeight="1">
      <c r="A1035" t="s">
        <v>2344</v>
      </c>
      <c r="B1035" t="s">
        <v>2345</v>
      </c>
      <c r="C1035" s="22" t="s">
        <v>55</v>
      </c>
      <c r="D1035" t="s">
        <v>232</v>
      </c>
      <c r="E1035" t="s">
        <v>233</v>
      </c>
      <c r="M1035" s="19">
        <v>45481</v>
      </c>
      <c r="N1035" s="20"/>
      <c r="O1035" s="20"/>
    </row>
    <row r="1036" ht="15" customHeight="1">
      <c r="A1036" t="s">
        <v>2346</v>
      </c>
      <c r="B1036" t="s">
        <v>2347</v>
      </c>
      <c r="C1036" t="s">
        <v>259</v>
      </c>
      <c r="D1036" t="s">
        <v>223</v>
      </c>
      <c r="E1036" t="s">
        <v>224</v>
      </c>
      <c r="M1036" s="19">
        <v>45481</v>
      </c>
      <c r="N1036" s="20"/>
      <c r="O1036" s="20"/>
    </row>
    <row r="1037" ht="15" customHeight="1">
      <c r="A1037" t="s">
        <v>2348</v>
      </c>
      <c r="B1037" t="s">
        <v>2349</v>
      </c>
      <c r="C1037" t="s">
        <v>1470</v>
      </c>
      <c r="D1037" t="s">
        <v>232</v>
      </c>
      <c r="E1037" t="s">
        <v>233</v>
      </c>
      <c r="H1037">
        <v>5</v>
      </c>
      <c r="M1037" s="19">
        <v>45481</v>
      </c>
      <c r="N1037" s="20"/>
      <c r="O1037" s="20"/>
    </row>
    <row r="1038" ht="15" customHeight="1">
      <c r="A1038" t="s">
        <v>2350</v>
      </c>
      <c r="B1038" t="s">
        <v>2351</v>
      </c>
      <c r="C1038" s="23" t="s">
        <v>309</v>
      </c>
      <c r="D1038" t="s">
        <v>250</v>
      </c>
      <c r="E1038" t="s">
        <v>251</v>
      </c>
      <c r="M1038" s="19">
        <v>45476</v>
      </c>
      <c r="N1038" s="20"/>
      <c r="O1038" s="20"/>
    </row>
    <row r="1039" ht="15" customHeight="1">
      <c r="A1039" t="s">
        <v>2352</v>
      </c>
      <c r="B1039" t="s">
        <v>2353</v>
      </c>
      <c r="C1039" s="21" t="s">
        <v>227</v>
      </c>
      <c r="D1039" t="s">
        <v>250</v>
      </c>
      <c r="E1039" t="s">
        <v>251</v>
      </c>
      <c r="M1039" s="19">
        <v>45475</v>
      </c>
      <c r="N1039" s="20"/>
      <c r="O1039" s="20"/>
    </row>
    <row r="1040" ht="15" customHeight="1">
      <c r="A1040" t="s">
        <v>2354</v>
      </c>
      <c r="B1040" t="s">
        <v>2355</v>
      </c>
      <c r="C1040" t="s">
        <v>1470</v>
      </c>
      <c r="D1040" t="s">
        <v>232</v>
      </c>
      <c r="E1040" t="s">
        <v>233</v>
      </c>
      <c r="H1040">
        <v>3</v>
      </c>
      <c r="K1040" t="s">
        <v>866</v>
      </c>
      <c r="M1040" s="19">
        <v>45474</v>
      </c>
      <c r="N1040" s="20"/>
      <c r="O1040" s="20"/>
    </row>
    <row r="1041" ht="15" customHeight="1">
      <c r="A1041" t="s">
        <v>2356</v>
      </c>
      <c r="B1041" t="s">
        <v>2357</v>
      </c>
      <c r="C1041" t="s">
        <v>1470</v>
      </c>
      <c r="D1041" t="s">
        <v>228</v>
      </c>
      <c r="E1041" t="s">
        <v>229</v>
      </c>
      <c r="M1041" s="19">
        <v>45470</v>
      </c>
      <c r="N1041" s="20"/>
      <c r="O1041" s="20"/>
    </row>
    <row r="1042" ht="15" customHeight="1">
      <c r="A1042" t="s">
        <v>2358</v>
      </c>
      <c r="B1042" t="s">
        <v>2359</v>
      </c>
      <c r="C1042" s="23" t="s">
        <v>309</v>
      </c>
      <c r="D1042" t="s">
        <v>232</v>
      </c>
      <c r="E1042" t="s">
        <v>233</v>
      </c>
      <c r="K1042" t="s">
        <v>866</v>
      </c>
      <c r="M1042" s="19">
        <v>45470</v>
      </c>
      <c r="N1042" s="20"/>
      <c r="O1042" s="20"/>
    </row>
    <row r="1043" ht="15" customHeight="1">
      <c r="A1043" t="s">
        <v>2360</v>
      </c>
      <c r="B1043" t="s">
        <v>2361</v>
      </c>
      <c r="C1043" t="s">
        <v>1470</v>
      </c>
      <c r="D1043" t="s">
        <v>813</v>
      </c>
      <c r="E1043" t="s">
        <v>814</v>
      </c>
      <c r="M1043" s="19">
        <v>45468</v>
      </c>
      <c r="N1043" s="20"/>
      <c r="O1043" s="20"/>
    </row>
    <row r="1044" ht="15" customHeight="1">
      <c r="A1044" t="s">
        <v>2362</v>
      </c>
      <c r="B1044" t="s">
        <v>2363</v>
      </c>
      <c r="C1044" t="s">
        <v>1470</v>
      </c>
      <c r="D1044" t="s">
        <v>232</v>
      </c>
      <c r="E1044" t="s">
        <v>233</v>
      </c>
      <c r="M1044" s="19">
        <v>45466</v>
      </c>
      <c r="N1044" s="20"/>
      <c r="O1044" s="20"/>
    </row>
    <row r="1045" ht="15" customHeight="1">
      <c r="A1045" t="s">
        <v>2364</v>
      </c>
      <c r="B1045" t="s">
        <v>2365</v>
      </c>
      <c r="C1045" t="s">
        <v>1470</v>
      </c>
      <c r="D1045" t="s">
        <v>232</v>
      </c>
      <c r="E1045" t="s">
        <v>233</v>
      </c>
      <c r="M1045" s="19">
        <v>45466</v>
      </c>
      <c r="N1045" s="20"/>
      <c r="O1045" s="20"/>
    </row>
    <row r="1046" ht="15" customHeight="1">
      <c r="A1046" t="s">
        <v>2366</v>
      </c>
      <c r="B1046" t="s">
        <v>2367</v>
      </c>
      <c r="C1046" s="23" t="s">
        <v>309</v>
      </c>
      <c r="D1046" t="s">
        <v>232</v>
      </c>
      <c r="E1046" t="s">
        <v>233</v>
      </c>
      <c r="M1046" s="19">
        <v>45466</v>
      </c>
      <c r="N1046" s="20"/>
      <c r="O1046" s="20"/>
    </row>
    <row r="1047" ht="15" customHeight="1">
      <c r="A1047" t="s">
        <v>2368</v>
      </c>
      <c r="B1047" t="s">
        <v>2369</v>
      </c>
      <c r="C1047" t="s">
        <v>1470</v>
      </c>
      <c r="D1047" t="s">
        <v>232</v>
      </c>
      <c r="E1047" t="s">
        <v>233</v>
      </c>
      <c r="M1047" s="19">
        <v>45466</v>
      </c>
      <c r="N1047" s="20"/>
      <c r="O1047" s="20"/>
    </row>
    <row r="1048" ht="15" customHeight="1">
      <c r="A1048" t="s">
        <v>2370</v>
      </c>
      <c r="B1048" t="s">
        <v>2371</v>
      </c>
      <c r="C1048" t="s">
        <v>1470</v>
      </c>
      <c r="D1048" t="s">
        <v>232</v>
      </c>
      <c r="E1048" t="s">
        <v>233</v>
      </c>
      <c r="H1048">
        <v>5</v>
      </c>
      <c r="L1048" t="s">
        <v>1365</v>
      </c>
      <c r="M1048" s="19">
        <v>45466</v>
      </c>
      <c r="N1048" s="20"/>
      <c r="O1048" s="20"/>
    </row>
    <row r="1049" ht="15" customHeight="1">
      <c r="A1049" t="s">
        <v>2372</v>
      </c>
      <c r="B1049" t="s">
        <v>2373</v>
      </c>
      <c r="C1049" t="s">
        <v>1470</v>
      </c>
      <c r="D1049" t="s">
        <v>232</v>
      </c>
      <c r="E1049" t="s">
        <v>233</v>
      </c>
      <c r="H1049">
        <v>3</v>
      </c>
      <c r="L1049" t="s">
        <v>1365</v>
      </c>
      <c r="M1049" s="19">
        <v>45466</v>
      </c>
      <c r="N1049" s="20"/>
      <c r="O1049" s="20"/>
    </row>
    <row r="1050" ht="15" customHeight="1">
      <c r="A1050" t="s">
        <v>2374</v>
      </c>
      <c r="B1050" t="s">
        <v>2375</v>
      </c>
      <c r="C1050" s="21" t="s">
        <v>227</v>
      </c>
      <c r="D1050" t="s">
        <v>250</v>
      </c>
      <c r="E1050" t="s">
        <v>251</v>
      </c>
      <c r="H1050">
        <v>5</v>
      </c>
      <c r="M1050" s="19">
        <v>45461</v>
      </c>
      <c r="N1050" s="20"/>
      <c r="O1050" s="20"/>
    </row>
    <row r="1051" ht="15" customHeight="1">
      <c r="A1051" t="s">
        <v>2376</v>
      </c>
      <c r="B1051" t="s">
        <v>2377</v>
      </c>
      <c r="C1051" t="s">
        <v>259</v>
      </c>
      <c r="D1051" t="s">
        <v>223</v>
      </c>
      <c r="E1051" t="s">
        <v>224</v>
      </c>
      <c r="M1051" s="19">
        <v>45455</v>
      </c>
      <c r="N1051" s="20"/>
      <c r="O1051" s="20"/>
    </row>
    <row r="1052" ht="15" customHeight="1">
      <c r="A1052" t="s">
        <v>2378</v>
      </c>
      <c r="B1052" t="s">
        <v>2379</v>
      </c>
      <c r="C1052" s="21" t="s">
        <v>227</v>
      </c>
      <c r="D1052" t="s">
        <v>250</v>
      </c>
      <c r="E1052" t="s">
        <v>251</v>
      </c>
      <c r="M1052" s="19">
        <v>45454</v>
      </c>
      <c r="N1052" s="20"/>
      <c r="O1052" s="20"/>
    </row>
    <row r="1053" ht="15" customHeight="1">
      <c r="A1053" t="s">
        <v>2380</v>
      </c>
      <c r="B1053" t="s">
        <v>2381</v>
      </c>
      <c r="C1053" s="21" t="s">
        <v>227</v>
      </c>
      <c r="D1053" t="s">
        <v>813</v>
      </c>
      <c r="E1053" t="s">
        <v>814</v>
      </c>
      <c r="H1053">
        <v>3</v>
      </c>
      <c r="L1053" t="s">
        <v>1634</v>
      </c>
      <c r="M1053" s="19">
        <v>45454</v>
      </c>
      <c r="N1053" s="20"/>
      <c r="O1053" s="20"/>
    </row>
    <row r="1054" ht="15" customHeight="1">
      <c r="A1054" t="s">
        <v>2382</v>
      </c>
      <c r="B1054" t="s">
        <v>2383</v>
      </c>
      <c r="C1054" s="23" t="s">
        <v>309</v>
      </c>
      <c r="D1054" t="s">
        <v>813</v>
      </c>
      <c r="E1054" t="s">
        <v>814</v>
      </c>
      <c r="H1054">
        <v>3</v>
      </c>
      <c r="M1054" s="19">
        <v>45454</v>
      </c>
      <c r="N1054" s="20"/>
      <c r="O1054" s="20"/>
    </row>
    <row r="1055" ht="15" customHeight="1">
      <c r="A1055" t="s">
        <v>2384</v>
      </c>
      <c r="B1055" t="s">
        <v>2385</v>
      </c>
      <c r="C1055" s="21" t="s">
        <v>227</v>
      </c>
      <c r="D1055" t="s">
        <v>232</v>
      </c>
      <c r="E1055" t="s">
        <v>233</v>
      </c>
      <c r="M1055" s="19">
        <v>45449</v>
      </c>
      <c r="N1055" s="20"/>
      <c r="O1055" s="20"/>
    </row>
    <row r="1056" ht="15" customHeight="1">
      <c r="A1056" t="s">
        <v>2386</v>
      </c>
      <c r="B1056" t="s">
        <v>2387</v>
      </c>
      <c r="C1056" t="s">
        <v>259</v>
      </c>
      <c r="D1056" t="s">
        <v>223</v>
      </c>
      <c r="E1056" t="s">
        <v>224</v>
      </c>
      <c r="M1056" s="19">
        <v>45449</v>
      </c>
      <c r="N1056" s="20"/>
      <c r="O1056" s="20"/>
    </row>
    <row r="1057" ht="15" customHeight="1">
      <c r="A1057" t="s">
        <v>2388</v>
      </c>
      <c r="B1057" t="s">
        <v>2389</v>
      </c>
      <c r="C1057" s="23" t="s">
        <v>309</v>
      </c>
      <c r="D1057" t="s">
        <v>232</v>
      </c>
      <c r="E1057" t="s">
        <v>233</v>
      </c>
      <c r="H1057">
        <v>2</v>
      </c>
      <c r="L1057" t="s">
        <v>2390</v>
      </c>
      <c r="M1057" s="19">
        <v>45449</v>
      </c>
      <c r="N1057" s="20"/>
      <c r="O1057" s="20"/>
    </row>
    <row r="1058" ht="15" customHeight="1">
      <c r="A1058" t="s">
        <v>2391</v>
      </c>
      <c r="B1058" t="s">
        <v>2392</v>
      </c>
      <c r="C1058" t="s">
        <v>259</v>
      </c>
      <c r="D1058" t="s">
        <v>223</v>
      </c>
      <c r="E1058" t="s">
        <v>224</v>
      </c>
      <c r="M1058" s="19">
        <v>45449</v>
      </c>
      <c r="N1058" s="20"/>
      <c r="O1058" s="20"/>
    </row>
    <row r="1059" ht="15" customHeight="1">
      <c r="A1059" t="s">
        <v>2393</v>
      </c>
      <c r="B1059" t="s">
        <v>2394</v>
      </c>
      <c r="C1059" s="21" t="s">
        <v>227</v>
      </c>
      <c r="D1059" t="s">
        <v>250</v>
      </c>
      <c r="E1059" t="s">
        <v>251</v>
      </c>
      <c r="M1059" s="19">
        <v>45449</v>
      </c>
      <c r="N1059" s="20"/>
      <c r="O1059" s="20"/>
    </row>
    <row r="1060" ht="15" customHeight="1">
      <c r="A1060" t="s">
        <v>2395</v>
      </c>
      <c r="B1060" t="s">
        <v>2396</v>
      </c>
      <c r="C1060" t="s">
        <v>1470</v>
      </c>
      <c r="D1060" t="s">
        <v>232</v>
      </c>
      <c r="E1060" t="s">
        <v>233</v>
      </c>
      <c r="H1060">
        <v>2</v>
      </c>
      <c r="L1060" t="s">
        <v>2390</v>
      </c>
      <c r="M1060" s="19">
        <v>45448</v>
      </c>
      <c r="N1060" s="20"/>
      <c r="O1060" s="20"/>
    </row>
    <row r="1061" ht="15" customHeight="1">
      <c r="A1061" t="s">
        <v>2397</v>
      </c>
      <c r="B1061" t="s">
        <v>2398</v>
      </c>
      <c r="C1061" s="22" t="s">
        <v>55</v>
      </c>
      <c r="D1061" t="s">
        <v>232</v>
      </c>
      <c r="E1061" t="s">
        <v>233</v>
      </c>
      <c r="M1061" s="19">
        <v>45448</v>
      </c>
      <c r="N1061" s="20"/>
      <c r="O1061" s="20"/>
    </row>
    <row r="1062" ht="15" customHeight="1">
      <c r="A1062" t="s">
        <v>2399</v>
      </c>
      <c r="B1062" t="s">
        <v>2400</v>
      </c>
      <c r="C1062" s="22" t="s">
        <v>55</v>
      </c>
      <c r="D1062" t="s">
        <v>813</v>
      </c>
      <c r="E1062" t="s">
        <v>814</v>
      </c>
      <c r="M1062" s="19">
        <v>45448</v>
      </c>
      <c r="N1062" s="20"/>
      <c r="O1062" s="20"/>
    </row>
    <row r="1063" ht="15" customHeight="1">
      <c r="A1063" t="s">
        <v>2401</v>
      </c>
      <c r="B1063" t="s">
        <v>2402</v>
      </c>
      <c r="C1063" t="s">
        <v>1057</v>
      </c>
      <c r="D1063" t="s">
        <v>223</v>
      </c>
      <c r="E1063" t="s">
        <v>224</v>
      </c>
      <c r="M1063" s="19">
        <v>45448</v>
      </c>
      <c r="N1063" s="20"/>
      <c r="O1063" s="20"/>
    </row>
    <row r="1064" ht="15" customHeight="1">
      <c r="A1064" t="s">
        <v>2403</v>
      </c>
      <c r="B1064" t="s">
        <v>2404</v>
      </c>
      <c r="C1064" t="s">
        <v>1470</v>
      </c>
      <c r="D1064" t="s">
        <v>232</v>
      </c>
      <c r="E1064" t="s">
        <v>233</v>
      </c>
      <c r="H1064">
        <v>3</v>
      </c>
      <c r="L1064" t="s">
        <v>1365</v>
      </c>
      <c r="M1064" s="19">
        <v>45447</v>
      </c>
      <c r="N1064" s="20"/>
      <c r="O1064" s="20"/>
    </row>
    <row r="1065" ht="15" customHeight="1">
      <c r="A1065" t="s">
        <v>2405</v>
      </c>
      <c r="B1065" t="s">
        <v>2406</v>
      </c>
      <c r="C1065" t="s">
        <v>1470</v>
      </c>
      <c r="D1065" t="s">
        <v>232</v>
      </c>
      <c r="E1065" t="s">
        <v>233</v>
      </c>
      <c r="H1065">
        <v>8</v>
      </c>
      <c r="M1065" s="19">
        <v>45447</v>
      </c>
      <c r="N1065" s="20"/>
      <c r="O1065" s="20"/>
    </row>
    <row r="1066" ht="15" customHeight="1">
      <c r="A1066" t="s">
        <v>2407</v>
      </c>
      <c r="B1066" t="s">
        <v>2408</v>
      </c>
      <c r="C1066" t="s">
        <v>1470</v>
      </c>
      <c r="D1066" t="s">
        <v>232</v>
      </c>
      <c r="E1066" t="s">
        <v>233</v>
      </c>
      <c r="H1066">
        <v>5</v>
      </c>
      <c r="M1066" s="19">
        <v>45447</v>
      </c>
      <c r="N1066" s="20"/>
      <c r="O1066" s="20"/>
    </row>
    <row r="1067" ht="15" customHeight="1">
      <c r="A1067" t="s">
        <v>2409</v>
      </c>
      <c r="B1067" t="s">
        <v>2410</v>
      </c>
      <c r="C1067" s="21" t="s">
        <v>227</v>
      </c>
      <c r="D1067" t="s">
        <v>250</v>
      </c>
      <c r="E1067" t="s">
        <v>251</v>
      </c>
      <c r="H1067">
        <v>3</v>
      </c>
      <c r="K1067" t="s">
        <v>1135</v>
      </c>
      <c r="L1067" t="s">
        <v>2390</v>
      </c>
      <c r="M1067" s="19">
        <v>45447</v>
      </c>
      <c r="N1067" s="20"/>
      <c r="O1067" s="20"/>
    </row>
    <row r="1068" ht="15" customHeight="1">
      <c r="A1068" t="s">
        <v>2411</v>
      </c>
      <c r="B1068" t="s">
        <v>2412</v>
      </c>
      <c r="C1068" s="21" t="s">
        <v>227</v>
      </c>
      <c r="D1068" t="s">
        <v>250</v>
      </c>
      <c r="E1068" t="s">
        <v>251</v>
      </c>
      <c r="H1068">
        <v>3</v>
      </c>
      <c r="M1068" s="19">
        <v>45446</v>
      </c>
      <c r="N1068" s="20"/>
      <c r="O1068" s="20"/>
    </row>
    <row r="1069" ht="15" customHeight="1">
      <c r="A1069" t="s">
        <v>2413</v>
      </c>
      <c r="B1069" t="s">
        <v>2414</v>
      </c>
      <c r="C1069" t="s">
        <v>1470</v>
      </c>
      <c r="D1069" t="s">
        <v>232</v>
      </c>
      <c r="E1069" t="s">
        <v>233</v>
      </c>
      <c r="H1069">
        <v>3</v>
      </c>
      <c r="M1069" s="19">
        <v>45443</v>
      </c>
      <c r="N1069" s="20"/>
      <c r="O1069" s="20"/>
    </row>
    <row r="1070" ht="15" customHeight="1">
      <c r="A1070" t="s">
        <v>2415</v>
      </c>
      <c r="B1070" t="s">
        <v>2416</v>
      </c>
      <c r="C1070" t="s">
        <v>1470</v>
      </c>
      <c r="D1070" t="s">
        <v>232</v>
      </c>
      <c r="E1070" t="s">
        <v>233</v>
      </c>
      <c r="H1070">
        <v>3</v>
      </c>
      <c r="M1070" s="19">
        <v>45441</v>
      </c>
      <c r="N1070" s="20"/>
      <c r="O1070" s="20"/>
    </row>
    <row r="1071" ht="15" customHeight="1">
      <c r="A1071" t="s">
        <v>2417</v>
      </c>
      <c r="B1071" t="s">
        <v>2418</v>
      </c>
      <c r="C1071" s="21" t="s">
        <v>227</v>
      </c>
      <c r="D1071" t="s">
        <v>250</v>
      </c>
      <c r="E1071" t="s">
        <v>251</v>
      </c>
      <c r="M1071" s="19">
        <v>45440</v>
      </c>
      <c r="N1071" s="20"/>
      <c r="O1071" s="20"/>
    </row>
    <row r="1072" ht="15" customHeight="1">
      <c r="A1072" t="s">
        <v>2419</v>
      </c>
      <c r="B1072" t="s">
        <v>2420</v>
      </c>
      <c r="C1072" s="21" t="s">
        <v>227</v>
      </c>
      <c r="D1072" t="s">
        <v>250</v>
      </c>
      <c r="E1072" t="s">
        <v>251</v>
      </c>
      <c r="H1072">
        <v>3</v>
      </c>
      <c r="M1072" s="19">
        <v>45440</v>
      </c>
      <c r="N1072" s="20"/>
      <c r="O1072" s="20"/>
    </row>
    <row r="1073" ht="15" customHeight="1">
      <c r="A1073" t="s">
        <v>2421</v>
      </c>
      <c r="B1073" t="s">
        <v>2422</v>
      </c>
      <c r="C1073" t="s">
        <v>1470</v>
      </c>
      <c r="D1073" t="s">
        <v>232</v>
      </c>
      <c r="E1073" t="s">
        <v>233</v>
      </c>
      <c r="H1073">
        <v>5</v>
      </c>
      <c r="M1073" s="19">
        <v>45440</v>
      </c>
      <c r="N1073" s="20"/>
      <c r="O1073" s="20"/>
    </row>
    <row r="1074" ht="15" customHeight="1">
      <c r="A1074" t="s">
        <v>2423</v>
      </c>
      <c r="B1074" t="s">
        <v>2424</v>
      </c>
      <c r="C1074" t="s">
        <v>1470</v>
      </c>
      <c r="D1074" t="s">
        <v>232</v>
      </c>
      <c r="E1074" t="s">
        <v>233</v>
      </c>
      <c r="H1074">
        <v>3</v>
      </c>
      <c r="L1074" t="s">
        <v>1365</v>
      </c>
      <c r="M1074" s="19">
        <v>45433</v>
      </c>
      <c r="N1074" s="20"/>
      <c r="O1074" s="20"/>
    </row>
    <row r="1075" ht="15" customHeight="1">
      <c r="A1075" t="s">
        <v>2425</v>
      </c>
      <c r="B1075" t="s">
        <v>2426</v>
      </c>
      <c r="C1075" s="23" t="s">
        <v>309</v>
      </c>
      <c r="D1075" t="s">
        <v>232</v>
      </c>
      <c r="E1075" t="s">
        <v>233</v>
      </c>
      <c r="H1075">
        <v>5</v>
      </c>
      <c r="K1075" t="s">
        <v>866</v>
      </c>
      <c r="L1075" t="s">
        <v>1814</v>
      </c>
      <c r="M1075" s="19">
        <v>45433</v>
      </c>
      <c r="N1075" s="20"/>
      <c r="O1075" s="20"/>
    </row>
    <row r="1076" ht="15" customHeight="1">
      <c r="A1076" t="s">
        <v>2427</v>
      </c>
      <c r="B1076" t="s">
        <v>2428</v>
      </c>
      <c r="C1076" t="s">
        <v>1470</v>
      </c>
      <c r="D1076" t="s">
        <v>232</v>
      </c>
      <c r="E1076" t="s">
        <v>233</v>
      </c>
      <c r="H1076">
        <v>3</v>
      </c>
      <c r="M1076" s="19">
        <v>45432</v>
      </c>
      <c r="N1076" s="20"/>
      <c r="O1076" s="20"/>
    </row>
    <row r="1077" ht="15" customHeight="1">
      <c r="A1077" t="s">
        <v>2429</v>
      </c>
      <c r="B1077" t="s">
        <v>2430</v>
      </c>
      <c r="C1077" s="21" t="s">
        <v>227</v>
      </c>
      <c r="D1077" t="s">
        <v>250</v>
      </c>
      <c r="E1077" t="s">
        <v>251</v>
      </c>
      <c r="H1077">
        <v>3</v>
      </c>
      <c r="L1077" t="s">
        <v>2257</v>
      </c>
      <c r="M1077" s="19">
        <v>45432</v>
      </c>
      <c r="N1077" s="20"/>
      <c r="O1077" s="20"/>
    </row>
    <row r="1078" ht="15" customHeight="1">
      <c r="A1078" t="s">
        <v>2431</v>
      </c>
      <c r="B1078" t="s">
        <v>2432</v>
      </c>
      <c r="C1078" s="21" t="s">
        <v>227</v>
      </c>
      <c r="D1078" t="s">
        <v>250</v>
      </c>
      <c r="E1078" t="s">
        <v>251</v>
      </c>
      <c r="H1078">
        <v>3</v>
      </c>
      <c r="M1078" s="19">
        <v>45432</v>
      </c>
      <c r="N1078" s="20"/>
      <c r="O1078" s="20"/>
    </row>
    <row r="1079" ht="15" customHeight="1">
      <c r="A1079" t="s">
        <v>2433</v>
      </c>
      <c r="B1079" t="s">
        <v>2434</v>
      </c>
      <c r="C1079" s="21" t="s">
        <v>227</v>
      </c>
      <c r="D1079" t="s">
        <v>250</v>
      </c>
      <c r="E1079" t="s">
        <v>251</v>
      </c>
      <c r="H1079">
        <v>8</v>
      </c>
      <c r="L1079" t="s">
        <v>1634</v>
      </c>
      <c r="M1079" s="19">
        <v>45432</v>
      </c>
      <c r="N1079" s="20"/>
      <c r="O1079" s="20"/>
    </row>
    <row r="1080" ht="15" customHeight="1">
      <c r="A1080" t="s">
        <v>2435</v>
      </c>
      <c r="B1080" t="s">
        <v>2436</v>
      </c>
      <c r="C1080" s="21" t="s">
        <v>227</v>
      </c>
      <c r="D1080" t="s">
        <v>250</v>
      </c>
      <c r="E1080" t="s">
        <v>251</v>
      </c>
      <c r="H1080">
        <v>3</v>
      </c>
      <c r="M1080" s="19">
        <v>45427</v>
      </c>
      <c r="N1080" s="20"/>
      <c r="O1080" s="20"/>
    </row>
    <row r="1081" ht="15" customHeight="1">
      <c r="A1081" t="s">
        <v>2437</v>
      </c>
      <c r="B1081" t="s">
        <v>2438</v>
      </c>
      <c r="C1081" s="21" t="s">
        <v>227</v>
      </c>
      <c r="D1081" t="s">
        <v>250</v>
      </c>
      <c r="E1081" t="s">
        <v>251</v>
      </c>
      <c r="M1081" s="19">
        <v>45427</v>
      </c>
      <c r="N1081" s="20"/>
      <c r="O1081" s="20"/>
    </row>
    <row r="1082" ht="15" customHeight="1">
      <c r="A1082" t="s">
        <v>2439</v>
      </c>
      <c r="B1082" t="s">
        <v>2440</v>
      </c>
      <c r="C1082" s="21" t="s">
        <v>227</v>
      </c>
      <c r="D1082" t="s">
        <v>250</v>
      </c>
      <c r="E1082" t="s">
        <v>251</v>
      </c>
      <c r="M1082" s="19">
        <v>45427</v>
      </c>
      <c r="N1082" s="20"/>
      <c r="O1082" s="20"/>
    </row>
    <row r="1083" ht="15" customHeight="1">
      <c r="A1083" t="s">
        <v>2441</v>
      </c>
      <c r="B1083" t="s">
        <v>2442</v>
      </c>
      <c r="C1083" s="21" t="s">
        <v>227</v>
      </c>
      <c r="D1083" t="s">
        <v>250</v>
      </c>
      <c r="E1083" t="s">
        <v>251</v>
      </c>
      <c r="M1083" s="19">
        <v>45427</v>
      </c>
      <c r="N1083" s="20"/>
      <c r="O1083" s="20"/>
    </row>
    <row r="1084" ht="15" customHeight="1">
      <c r="A1084" t="s">
        <v>2443</v>
      </c>
      <c r="B1084" t="s">
        <v>2444</v>
      </c>
      <c r="C1084" s="21" t="s">
        <v>227</v>
      </c>
      <c r="D1084" t="s">
        <v>250</v>
      </c>
      <c r="E1084" t="s">
        <v>251</v>
      </c>
      <c r="M1084" s="19">
        <v>45427</v>
      </c>
      <c r="N1084" s="20"/>
      <c r="O1084" s="20"/>
    </row>
    <row r="1085" ht="15" customHeight="1">
      <c r="A1085" t="s">
        <v>2445</v>
      </c>
      <c r="B1085" t="s">
        <v>2446</v>
      </c>
      <c r="C1085" s="21" t="s">
        <v>227</v>
      </c>
      <c r="D1085" t="s">
        <v>250</v>
      </c>
      <c r="E1085" t="s">
        <v>251</v>
      </c>
      <c r="M1085" s="19">
        <v>45427</v>
      </c>
      <c r="N1085" s="20"/>
      <c r="O1085" s="20"/>
    </row>
    <row r="1086" ht="15" customHeight="1">
      <c r="A1086" t="s">
        <v>2447</v>
      </c>
      <c r="B1086" t="s">
        <v>2448</v>
      </c>
      <c r="C1086" s="21" t="s">
        <v>227</v>
      </c>
      <c r="D1086" t="s">
        <v>250</v>
      </c>
      <c r="E1086" t="s">
        <v>251</v>
      </c>
      <c r="M1086" s="19">
        <v>45427</v>
      </c>
      <c r="N1086" s="20"/>
      <c r="O1086" s="20"/>
    </row>
    <row r="1087" ht="15" customHeight="1">
      <c r="A1087" t="s">
        <v>2449</v>
      </c>
      <c r="B1087" t="s">
        <v>2450</v>
      </c>
      <c r="C1087" s="21" t="s">
        <v>227</v>
      </c>
      <c r="D1087" t="s">
        <v>250</v>
      </c>
      <c r="E1087" t="s">
        <v>251</v>
      </c>
      <c r="M1087" s="19">
        <v>45427</v>
      </c>
      <c r="N1087" s="20"/>
      <c r="O1087" s="20"/>
    </row>
    <row r="1088" ht="15" customHeight="1">
      <c r="A1088" t="s">
        <v>2451</v>
      </c>
      <c r="B1088" t="s">
        <v>2452</v>
      </c>
      <c r="C1088" s="21" t="s">
        <v>227</v>
      </c>
      <c r="D1088" t="s">
        <v>250</v>
      </c>
      <c r="E1088" t="s">
        <v>251</v>
      </c>
      <c r="M1088" s="19">
        <v>45427</v>
      </c>
      <c r="N1088" s="20"/>
      <c r="O1088" s="20"/>
    </row>
    <row r="1089" ht="15" customHeight="1">
      <c r="A1089" t="s">
        <v>2453</v>
      </c>
      <c r="B1089" t="s">
        <v>2454</v>
      </c>
      <c r="C1089" s="21" t="s">
        <v>227</v>
      </c>
      <c r="D1089" t="s">
        <v>232</v>
      </c>
      <c r="E1089" t="s">
        <v>233</v>
      </c>
      <c r="M1089" s="19">
        <v>45427</v>
      </c>
      <c r="N1089" s="20"/>
      <c r="O1089" s="20"/>
    </row>
    <row r="1090" ht="15" customHeight="1">
      <c r="A1090" t="s">
        <v>2455</v>
      </c>
      <c r="B1090" t="s">
        <v>2456</v>
      </c>
      <c r="C1090" s="23" t="s">
        <v>309</v>
      </c>
      <c r="D1090" t="s">
        <v>232</v>
      </c>
      <c r="E1090" t="s">
        <v>233</v>
      </c>
      <c r="M1090" s="19">
        <v>45426</v>
      </c>
      <c r="N1090" s="19">
        <v>45540</v>
      </c>
      <c r="O1090" s="20"/>
    </row>
    <row r="1091" ht="15" customHeight="1">
      <c r="A1091" t="s">
        <v>2457</v>
      </c>
      <c r="B1091" t="s">
        <v>2458</v>
      </c>
      <c r="C1091" s="23" t="s">
        <v>309</v>
      </c>
      <c r="D1091" t="s">
        <v>232</v>
      </c>
      <c r="E1091" t="s">
        <v>233</v>
      </c>
      <c r="H1091">
        <v>3</v>
      </c>
      <c r="K1091" t="s">
        <v>866</v>
      </c>
      <c r="L1091" t="s">
        <v>1814</v>
      </c>
      <c r="M1091" s="19">
        <v>45425</v>
      </c>
      <c r="N1091" s="20"/>
      <c r="O1091" s="20"/>
    </row>
    <row r="1092" ht="15" customHeight="1">
      <c r="A1092" t="s">
        <v>2459</v>
      </c>
      <c r="B1092" t="s">
        <v>2460</v>
      </c>
      <c r="C1092" t="s">
        <v>259</v>
      </c>
      <c r="D1092" t="s">
        <v>223</v>
      </c>
      <c r="E1092" t="s">
        <v>224</v>
      </c>
      <c r="M1092" s="19">
        <v>45421</v>
      </c>
      <c r="N1092" s="20"/>
      <c r="O1092" s="20"/>
    </row>
    <row r="1093" ht="15" customHeight="1">
      <c r="A1093" t="s">
        <v>2461</v>
      </c>
      <c r="B1093" t="s">
        <v>2462</v>
      </c>
      <c r="C1093" s="21" t="s">
        <v>227</v>
      </c>
      <c r="D1093" t="s">
        <v>232</v>
      </c>
      <c r="E1093" t="s">
        <v>233</v>
      </c>
      <c r="M1093" s="19">
        <v>45421</v>
      </c>
      <c r="N1093" s="20"/>
      <c r="O1093" s="20"/>
    </row>
    <row r="1094" ht="15" customHeight="1">
      <c r="A1094" t="s">
        <v>2463</v>
      </c>
      <c r="B1094" t="s">
        <v>2464</v>
      </c>
      <c r="C1094" t="s">
        <v>1470</v>
      </c>
      <c r="D1094" t="s">
        <v>232</v>
      </c>
      <c r="E1094" t="s">
        <v>233</v>
      </c>
      <c r="H1094">
        <v>5</v>
      </c>
      <c r="L1094" t="s">
        <v>1365</v>
      </c>
      <c r="M1094" s="19">
        <v>45421</v>
      </c>
      <c r="N1094" s="19">
        <v>45568</v>
      </c>
      <c r="O1094" s="20"/>
    </row>
    <row r="1095" ht="15" customHeight="1">
      <c r="A1095" t="s">
        <v>2465</v>
      </c>
      <c r="B1095" t="s">
        <v>2466</v>
      </c>
      <c r="C1095" t="s">
        <v>1470</v>
      </c>
      <c r="D1095" t="s">
        <v>232</v>
      </c>
      <c r="E1095" t="s">
        <v>233</v>
      </c>
      <c r="M1095" s="19">
        <v>45420</v>
      </c>
      <c r="N1095" s="20"/>
      <c r="O1095" s="20"/>
    </row>
    <row r="1096" ht="15" customHeight="1">
      <c r="A1096" t="s">
        <v>2467</v>
      </c>
      <c r="B1096" t="s">
        <v>2468</v>
      </c>
      <c r="C1096" s="21" t="s">
        <v>227</v>
      </c>
      <c r="D1096" t="s">
        <v>232</v>
      </c>
      <c r="E1096" t="s">
        <v>233</v>
      </c>
      <c r="M1096" s="19">
        <v>45420</v>
      </c>
      <c r="N1096" s="20"/>
      <c r="O1096" s="20"/>
    </row>
    <row r="1097" ht="15" customHeight="1">
      <c r="A1097" t="s">
        <v>2469</v>
      </c>
      <c r="B1097" t="s">
        <v>2470</v>
      </c>
      <c r="C1097" s="23" t="s">
        <v>309</v>
      </c>
      <c r="D1097" t="s">
        <v>223</v>
      </c>
      <c r="E1097" t="s">
        <v>224</v>
      </c>
      <c r="M1097" s="19">
        <v>45420</v>
      </c>
      <c r="N1097" s="20"/>
      <c r="O1097" s="20"/>
    </row>
    <row r="1098" ht="15" customHeight="1">
      <c r="A1098" t="s">
        <v>2471</v>
      </c>
      <c r="B1098" t="s">
        <v>2472</v>
      </c>
      <c r="C1098" t="s">
        <v>1470</v>
      </c>
      <c r="D1098" t="s">
        <v>232</v>
      </c>
      <c r="E1098" t="s">
        <v>233</v>
      </c>
      <c r="H1098">
        <v>3</v>
      </c>
      <c r="K1098" t="s">
        <v>859</v>
      </c>
      <c r="M1098" s="19">
        <v>45420</v>
      </c>
      <c r="N1098" s="20"/>
      <c r="O1098" s="20"/>
    </row>
    <row r="1099" ht="15" customHeight="1">
      <c r="A1099" t="s">
        <v>2473</v>
      </c>
      <c r="B1099" t="s">
        <v>2474</v>
      </c>
      <c r="C1099" s="23" t="s">
        <v>309</v>
      </c>
      <c r="D1099" t="s">
        <v>250</v>
      </c>
      <c r="E1099" t="s">
        <v>251</v>
      </c>
      <c r="K1099" t="s">
        <v>2475</v>
      </c>
      <c r="M1099" s="19">
        <v>45419</v>
      </c>
      <c r="N1099" s="20"/>
      <c r="O1099" s="20"/>
    </row>
    <row r="1100" ht="15" customHeight="1">
      <c r="A1100" t="s">
        <v>2476</v>
      </c>
      <c r="B1100" t="s">
        <v>2477</v>
      </c>
      <c r="C1100" t="s">
        <v>1470</v>
      </c>
      <c r="D1100" t="s">
        <v>232</v>
      </c>
      <c r="E1100" t="s">
        <v>233</v>
      </c>
      <c r="H1100">
        <v>5</v>
      </c>
      <c r="L1100" t="s">
        <v>1365</v>
      </c>
      <c r="M1100" s="19">
        <v>45419</v>
      </c>
      <c r="N1100" s="20"/>
      <c r="O1100" s="20"/>
    </row>
    <row r="1101" ht="15" customHeight="1">
      <c r="A1101" t="s">
        <v>2478</v>
      </c>
      <c r="B1101" t="s">
        <v>2479</v>
      </c>
      <c r="C1101" t="s">
        <v>1470</v>
      </c>
      <c r="D1101" t="s">
        <v>232</v>
      </c>
      <c r="E1101" t="s">
        <v>233</v>
      </c>
      <c r="H1101">
        <v>3</v>
      </c>
      <c r="M1101" s="19">
        <v>45418</v>
      </c>
      <c r="N1101" s="20"/>
      <c r="O1101" s="20"/>
    </row>
    <row r="1102" ht="15" customHeight="1">
      <c r="A1102" t="s">
        <v>2480</v>
      </c>
      <c r="B1102" t="s">
        <v>2481</v>
      </c>
      <c r="C1102" t="s">
        <v>1470</v>
      </c>
      <c r="D1102" t="s">
        <v>813</v>
      </c>
      <c r="E1102" t="s">
        <v>814</v>
      </c>
      <c r="M1102" s="19">
        <v>45418</v>
      </c>
      <c r="N1102" s="20"/>
      <c r="O1102" s="20"/>
    </row>
    <row r="1103" ht="15" customHeight="1">
      <c r="A1103" t="s">
        <v>2482</v>
      </c>
      <c r="B1103" t="s">
        <v>2483</v>
      </c>
      <c r="C1103" s="23" t="s">
        <v>309</v>
      </c>
      <c r="D1103" t="s">
        <v>813</v>
      </c>
      <c r="E1103" t="s">
        <v>814</v>
      </c>
      <c r="H1103">
        <v>3</v>
      </c>
      <c r="K1103" t="s">
        <v>859</v>
      </c>
      <c r="L1103" t="s">
        <v>2484</v>
      </c>
      <c r="M1103" s="19">
        <v>45414</v>
      </c>
      <c r="N1103" s="19">
        <v>45428</v>
      </c>
      <c r="O1103" s="20"/>
    </row>
    <row r="1104" ht="15" customHeight="1">
      <c r="A1104" t="s">
        <v>2485</v>
      </c>
      <c r="B1104" t="s">
        <v>2486</v>
      </c>
      <c r="C1104" s="21" t="s">
        <v>227</v>
      </c>
      <c r="D1104" t="s">
        <v>250</v>
      </c>
      <c r="E1104" t="s">
        <v>251</v>
      </c>
      <c r="M1104" s="19">
        <v>45413</v>
      </c>
      <c r="N1104" s="20"/>
      <c r="O1104" s="20"/>
    </row>
    <row r="1105" ht="15" customHeight="1">
      <c r="A1105" t="s">
        <v>2487</v>
      </c>
      <c r="B1105" t="s">
        <v>2488</v>
      </c>
      <c r="C1105" t="s">
        <v>1470</v>
      </c>
      <c r="D1105" t="s">
        <v>232</v>
      </c>
      <c r="E1105" t="s">
        <v>233</v>
      </c>
      <c r="H1105">
        <v>3</v>
      </c>
      <c r="M1105" s="19">
        <v>45413</v>
      </c>
      <c r="N1105" s="20"/>
      <c r="O1105" s="20"/>
    </row>
    <row r="1106" ht="15" customHeight="1">
      <c r="A1106" t="s">
        <v>2489</v>
      </c>
      <c r="B1106" t="s">
        <v>2490</v>
      </c>
      <c r="C1106" s="21" t="s">
        <v>227</v>
      </c>
      <c r="D1106" t="s">
        <v>250</v>
      </c>
      <c r="E1106" t="s">
        <v>251</v>
      </c>
      <c r="M1106" s="19">
        <v>45408</v>
      </c>
      <c r="N1106" s="20"/>
      <c r="O1106" s="20"/>
    </row>
    <row r="1107" ht="15" customHeight="1">
      <c r="A1107" t="s">
        <v>2491</v>
      </c>
      <c r="B1107" t="s">
        <v>2492</v>
      </c>
      <c r="C1107" t="s">
        <v>259</v>
      </c>
      <c r="D1107" t="s">
        <v>223</v>
      </c>
      <c r="E1107" t="s">
        <v>224</v>
      </c>
      <c r="M1107" s="19">
        <v>45408</v>
      </c>
      <c r="N1107" s="20"/>
      <c r="O1107" s="20"/>
    </row>
    <row r="1108" ht="15" customHeight="1">
      <c r="A1108" t="s">
        <v>2493</v>
      </c>
      <c r="B1108" t="s">
        <v>2494</v>
      </c>
      <c r="C1108" t="s">
        <v>1470</v>
      </c>
      <c r="D1108" t="s">
        <v>232</v>
      </c>
      <c r="E1108" t="s">
        <v>233</v>
      </c>
      <c r="H1108">
        <v>3</v>
      </c>
      <c r="L1108" t="s">
        <v>1365</v>
      </c>
      <c r="M1108" s="19">
        <v>45408</v>
      </c>
      <c r="N1108" s="20"/>
      <c r="O1108" s="20"/>
    </row>
    <row r="1109" ht="15" customHeight="1">
      <c r="A1109" t="s">
        <v>2495</v>
      </c>
      <c r="B1109" t="s">
        <v>2496</v>
      </c>
      <c r="C1109" s="23" t="s">
        <v>309</v>
      </c>
      <c r="D1109" t="s">
        <v>250</v>
      </c>
      <c r="E1109" t="s">
        <v>251</v>
      </c>
      <c r="L1109" t="s">
        <v>2484</v>
      </c>
      <c r="M1109" s="19">
        <v>45408</v>
      </c>
      <c r="N1109" s="20"/>
      <c r="O1109" s="20"/>
    </row>
    <row r="1110" ht="15" customHeight="1">
      <c r="A1110" t="s">
        <v>2497</v>
      </c>
      <c r="B1110" t="s">
        <v>2498</v>
      </c>
      <c r="C1110" t="s">
        <v>1470</v>
      </c>
      <c r="D1110" t="s">
        <v>228</v>
      </c>
      <c r="E1110" t="s">
        <v>229</v>
      </c>
      <c r="K1110" t="s">
        <v>994</v>
      </c>
      <c r="M1110" s="19">
        <v>45406</v>
      </c>
      <c r="N1110" s="20"/>
      <c r="O1110" s="20"/>
    </row>
    <row r="1111" ht="15" customHeight="1">
      <c r="A1111" t="s">
        <v>2499</v>
      </c>
      <c r="B1111" t="s">
        <v>2500</v>
      </c>
      <c r="C1111" t="s">
        <v>1470</v>
      </c>
      <c r="D1111" t="s">
        <v>228</v>
      </c>
      <c r="E1111" t="s">
        <v>229</v>
      </c>
      <c r="K1111" t="s">
        <v>994</v>
      </c>
      <c r="M1111" s="19">
        <v>45406</v>
      </c>
      <c r="N1111" s="20"/>
      <c r="O1111" s="20"/>
    </row>
    <row r="1112" ht="15" customHeight="1">
      <c r="A1112" t="s">
        <v>2501</v>
      </c>
      <c r="B1112" t="s">
        <v>2502</v>
      </c>
      <c r="C1112" t="s">
        <v>1470</v>
      </c>
      <c r="D1112" t="s">
        <v>228</v>
      </c>
      <c r="E1112" t="s">
        <v>229</v>
      </c>
      <c r="K1112" t="s">
        <v>994</v>
      </c>
      <c r="M1112" s="19">
        <v>45406</v>
      </c>
      <c r="N1112" s="20"/>
      <c r="O1112" s="20"/>
    </row>
    <row r="1113" ht="15" customHeight="1">
      <c r="A1113" t="s">
        <v>2503</v>
      </c>
      <c r="B1113" t="s">
        <v>2504</v>
      </c>
      <c r="C1113" t="s">
        <v>1470</v>
      </c>
      <c r="D1113" t="s">
        <v>228</v>
      </c>
      <c r="E1113" t="s">
        <v>229</v>
      </c>
      <c r="K1113" t="s">
        <v>994</v>
      </c>
      <c r="M1113" s="19">
        <v>45406</v>
      </c>
      <c r="N1113" s="20"/>
      <c r="O1113" s="20"/>
    </row>
    <row r="1114" ht="15" customHeight="1">
      <c r="A1114" t="s">
        <v>2505</v>
      </c>
      <c r="B1114" t="s">
        <v>2506</v>
      </c>
      <c r="C1114" t="s">
        <v>1470</v>
      </c>
      <c r="D1114" t="s">
        <v>228</v>
      </c>
      <c r="E1114" t="s">
        <v>229</v>
      </c>
      <c r="K1114" t="s">
        <v>994</v>
      </c>
      <c r="M1114" s="19">
        <v>45406</v>
      </c>
      <c r="N1114" s="20"/>
      <c r="O1114" s="20"/>
    </row>
    <row r="1115" ht="15" customHeight="1">
      <c r="A1115" t="s">
        <v>2507</v>
      </c>
      <c r="B1115" t="s">
        <v>2508</v>
      </c>
      <c r="C1115" s="21" t="s">
        <v>227</v>
      </c>
      <c r="D1115" t="s">
        <v>250</v>
      </c>
      <c r="E1115" t="s">
        <v>251</v>
      </c>
      <c r="M1115" s="19">
        <v>45405</v>
      </c>
      <c r="N1115" s="20"/>
      <c r="O1115" s="20"/>
    </row>
    <row r="1116" ht="15" customHeight="1">
      <c r="A1116" t="s">
        <v>2509</v>
      </c>
      <c r="B1116" t="s">
        <v>2510</v>
      </c>
      <c r="C1116" s="21" t="s">
        <v>227</v>
      </c>
      <c r="D1116" t="s">
        <v>250</v>
      </c>
      <c r="E1116" t="s">
        <v>251</v>
      </c>
      <c r="H1116">
        <v>3</v>
      </c>
      <c r="M1116" s="19">
        <v>45405</v>
      </c>
      <c r="N1116" s="20"/>
      <c r="O1116" s="20"/>
    </row>
    <row r="1117" ht="15" customHeight="1">
      <c r="A1117" t="s">
        <v>2511</v>
      </c>
      <c r="B1117" t="s">
        <v>2512</v>
      </c>
      <c r="C1117" s="21" t="s">
        <v>227</v>
      </c>
      <c r="D1117" t="s">
        <v>250</v>
      </c>
      <c r="E1117" t="s">
        <v>251</v>
      </c>
      <c r="M1117" s="19">
        <v>45405</v>
      </c>
      <c r="N1117" s="20"/>
      <c r="O1117" s="20"/>
    </row>
    <row r="1118" ht="15" customHeight="1">
      <c r="A1118" t="s">
        <v>2513</v>
      </c>
      <c r="B1118" t="s">
        <v>2514</v>
      </c>
      <c r="C1118" s="21" t="s">
        <v>227</v>
      </c>
      <c r="D1118" t="s">
        <v>250</v>
      </c>
      <c r="E1118" t="s">
        <v>251</v>
      </c>
      <c r="M1118" s="19">
        <v>45405</v>
      </c>
      <c r="N1118" s="20"/>
      <c r="O1118" s="20"/>
    </row>
    <row r="1119" ht="15" customHeight="1">
      <c r="A1119" t="s">
        <v>2515</v>
      </c>
      <c r="B1119" t="s">
        <v>2516</v>
      </c>
      <c r="C1119" s="21" t="s">
        <v>227</v>
      </c>
      <c r="D1119" t="s">
        <v>250</v>
      </c>
      <c r="E1119" t="s">
        <v>251</v>
      </c>
      <c r="H1119">
        <v>3</v>
      </c>
      <c r="M1119" s="19">
        <v>45405</v>
      </c>
      <c r="N1119" s="20"/>
      <c r="O1119" s="20"/>
    </row>
    <row r="1120" ht="15" customHeight="1">
      <c r="A1120" t="s">
        <v>2517</v>
      </c>
      <c r="B1120" t="s">
        <v>2518</v>
      </c>
      <c r="C1120" s="21" t="s">
        <v>227</v>
      </c>
      <c r="D1120" t="s">
        <v>250</v>
      </c>
      <c r="E1120" t="s">
        <v>251</v>
      </c>
      <c r="M1120" s="19">
        <v>45405</v>
      </c>
      <c r="N1120" s="20"/>
      <c r="O1120" s="20"/>
    </row>
    <row r="1121" ht="15" customHeight="1">
      <c r="A1121" t="s">
        <v>2519</v>
      </c>
      <c r="B1121" t="s">
        <v>2520</v>
      </c>
      <c r="C1121" s="21" t="s">
        <v>227</v>
      </c>
      <c r="D1121" t="s">
        <v>250</v>
      </c>
      <c r="E1121" t="s">
        <v>251</v>
      </c>
      <c r="M1121" s="19">
        <v>45401</v>
      </c>
      <c r="N1121" s="20"/>
      <c r="O1121" s="20"/>
    </row>
    <row r="1122" ht="15" customHeight="1">
      <c r="A1122" t="s">
        <v>2521</v>
      </c>
      <c r="B1122" t="s">
        <v>2522</v>
      </c>
      <c r="C1122" s="25" t="s">
        <v>1627</v>
      </c>
      <c r="D1122" t="s">
        <v>223</v>
      </c>
      <c r="E1122" t="s">
        <v>224</v>
      </c>
      <c r="M1122" s="19">
        <v>45399</v>
      </c>
      <c r="N1122" s="20"/>
      <c r="O1122" s="20"/>
    </row>
    <row r="1123" ht="15" customHeight="1">
      <c r="A1123" t="s">
        <v>2523</v>
      </c>
      <c r="B1123" t="s">
        <v>2524</v>
      </c>
      <c r="C1123" t="s">
        <v>1470</v>
      </c>
      <c r="D1123" t="s">
        <v>232</v>
      </c>
      <c r="E1123" t="s">
        <v>233</v>
      </c>
      <c r="M1123" s="19">
        <v>45399</v>
      </c>
      <c r="N1123" s="20"/>
      <c r="O1123" s="20"/>
    </row>
    <row r="1124" ht="15" customHeight="1">
      <c r="A1124" t="s">
        <v>2525</v>
      </c>
      <c r="B1124" t="s">
        <v>2526</v>
      </c>
      <c r="C1124" s="21" t="s">
        <v>227</v>
      </c>
      <c r="D1124" t="s">
        <v>250</v>
      </c>
      <c r="E1124" t="s">
        <v>251</v>
      </c>
      <c r="H1124">
        <v>3</v>
      </c>
      <c r="M1124" s="19">
        <v>45399</v>
      </c>
      <c r="N1124" s="20"/>
      <c r="O1124" s="20"/>
    </row>
    <row r="1125" ht="15" customHeight="1">
      <c r="A1125" t="s">
        <v>2527</v>
      </c>
      <c r="B1125" t="s">
        <v>2528</v>
      </c>
      <c r="C1125" s="21" t="s">
        <v>227</v>
      </c>
      <c r="D1125" t="s">
        <v>250</v>
      </c>
      <c r="E1125" t="s">
        <v>251</v>
      </c>
      <c r="M1125" s="19">
        <v>45399</v>
      </c>
      <c r="N1125" s="20"/>
      <c r="O1125" s="20"/>
    </row>
    <row r="1126" ht="15" customHeight="1">
      <c r="A1126" t="s">
        <v>2529</v>
      </c>
      <c r="B1126" t="s">
        <v>2530</v>
      </c>
      <c r="C1126" t="s">
        <v>1470</v>
      </c>
      <c r="D1126" t="s">
        <v>232</v>
      </c>
      <c r="E1126" t="s">
        <v>233</v>
      </c>
      <c r="M1126" s="19">
        <v>45399</v>
      </c>
      <c r="N1126" s="20"/>
      <c r="O1126" s="20"/>
    </row>
    <row r="1127" ht="15" customHeight="1">
      <c r="A1127" t="s">
        <v>2531</v>
      </c>
      <c r="B1127" t="s">
        <v>2532</v>
      </c>
      <c r="C1127" t="s">
        <v>1470</v>
      </c>
      <c r="D1127" t="s">
        <v>232</v>
      </c>
      <c r="E1127" t="s">
        <v>233</v>
      </c>
      <c r="H1127">
        <v>5</v>
      </c>
      <c r="M1127" s="19">
        <v>45399</v>
      </c>
      <c r="N1127" s="20"/>
      <c r="O1127" s="20"/>
    </row>
    <row r="1128" ht="15" customHeight="1">
      <c r="A1128" t="s">
        <v>2533</v>
      </c>
      <c r="B1128" t="s">
        <v>2534</v>
      </c>
      <c r="C1128" s="21" t="s">
        <v>227</v>
      </c>
      <c r="D1128" t="s">
        <v>250</v>
      </c>
      <c r="E1128" t="s">
        <v>251</v>
      </c>
      <c r="M1128" s="19">
        <v>45398</v>
      </c>
      <c r="N1128" s="20"/>
      <c r="O1128" s="20"/>
    </row>
    <row r="1129" ht="15" customHeight="1">
      <c r="A1129" t="s">
        <v>2535</v>
      </c>
      <c r="B1129" t="s">
        <v>2536</v>
      </c>
      <c r="C1129" t="s">
        <v>1470</v>
      </c>
      <c r="D1129" t="s">
        <v>228</v>
      </c>
      <c r="E1129" t="s">
        <v>229</v>
      </c>
      <c r="H1129">
        <v>3</v>
      </c>
      <c r="K1129" t="s">
        <v>994</v>
      </c>
      <c r="M1129" s="19">
        <v>45398</v>
      </c>
      <c r="N1129" s="20"/>
      <c r="O1129" s="20"/>
    </row>
    <row r="1130" ht="15" customHeight="1">
      <c r="A1130" t="s">
        <v>2537</v>
      </c>
      <c r="B1130" t="s">
        <v>2538</v>
      </c>
      <c r="C1130" s="21" t="s">
        <v>227</v>
      </c>
      <c r="D1130" t="s">
        <v>250</v>
      </c>
      <c r="E1130" t="s">
        <v>251</v>
      </c>
      <c r="M1130" s="19">
        <v>45398</v>
      </c>
      <c r="N1130" s="20"/>
      <c r="O1130" s="20"/>
    </row>
    <row r="1131" ht="15" customHeight="1">
      <c r="A1131" t="s">
        <v>2539</v>
      </c>
      <c r="B1131" t="s">
        <v>2540</v>
      </c>
      <c r="C1131" s="22" t="s">
        <v>55</v>
      </c>
      <c r="D1131" t="s">
        <v>250</v>
      </c>
      <c r="E1131" t="s">
        <v>251</v>
      </c>
      <c r="M1131" s="19">
        <v>45398</v>
      </c>
      <c r="N1131" s="20"/>
      <c r="O1131" s="20"/>
    </row>
    <row r="1132" ht="15" customHeight="1">
      <c r="A1132" t="s">
        <v>2541</v>
      </c>
      <c r="B1132" t="s">
        <v>2542</v>
      </c>
      <c r="C1132" t="s">
        <v>259</v>
      </c>
      <c r="D1132" t="s">
        <v>223</v>
      </c>
      <c r="E1132" t="s">
        <v>224</v>
      </c>
      <c r="M1132" s="19">
        <v>45398</v>
      </c>
      <c r="N1132" s="20"/>
      <c r="O1132" s="20"/>
    </row>
    <row r="1133" ht="15" customHeight="1">
      <c r="A1133" t="s">
        <v>2543</v>
      </c>
      <c r="B1133" t="s">
        <v>2544</v>
      </c>
      <c r="C1133" t="s">
        <v>259</v>
      </c>
      <c r="D1133" t="s">
        <v>223</v>
      </c>
      <c r="E1133" t="s">
        <v>224</v>
      </c>
      <c r="M1133" s="19">
        <v>45398</v>
      </c>
      <c r="N1133" s="20"/>
      <c r="O1133" s="20"/>
    </row>
    <row r="1134" ht="15" customHeight="1">
      <c r="A1134" t="s">
        <v>2545</v>
      </c>
      <c r="B1134" t="s">
        <v>2546</v>
      </c>
      <c r="C1134" t="s">
        <v>1470</v>
      </c>
      <c r="D1134" t="s">
        <v>232</v>
      </c>
      <c r="E1134" t="s">
        <v>233</v>
      </c>
      <c r="H1134">
        <v>3</v>
      </c>
      <c r="M1134" s="19">
        <v>45397</v>
      </c>
      <c r="N1134" s="20"/>
      <c r="O1134" s="20"/>
    </row>
    <row r="1135" ht="15" customHeight="1">
      <c r="A1135" t="s">
        <v>2547</v>
      </c>
      <c r="B1135" t="s">
        <v>2548</v>
      </c>
      <c r="C1135" t="s">
        <v>1470</v>
      </c>
      <c r="D1135" t="s">
        <v>232</v>
      </c>
      <c r="E1135" t="s">
        <v>233</v>
      </c>
      <c r="M1135" s="19">
        <v>45397</v>
      </c>
      <c r="N1135" s="20"/>
      <c r="O1135" s="20"/>
    </row>
    <row r="1136" ht="15" customHeight="1">
      <c r="A1136" t="s">
        <v>2549</v>
      </c>
      <c r="B1136" t="s">
        <v>2550</v>
      </c>
      <c r="C1136" t="s">
        <v>1470</v>
      </c>
      <c r="D1136" t="s">
        <v>232</v>
      </c>
      <c r="E1136" t="s">
        <v>233</v>
      </c>
      <c r="M1136" s="19">
        <v>45397</v>
      </c>
      <c r="N1136" s="20"/>
      <c r="O1136" s="20"/>
    </row>
    <row r="1137" ht="15" customHeight="1">
      <c r="A1137" t="s">
        <v>2551</v>
      </c>
      <c r="B1137" t="s">
        <v>2552</v>
      </c>
      <c r="C1137" t="s">
        <v>1470</v>
      </c>
      <c r="D1137" t="s">
        <v>232</v>
      </c>
      <c r="E1137" t="s">
        <v>233</v>
      </c>
      <c r="M1137" s="19">
        <v>45397</v>
      </c>
      <c r="N1137" s="20"/>
      <c r="O1137" s="20"/>
    </row>
    <row r="1138" ht="15" customHeight="1">
      <c r="A1138" t="s">
        <v>2553</v>
      </c>
      <c r="B1138" t="s">
        <v>2554</v>
      </c>
      <c r="C1138" t="s">
        <v>1470</v>
      </c>
      <c r="D1138" t="s">
        <v>232</v>
      </c>
      <c r="E1138" t="s">
        <v>233</v>
      </c>
      <c r="M1138" s="19">
        <v>45397</v>
      </c>
      <c r="N1138" s="20"/>
      <c r="O1138" s="20"/>
    </row>
    <row r="1139" ht="15" customHeight="1">
      <c r="A1139" t="s">
        <v>2555</v>
      </c>
      <c r="B1139" t="s">
        <v>2556</v>
      </c>
      <c r="C1139" t="s">
        <v>1470</v>
      </c>
      <c r="D1139" t="s">
        <v>232</v>
      </c>
      <c r="E1139" t="s">
        <v>233</v>
      </c>
      <c r="M1139" s="19">
        <v>45397</v>
      </c>
      <c r="N1139" s="20"/>
      <c r="O1139" s="20"/>
    </row>
    <row r="1140" ht="15" customHeight="1">
      <c r="A1140" t="s">
        <v>2557</v>
      </c>
      <c r="B1140" t="s">
        <v>2558</v>
      </c>
      <c r="C1140" s="21" t="s">
        <v>227</v>
      </c>
      <c r="D1140" t="s">
        <v>232</v>
      </c>
      <c r="E1140" t="s">
        <v>233</v>
      </c>
      <c r="M1140" s="19">
        <v>45397</v>
      </c>
      <c r="N1140" s="20"/>
      <c r="O1140" s="20"/>
    </row>
    <row r="1141" ht="15" customHeight="1">
      <c r="A1141" t="s">
        <v>2559</v>
      </c>
      <c r="B1141" t="s">
        <v>2560</v>
      </c>
      <c r="C1141" t="s">
        <v>1470</v>
      </c>
      <c r="D1141" t="s">
        <v>232</v>
      </c>
      <c r="E1141" t="s">
        <v>233</v>
      </c>
      <c r="H1141">
        <v>5</v>
      </c>
      <c r="M1141" s="19">
        <v>45397</v>
      </c>
      <c r="N1141" s="20"/>
      <c r="O1141" s="20"/>
    </row>
    <row r="1142" ht="15" customHeight="1">
      <c r="A1142" t="s">
        <v>2561</v>
      </c>
      <c r="B1142" t="s">
        <v>2562</v>
      </c>
      <c r="C1142" t="s">
        <v>1470</v>
      </c>
      <c r="D1142" t="s">
        <v>232</v>
      </c>
      <c r="E1142" t="s">
        <v>233</v>
      </c>
      <c r="H1142">
        <v>3</v>
      </c>
      <c r="M1142" s="19">
        <v>45397</v>
      </c>
      <c r="N1142" s="20"/>
      <c r="O1142" s="20"/>
    </row>
    <row r="1143" ht="15" customHeight="1">
      <c r="A1143" t="s">
        <v>2563</v>
      </c>
      <c r="B1143" t="s">
        <v>2564</v>
      </c>
      <c r="C1143" t="s">
        <v>1470</v>
      </c>
      <c r="D1143" t="s">
        <v>232</v>
      </c>
      <c r="E1143" t="s">
        <v>233</v>
      </c>
      <c r="H1143">
        <v>5</v>
      </c>
      <c r="M1143" s="19">
        <v>45397</v>
      </c>
      <c r="N1143" s="20"/>
      <c r="O1143" s="20"/>
    </row>
    <row r="1144" ht="15" customHeight="1">
      <c r="A1144" t="s">
        <v>2565</v>
      </c>
      <c r="B1144" t="s">
        <v>2566</v>
      </c>
      <c r="C1144" s="21" t="s">
        <v>227</v>
      </c>
      <c r="D1144" t="s">
        <v>232</v>
      </c>
      <c r="E1144" t="s">
        <v>233</v>
      </c>
      <c r="M1144" s="19">
        <v>45397</v>
      </c>
      <c r="N1144" s="20"/>
      <c r="O1144" s="20"/>
    </row>
    <row r="1145" ht="15" customHeight="1">
      <c r="A1145" t="s">
        <v>2567</v>
      </c>
      <c r="B1145" t="s">
        <v>2568</v>
      </c>
      <c r="C1145" t="s">
        <v>1470</v>
      </c>
      <c r="D1145" t="s">
        <v>232</v>
      </c>
      <c r="E1145" t="s">
        <v>233</v>
      </c>
      <c r="M1145" s="19">
        <v>45397</v>
      </c>
      <c r="N1145" s="20"/>
      <c r="O1145" s="20"/>
    </row>
    <row r="1146" ht="15" customHeight="1">
      <c r="A1146" t="s">
        <v>2569</v>
      </c>
      <c r="B1146" t="s">
        <v>2570</v>
      </c>
      <c r="C1146" t="s">
        <v>1470</v>
      </c>
      <c r="D1146" t="s">
        <v>232</v>
      </c>
      <c r="E1146" t="s">
        <v>233</v>
      </c>
      <c r="M1146" s="19">
        <v>45397</v>
      </c>
      <c r="N1146" s="20"/>
      <c r="O1146" s="20"/>
    </row>
    <row r="1147" ht="15" customHeight="1">
      <c r="A1147" t="s">
        <v>2571</v>
      </c>
      <c r="B1147" t="s">
        <v>2572</v>
      </c>
      <c r="C1147" t="s">
        <v>1470</v>
      </c>
      <c r="D1147" t="s">
        <v>232</v>
      </c>
      <c r="E1147" t="s">
        <v>233</v>
      </c>
      <c r="M1147" s="19">
        <v>45397</v>
      </c>
      <c r="N1147" s="20"/>
      <c r="O1147" s="20"/>
    </row>
    <row r="1148" ht="15" customHeight="1">
      <c r="A1148" t="s">
        <v>2573</v>
      </c>
      <c r="B1148" t="s">
        <v>2574</v>
      </c>
      <c r="C1148" s="21" t="s">
        <v>227</v>
      </c>
      <c r="D1148" t="s">
        <v>232</v>
      </c>
      <c r="E1148" t="s">
        <v>233</v>
      </c>
      <c r="M1148" s="19">
        <v>45397</v>
      </c>
      <c r="N1148" s="20"/>
      <c r="O1148" s="20"/>
    </row>
    <row r="1149" ht="15" customHeight="1">
      <c r="A1149" t="s">
        <v>2575</v>
      </c>
      <c r="B1149" t="s">
        <v>2576</v>
      </c>
      <c r="C1149" t="s">
        <v>259</v>
      </c>
      <c r="D1149" t="s">
        <v>223</v>
      </c>
      <c r="E1149" t="s">
        <v>224</v>
      </c>
      <c r="M1149" s="19">
        <v>45397</v>
      </c>
      <c r="N1149" s="20"/>
      <c r="O1149" s="20"/>
    </row>
    <row r="1150" ht="15" customHeight="1">
      <c r="A1150" t="s">
        <v>2577</v>
      </c>
      <c r="B1150" t="s">
        <v>2578</v>
      </c>
      <c r="C1150" s="23" t="s">
        <v>309</v>
      </c>
      <c r="D1150" t="s">
        <v>232</v>
      </c>
      <c r="E1150" t="s">
        <v>233</v>
      </c>
      <c r="M1150" s="19">
        <v>45397</v>
      </c>
      <c r="N1150" s="20"/>
      <c r="O1150" s="20"/>
    </row>
    <row r="1151" ht="15" customHeight="1">
      <c r="A1151" t="s">
        <v>2579</v>
      </c>
      <c r="B1151" t="s">
        <v>2580</v>
      </c>
      <c r="C1151" s="23" t="s">
        <v>309</v>
      </c>
      <c r="D1151" t="s">
        <v>232</v>
      </c>
      <c r="E1151" t="s">
        <v>233</v>
      </c>
      <c r="M1151" s="19">
        <v>45397</v>
      </c>
      <c r="N1151" s="20"/>
      <c r="O1151" s="20"/>
    </row>
    <row r="1152" ht="15" customHeight="1">
      <c r="A1152" t="s">
        <v>2581</v>
      </c>
      <c r="B1152" t="s">
        <v>2582</v>
      </c>
      <c r="C1152" s="23" t="s">
        <v>309</v>
      </c>
      <c r="D1152" t="s">
        <v>232</v>
      </c>
      <c r="E1152" t="s">
        <v>233</v>
      </c>
      <c r="M1152" s="19">
        <v>45394</v>
      </c>
      <c r="N1152" s="20"/>
      <c r="O1152" s="20"/>
    </row>
    <row r="1153" ht="15" customHeight="1">
      <c r="A1153" t="s">
        <v>2583</v>
      </c>
      <c r="B1153" t="s">
        <v>2584</v>
      </c>
      <c r="C1153" s="21" t="s">
        <v>227</v>
      </c>
      <c r="D1153" t="s">
        <v>250</v>
      </c>
      <c r="E1153" t="s">
        <v>251</v>
      </c>
      <c r="M1153" s="19">
        <v>45393</v>
      </c>
      <c r="N1153" s="20"/>
      <c r="O1153" s="20"/>
    </row>
    <row r="1154" ht="15" customHeight="1">
      <c r="A1154" t="s">
        <v>2585</v>
      </c>
      <c r="B1154" t="s">
        <v>2586</v>
      </c>
      <c r="C1154" s="22" t="s">
        <v>55</v>
      </c>
      <c r="D1154" t="s">
        <v>250</v>
      </c>
      <c r="E1154" t="s">
        <v>251</v>
      </c>
      <c r="M1154" s="19">
        <v>45393</v>
      </c>
      <c r="N1154" s="20"/>
      <c r="O1154" s="20"/>
    </row>
    <row r="1155" ht="15" customHeight="1">
      <c r="A1155" t="s">
        <v>2587</v>
      </c>
      <c r="B1155" t="s">
        <v>2588</v>
      </c>
      <c r="C1155" s="23" t="s">
        <v>309</v>
      </c>
      <c r="D1155" t="s">
        <v>250</v>
      </c>
      <c r="E1155" t="s">
        <v>251</v>
      </c>
      <c r="L1155" t="s">
        <v>1875</v>
      </c>
      <c r="M1155" s="19">
        <v>45391</v>
      </c>
      <c r="N1155" s="20"/>
      <c r="O1155" s="20"/>
    </row>
    <row r="1156" ht="15" customHeight="1">
      <c r="A1156" t="s">
        <v>2589</v>
      </c>
      <c r="B1156" t="s">
        <v>2590</v>
      </c>
      <c r="C1156" t="s">
        <v>1470</v>
      </c>
      <c r="D1156" t="s">
        <v>232</v>
      </c>
      <c r="E1156" t="s">
        <v>233</v>
      </c>
      <c r="M1156" s="19">
        <v>45391</v>
      </c>
      <c r="N1156" s="20"/>
      <c r="O1156" s="20"/>
    </row>
    <row r="1157" ht="15" customHeight="1">
      <c r="A1157" t="s">
        <v>2591</v>
      </c>
      <c r="B1157" t="s">
        <v>2592</v>
      </c>
      <c r="C1157" s="21" t="s">
        <v>227</v>
      </c>
      <c r="D1157" t="s">
        <v>250</v>
      </c>
      <c r="E1157" t="s">
        <v>251</v>
      </c>
      <c r="M1157" s="19">
        <v>45385</v>
      </c>
      <c r="N1157" s="20"/>
      <c r="O1157" s="20"/>
    </row>
    <row r="1158" ht="15" customHeight="1">
      <c r="A1158" t="s">
        <v>2593</v>
      </c>
      <c r="B1158" t="s">
        <v>2594</v>
      </c>
      <c r="C1158" t="s">
        <v>1470</v>
      </c>
      <c r="D1158" t="s">
        <v>228</v>
      </c>
      <c r="E1158" t="s">
        <v>229</v>
      </c>
      <c r="H1158">
        <v>1</v>
      </c>
      <c r="M1158" s="19">
        <v>45384</v>
      </c>
      <c r="N1158" s="19">
        <v>45400</v>
      </c>
      <c r="O1158" s="20"/>
    </row>
    <row r="1159" ht="15" customHeight="1">
      <c r="A1159" t="s">
        <v>2595</v>
      </c>
      <c r="B1159" t="s">
        <v>2596</v>
      </c>
      <c r="C1159" s="23" t="s">
        <v>309</v>
      </c>
      <c r="D1159" t="s">
        <v>232</v>
      </c>
      <c r="E1159" t="s">
        <v>233</v>
      </c>
      <c r="H1159">
        <v>5</v>
      </c>
      <c r="M1159" s="19">
        <v>45384</v>
      </c>
      <c r="N1159" s="20"/>
      <c r="O1159" s="20"/>
    </row>
    <row r="1160" ht="15" customHeight="1">
      <c r="A1160" t="s">
        <v>2597</v>
      </c>
      <c r="B1160" t="s">
        <v>2598</v>
      </c>
      <c r="C1160" s="23" t="s">
        <v>309</v>
      </c>
      <c r="D1160" t="s">
        <v>232</v>
      </c>
      <c r="E1160" t="s">
        <v>233</v>
      </c>
      <c r="H1160">
        <v>5</v>
      </c>
      <c r="M1160" s="19">
        <v>45384</v>
      </c>
      <c r="N1160" s="20"/>
      <c r="O1160" s="20"/>
    </row>
    <row r="1161" ht="15" customHeight="1">
      <c r="A1161" t="s">
        <v>2599</v>
      </c>
      <c r="B1161" t="s">
        <v>2600</v>
      </c>
      <c r="C1161" s="21" t="s">
        <v>227</v>
      </c>
      <c r="D1161" t="s">
        <v>250</v>
      </c>
      <c r="E1161" t="s">
        <v>251</v>
      </c>
      <c r="M1161" s="19">
        <v>45384</v>
      </c>
      <c r="N1161" s="20"/>
      <c r="O1161" s="20"/>
    </row>
    <row r="1162" ht="15" customHeight="1">
      <c r="A1162" t="s">
        <v>2601</v>
      </c>
      <c r="B1162" t="s">
        <v>2602</v>
      </c>
      <c r="C1162" s="21" t="s">
        <v>227</v>
      </c>
      <c r="D1162" t="s">
        <v>232</v>
      </c>
      <c r="E1162" t="s">
        <v>233</v>
      </c>
      <c r="M1162" s="19">
        <v>45380</v>
      </c>
      <c r="N1162" s="20"/>
      <c r="O1162" s="20"/>
    </row>
    <row r="1163" ht="15" customHeight="1">
      <c r="A1163" t="s">
        <v>2603</v>
      </c>
      <c r="B1163" t="s">
        <v>2604</v>
      </c>
      <c r="C1163" s="21" t="s">
        <v>227</v>
      </c>
      <c r="D1163" t="s">
        <v>232</v>
      </c>
      <c r="E1163" t="s">
        <v>233</v>
      </c>
      <c r="M1163" s="19">
        <v>45380</v>
      </c>
      <c r="N1163" s="20"/>
      <c r="O1163" s="20"/>
    </row>
    <row r="1164" ht="15" customHeight="1">
      <c r="A1164" t="s">
        <v>2605</v>
      </c>
      <c r="B1164" t="s">
        <v>2606</v>
      </c>
      <c r="C1164" t="s">
        <v>1057</v>
      </c>
      <c r="D1164" t="s">
        <v>223</v>
      </c>
      <c r="E1164" t="s">
        <v>224</v>
      </c>
      <c r="M1164" s="19">
        <v>45380</v>
      </c>
      <c r="N1164" s="20"/>
      <c r="O1164" s="20"/>
    </row>
    <row r="1165" ht="15" customHeight="1">
      <c r="A1165" t="s">
        <v>2607</v>
      </c>
      <c r="B1165" t="s">
        <v>2608</v>
      </c>
      <c r="C1165" s="23" t="s">
        <v>309</v>
      </c>
      <c r="D1165" t="s">
        <v>232</v>
      </c>
      <c r="E1165" t="s">
        <v>233</v>
      </c>
      <c r="M1165" s="19">
        <v>45376</v>
      </c>
      <c r="N1165" s="20"/>
      <c r="O1165" s="20"/>
    </row>
    <row r="1166" ht="15" customHeight="1">
      <c r="A1166" t="s">
        <v>2609</v>
      </c>
      <c r="B1166" t="s">
        <v>2610</v>
      </c>
      <c r="C1166" t="s">
        <v>1470</v>
      </c>
      <c r="D1166" t="s">
        <v>232</v>
      </c>
      <c r="E1166" t="s">
        <v>233</v>
      </c>
      <c r="H1166">
        <v>5</v>
      </c>
      <c r="M1166" s="19">
        <v>45373</v>
      </c>
      <c r="N1166" s="20"/>
      <c r="O1166" s="20"/>
    </row>
    <row r="1167" ht="15" customHeight="1">
      <c r="A1167" t="s">
        <v>2611</v>
      </c>
      <c r="B1167" t="s">
        <v>2612</v>
      </c>
      <c r="C1167" t="s">
        <v>1470</v>
      </c>
      <c r="D1167" t="s">
        <v>813</v>
      </c>
      <c r="E1167" t="s">
        <v>814</v>
      </c>
      <c r="H1167">
        <v>1</v>
      </c>
      <c r="M1167" s="19">
        <v>45373</v>
      </c>
      <c r="N1167" s="20"/>
      <c r="O1167" s="20"/>
    </row>
    <row r="1168" ht="15" customHeight="1">
      <c r="A1168" t="s">
        <v>2613</v>
      </c>
      <c r="B1168" t="s">
        <v>2614</v>
      </c>
      <c r="C1168" t="s">
        <v>1470</v>
      </c>
      <c r="D1168" t="s">
        <v>813</v>
      </c>
      <c r="E1168" t="s">
        <v>814</v>
      </c>
      <c r="H1168">
        <v>3</v>
      </c>
      <c r="M1168" s="19">
        <v>45373</v>
      </c>
      <c r="N1168" s="20"/>
      <c r="O1168" s="20"/>
    </row>
    <row r="1169" ht="15" customHeight="1">
      <c r="A1169" t="s">
        <v>2615</v>
      </c>
      <c r="B1169" t="s">
        <v>2616</v>
      </c>
      <c r="C1169" t="s">
        <v>1470</v>
      </c>
      <c r="D1169" t="s">
        <v>813</v>
      </c>
      <c r="E1169" t="s">
        <v>814</v>
      </c>
      <c r="H1169">
        <v>5</v>
      </c>
      <c r="M1169" s="19">
        <v>45373</v>
      </c>
      <c r="N1169" s="20"/>
      <c r="O1169" s="20"/>
    </row>
    <row r="1170" ht="15" customHeight="1">
      <c r="A1170" t="s">
        <v>2617</v>
      </c>
      <c r="B1170" t="s">
        <v>2618</v>
      </c>
      <c r="C1170" s="21" t="s">
        <v>227</v>
      </c>
      <c r="D1170" t="s">
        <v>813</v>
      </c>
      <c r="E1170" t="s">
        <v>814</v>
      </c>
      <c r="M1170" s="19">
        <v>45373</v>
      </c>
      <c r="N1170" s="20"/>
      <c r="O1170" s="20"/>
    </row>
    <row r="1171" ht="15" customHeight="1">
      <c r="A1171" t="s">
        <v>2619</v>
      </c>
      <c r="B1171" t="s">
        <v>2620</v>
      </c>
      <c r="C1171" t="s">
        <v>1470</v>
      </c>
      <c r="D1171" t="s">
        <v>232</v>
      </c>
      <c r="E1171" t="s">
        <v>233</v>
      </c>
      <c r="H1171">
        <v>3</v>
      </c>
      <c r="M1171" s="19">
        <v>45372</v>
      </c>
      <c r="N1171" s="20"/>
      <c r="O1171" s="20"/>
    </row>
    <row r="1172" ht="15" customHeight="1">
      <c r="A1172" t="s">
        <v>2621</v>
      </c>
      <c r="B1172" t="s">
        <v>2622</v>
      </c>
      <c r="C1172" t="s">
        <v>1470</v>
      </c>
      <c r="D1172" t="s">
        <v>232</v>
      </c>
      <c r="E1172" t="s">
        <v>233</v>
      </c>
      <c r="M1172" s="19">
        <v>45371</v>
      </c>
      <c r="N1172" s="20"/>
      <c r="O1172" s="20"/>
    </row>
    <row r="1173" ht="15" customHeight="1">
      <c r="A1173" t="s">
        <v>2623</v>
      </c>
      <c r="B1173" t="s">
        <v>2624</v>
      </c>
      <c r="C1173" t="s">
        <v>1470</v>
      </c>
      <c r="D1173" t="s">
        <v>232</v>
      </c>
      <c r="E1173" t="s">
        <v>233</v>
      </c>
      <c r="M1173" s="19">
        <v>45371</v>
      </c>
      <c r="N1173" s="20"/>
      <c r="O1173" s="20"/>
    </row>
    <row r="1174" ht="15" customHeight="1">
      <c r="A1174" t="s">
        <v>2625</v>
      </c>
      <c r="B1174" t="s">
        <v>2626</v>
      </c>
      <c r="C1174" t="s">
        <v>259</v>
      </c>
      <c r="D1174" t="s">
        <v>223</v>
      </c>
      <c r="E1174" t="s">
        <v>224</v>
      </c>
      <c r="M1174" s="19">
        <v>45371</v>
      </c>
      <c r="N1174" s="20"/>
      <c r="O1174" s="20"/>
    </row>
    <row r="1175" ht="15" customHeight="1">
      <c r="A1175" t="s">
        <v>2627</v>
      </c>
      <c r="B1175" t="s">
        <v>2628</v>
      </c>
      <c r="C1175" s="23" t="s">
        <v>309</v>
      </c>
      <c r="D1175" t="s">
        <v>232</v>
      </c>
      <c r="E1175" t="s">
        <v>233</v>
      </c>
      <c r="M1175" s="19">
        <v>45370</v>
      </c>
      <c r="N1175" s="20"/>
      <c r="O1175" s="20"/>
    </row>
    <row r="1176" ht="15" customHeight="1">
      <c r="A1176" t="s">
        <v>2629</v>
      </c>
      <c r="B1176" t="s">
        <v>2630</v>
      </c>
      <c r="C1176" t="s">
        <v>1470</v>
      </c>
      <c r="D1176" t="s">
        <v>232</v>
      </c>
      <c r="E1176" t="s">
        <v>233</v>
      </c>
      <c r="M1176" s="19">
        <v>45370</v>
      </c>
      <c r="N1176" s="20"/>
      <c r="O1176" s="20"/>
    </row>
    <row r="1177" ht="15" customHeight="1">
      <c r="A1177" t="s">
        <v>2631</v>
      </c>
      <c r="B1177" t="s">
        <v>2632</v>
      </c>
      <c r="C1177" s="23" t="s">
        <v>309</v>
      </c>
      <c r="D1177" t="s">
        <v>813</v>
      </c>
      <c r="E1177" t="s">
        <v>814</v>
      </c>
      <c r="H1177">
        <v>2</v>
      </c>
      <c r="L1177" t="s">
        <v>2633</v>
      </c>
      <c r="M1177" s="19">
        <v>45370</v>
      </c>
      <c r="N1177" s="19">
        <v>45386</v>
      </c>
      <c r="O1177" s="20"/>
    </row>
    <row r="1178" ht="15" customHeight="1">
      <c r="A1178" t="s">
        <v>2634</v>
      </c>
      <c r="B1178" t="s">
        <v>2635</v>
      </c>
      <c r="C1178" t="s">
        <v>1470</v>
      </c>
      <c r="D1178" t="s">
        <v>232</v>
      </c>
      <c r="E1178" t="s">
        <v>233</v>
      </c>
      <c r="M1178" s="19">
        <v>45369</v>
      </c>
      <c r="N1178" s="20"/>
      <c r="O1178" s="20"/>
    </row>
    <row r="1179" ht="15" customHeight="1">
      <c r="A1179" t="s">
        <v>2636</v>
      </c>
      <c r="B1179" t="s">
        <v>2637</v>
      </c>
      <c r="C1179" s="23" t="s">
        <v>309</v>
      </c>
      <c r="D1179" t="s">
        <v>813</v>
      </c>
      <c r="E1179" t="s">
        <v>814</v>
      </c>
      <c r="K1179" t="s">
        <v>815</v>
      </c>
      <c r="M1179" s="19">
        <v>45366</v>
      </c>
      <c r="N1179" s="20"/>
      <c r="O1179" s="20"/>
    </row>
    <row r="1180" ht="15" customHeight="1">
      <c r="A1180" t="s">
        <v>2638</v>
      </c>
      <c r="B1180" t="s">
        <v>2626</v>
      </c>
      <c r="C1180" t="s">
        <v>259</v>
      </c>
      <c r="D1180" t="s">
        <v>223</v>
      </c>
      <c r="E1180" t="s">
        <v>224</v>
      </c>
      <c r="M1180" s="19">
        <v>45365</v>
      </c>
      <c r="N1180" s="20"/>
      <c r="O1180" s="20"/>
    </row>
    <row r="1181" ht="15" customHeight="1">
      <c r="A1181" t="s">
        <v>2639</v>
      </c>
      <c r="B1181" t="s">
        <v>2640</v>
      </c>
      <c r="C1181" s="21" t="s">
        <v>227</v>
      </c>
      <c r="D1181" t="s">
        <v>250</v>
      </c>
      <c r="E1181" t="s">
        <v>251</v>
      </c>
      <c r="M1181" s="19">
        <v>45364</v>
      </c>
      <c r="N1181" s="20"/>
      <c r="O1181" s="20"/>
    </row>
    <row r="1182" ht="15" customHeight="1">
      <c r="A1182" t="s">
        <v>2641</v>
      </c>
      <c r="B1182" t="s">
        <v>2642</v>
      </c>
      <c r="C1182" s="21" t="s">
        <v>227</v>
      </c>
      <c r="D1182" t="s">
        <v>250</v>
      </c>
      <c r="E1182" t="s">
        <v>251</v>
      </c>
      <c r="M1182" s="19">
        <v>45364</v>
      </c>
      <c r="N1182" s="20"/>
      <c r="O1182" s="20"/>
    </row>
    <row r="1183" ht="15" customHeight="1">
      <c r="A1183" t="s">
        <v>2643</v>
      </c>
      <c r="B1183" t="s">
        <v>2644</v>
      </c>
      <c r="C1183" s="23" t="s">
        <v>309</v>
      </c>
      <c r="D1183" t="s">
        <v>813</v>
      </c>
      <c r="E1183" t="s">
        <v>814</v>
      </c>
      <c r="M1183" s="19">
        <v>45358</v>
      </c>
      <c r="N1183" s="19">
        <v>45456</v>
      </c>
      <c r="O1183" s="20"/>
    </row>
    <row r="1184" ht="15" customHeight="1">
      <c r="A1184" t="s">
        <v>2645</v>
      </c>
      <c r="B1184" t="s">
        <v>2646</v>
      </c>
      <c r="C1184" s="23" t="s">
        <v>309</v>
      </c>
      <c r="D1184" t="s">
        <v>232</v>
      </c>
      <c r="E1184" t="s">
        <v>233</v>
      </c>
      <c r="H1184">
        <v>5</v>
      </c>
      <c r="M1184" s="19">
        <v>45357</v>
      </c>
      <c r="N1184" s="20"/>
      <c r="O1184" s="20"/>
    </row>
    <row r="1185" ht="15" customHeight="1">
      <c r="A1185" t="s">
        <v>2647</v>
      </c>
      <c r="B1185" t="s">
        <v>2648</v>
      </c>
      <c r="C1185" s="22" t="s">
        <v>55</v>
      </c>
      <c r="D1185" t="s">
        <v>250</v>
      </c>
      <c r="E1185" t="s">
        <v>251</v>
      </c>
      <c r="M1185" s="19">
        <v>45357</v>
      </c>
      <c r="N1185" s="20"/>
      <c r="O1185" s="20"/>
    </row>
    <row r="1186" ht="15" customHeight="1">
      <c r="A1186" t="s">
        <v>2649</v>
      </c>
      <c r="B1186" t="s">
        <v>2650</v>
      </c>
      <c r="C1186" s="21" t="s">
        <v>227</v>
      </c>
      <c r="D1186" t="s">
        <v>813</v>
      </c>
      <c r="E1186" t="s">
        <v>814</v>
      </c>
      <c r="H1186">
        <v>2</v>
      </c>
      <c r="M1186" s="19">
        <v>45357</v>
      </c>
      <c r="N1186" s="20"/>
      <c r="O1186" s="20"/>
    </row>
    <row r="1187" ht="15" customHeight="1">
      <c r="A1187" t="s">
        <v>2651</v>
      </c>
      <c r="B1187" t="s">
        <v>2652</v>
      </c>
      <c r="C1187" s="23" t="s">
        <v>309</v>
      </c>
      <c r="D1187" t="s">
        <v>232</v>
      </c>
      <c r="E1187" t="s">
        <v>233</v>
      </c>
      <c r="H1187">
        <v>5</v>
      </c>
      <c r="M1187" s="19">
        <v>45356</v>
      </c>
      <c r="N1187" s="20"/>
      <c r="O1187" s="20"/>
    </row>
    <row r="1188" ht="15" customHeight="1">
      <c r="A1188" t="s">
        <v>2653</v>
      </c>
      <c r="B1188" t="s">
        <v>2654</v>
      </c>
      <c r="C1188" s="23" t="s">
        <v>309</v>
      </c>
      <c r="D1188" t="s">
        <v>232</v>
      </c>
      <c r="E1188" t="s">
        <v>233</v>
      </c>
      <c r="H1188">
        <v>3</v>
      </c>
      <c r="M1188" s="19">
        <v>45356</v>
      </c>
      <c r="N1188" s="20"/>
      <c r="O1188" s="20"/>
    </row>
    <row r="1189" ht="15" customHeight="1">
      <c r="A1189" t="s">
        <v>2655</v>
      </c>
      <c r="B1189" t="s">
        <v>2656</v>
      </c>
      <c r="C1189" t="s">
        <v>1470</v>
      </c>
      <c r="D1189" t="s">
        <v>232</v>
      </c>
      <c r="E1189" t="s">
        <v>233</v>
      </c>
      <c r="M1189" s="19">
        <v>45356</v>
      </c>
      <c r="N1189" s="20"/>
      <c r="O1189" s="20"/>
    </row>
    <row r="1190" ht="15" customHeight="1">
      <c r="A1190" t="s">
        <v>2657</v>
      </c>
      <c r="B1190" t="s">
        <v>2658</v>
      </c>
      <c r="C1190" t="s">
        <v>1470</v>
      </c>
      <c r="D1190" t="s">
        <v>232</v>
      </c>
      <c r="E1190" t="s">
        <v>233</v>
      </c>
      <c r="M1190" s="19">
        <v>45356</v>
      </c>
      <c r="N1190" s="20"/>
      <c r="O1190" s="20"/>
    </row>
    <row r="1191" ht="15" customHeight="1">
      <c r="A1191" t="s">
        <v>2659</v>
      </c>
      <c r="B1191" t="s">
        <v>2660</v>
      </c>
      <c r="C1191" t="s">
        <v>1470</v>
      </c>
      <c r="D1191" t="s">
        <v>232</v>
      </c>
      <c r="E1191" t="s">
        <v>233</v>
      </c>
      <c r="H1191">
        <v>5</v>
      </c>
      <c r="M1191" s="19">
        <v>45356</v>
      </c>
      <c r="N1191" s="20"/>
      <c r="O1191" s="20"/>
    </row>
    <row r="1192" ht="15" customHeight="1">
      <c r="A1192" t="s">
        <v>2661</v>
      </c>
      <c r="B1192" t="s">
        <v>2662</v>
      </c>
      <c r="C1192" s="23" t="s">
        <v>309</v>
      </c>
      <c r="D1192" t="s">
        <v>228</v>
      </c>
      <c r="E1192" t="s">
        <v>229</v>
      </c>
      <c r="M1192" s="19">
        <v>45356</v>
      </c>
      <c r="N1192" s="20"/>
      <c r="O1192" s="20"/>
    </row>
    <row r="1193" ht="15" customHeight="1">
      <c r="A1193" t="s">
        <v>2663</v>
      </c>
      <c r="B1193" t="s">
        <v>2664</v>
      </c>
      <c r="C1193" t="s">
        <v>1470</v>
      </c>
      <c r="D1193" t="s">
        <v>232</v>
      </c>
      <c r="E1193" t="s">
        <v>233</v>
      </c>
      <c r="H1193">
        <v>3</v>
      </c>
      <c r="L1193" t="s">
        <v>2390</v>
      </c>
      <c r="M1193" s="19">
        <v>45356</v>
      </c>
      <c r="N1193" s="19">
        <v>45470</v>
      </c>
      <c r="O1193" s="20"/>
    </row>
    <row r="1194" ht="15" customHeight="1">
      <c r="A1194" t="s">
        <v>2665</v>
      </c>
      <c r="B1194" t="s">
        <v>2666</v>
      </c>
      <c r="C1194" t="s">
        <v>1470</v>
      </c>
      <c r="D1194" t="s">
        <v>232</v>
      </c>
      <c r="E1194" t="s">
        <v>233</v>
      </c>
      <c r="H1194">
        <v>5</v>
      </c>
      <c r="L1194" t="s">
        <v>2390</v>
      </c>
      <c r="M1194" s="19">
        <v>45356</v>
      </c>
      <c r="N1194" s="19">
        <v>45470</v>
      </c>
      <c r="O1194" s="20"/>
    </row>
    <row r="1195" ht="15" customHeight="1">
      <c r="A1195" t="s">
        <v>2667</v>
      </c>
      <c r="B1195" t="s">
        <v>2668</v>
      </c>
      <c r="C1195" s="21" t="s">
        <v>227</v>
      </c>
      <c r="D1195" t="s">
        <v>250</v>
      </c>
      <c r="E1195" t="s">
        <v>251</v>
      </c>
      <c r="M1195" s="19">
        <v>45352</v>
      </c>
      <c r="N1195" s="20"/>
      <c r="O1195" s="20"/>
    </row>
    <row r="1196" ht="15" customHeight="1">
      <c r="A1196" t="s">
        <v>2669</v>
      </c>
      <c r="B1196" t="s">
        <v>2670</v>
      </c>
      <c r="C1196" s="23" t="s">
        <v>309</v>
      </c>
      <c r="D1196" t="s">
        <v>813</v>
      </c>
      <c r="E1196" t="s">
        <v>814</v>
      </c>
      <c r="H1196">
        <v>2</v>
      </c>
      <c r="L1196" t="s">
        <v>2671</v>
      </c>
      <c r="M1196" s="19">
        <v>45351</v>
      </c>
      <c r="N1196" s="19">
        <v>45372</v>
      </c>
      <c r="O1196" s="20"/>
    </row>
    <row r="1197" ht="15" customHeight="1">
      <c r="A1197" t="s">
        <v>2672</v>
      </c>
      <c r="B1197" t="s">
        <v>2673</v>
      </c>
      <c r="C1197" t="s">
        <v>259</v>
      </c>
      <c r="D1197" t="s">
        <v>223</v>
      </c>
      <c r="E1197" t="s">
        <v>224</v>
      </c>
      <c r="M1197" s="19">
        <v>45351</v>
      </c>
      <c r="N1197" s="20"/>
      <c r="O1197" s="20"/>
    </row>
    <row r="1198" ht="15" customHeight="1">
      <c r="A1198" t="s">
        <v>2674</v>
      </c>
      <c r="B1198" t="s">
        <v>2675</v>
      </c>
      <c r="C1198" t="s">
        <v>1470</v>
      </c>
      <c r="D1198" t="s">
        <v>232</v>
      </c>
      <c r="E1198" t="s">
        <v>233</v>
      </c>
      <c r="M1198" s="19">
        <v>45350</v>
      </c>
      <c r="N1198" s="20"/>
      <c r="O1198" s="20"/>
    </row>
    <row r="1199" ht="15" customHeight="1">
      <c r="A1199" t="s">
        <v>2676</v>
      </c>
      <c r="B1199" t="s">
        <v>2677</v>
      </c>
      <c r="C1199" s="21" t="s">
        <v>227</v>
      </c>
      <c r="D1199" t="s">
        <v>250</v>
      </c>
      <c r="E1199" t="s">
        <v>251</v>
      </c>
      <c r="H1199">
        <v>5</v>
      </c>
      <c r="M1199" s="19">
        <v>45350</v>
      </c>
      <c r="N1199" s="20"/>
      <c r="O1199" s="20"/>
    </row>
    <row r="1200" ht="15" customHeight="1">
      <c r="A1200" t="s">
        <v>2678</v>
      </c>
      <c r="B1200" t="s">
        <v>2679</v>
      </c>
      <c r="C1200" s="23" t="s">
        <v>309</v>
      </c>
      <c r="D1200" t="s">
        <v>232</v>
      </c>
      <c r="E1200" t="s">
        <v>233</v>
      </c>
      <c r="M1200" s="19">
        <v>45349</v>
      </c>
      <c r="N1200" s="20"/>
      <c r="O1200" s="20"/>
    </row>
    <row r="1201" ht="15" customHeight="1">
      <c r="A1201" t="s">
        <v>2680</v>
      </c>
      <c r="B1201" t="s">
        <v>2681</v>
      </c>
      <c r="C1201" s="23" t="s">
        <v>309</v>
      </c>
      <c r="D1201" t="s">
        <v>232</v>
      </c>
      <c r="E1201" t="s">
        <v>233</v>
      </c>
      <c r="H1201">
        <v>2</v>
      </c>
      <c r="M1201" s="19">
        <v>45349</v>
      </c>
      <c r="N1201" s="20"/>
      <c r="O1201" s="20"/>
    </row>
    <row r="1202" ht="15" customHeight="1">
      <c r="A1202" t="s">
        <v>2682</v>
      </c>
      <c r="B1202" t="s">
        <v>2683</v>
      </c>
      <c r="C1202" s="21" t="s">
        <v>227</v>
      </c>
      <c r="D1202" t="s">
        <v>250</v>
      </c>
      <c r="E1202" t="s">
        <v>251</v>
      </c>
      <c r="M1202" s="19">
        <v>45344</v>
      </c>
      <c r="N1202" s="20"/>
      <c r="O1202" s="20"/>
    </row>
    <row r="1203" ht="15" customHeight="1">
      <c r="A1203" t="s">
        <v>2684</v>
      </c>
      <c r="B1203" t="s">
        <v>2685</v>
      </c>
      <c r="C1203" t="s">
        <v>1470</v>
      </c>
      <c r="D1203" t="s">
        <v>232</v>
      </c>
      <c r="E1203" t="s">
        <v>233</v>
      </c>
      <c r="M1203" s="19">
        <v>45343</v>
      </c>
      <c r="N1203" s="20"/>
      <c r="O1203" s="20"/>
    </row>
    <row r="1204" ht="15" customHeight="1">
      <c r="A1204" t="s">
        <v>2686</v>
      </c>
      <c r="B1204" t="s">
        <v>2687</v>
      </c>
      <c r="C1204" t="s">
        <v>1470</v>
      </c>
      <c r="D1204" t="s">
        <v>228</v>
      </c>
      <c r="E1204" t="s">
        <v>229</v>
      </c>
      <c r="M1204" s="19">
        <v>45342</v>
      </c>
      <c r="N1204" s="19">
        <v>45372</v>
      </c>
      <c r="O1204" s="20"/>
    </row>
    <row r="1205" ht="15" customHeight="1">
      <c r="A1205" t="s">
        <v>2688</v>
      </c>
      <c r="B1205" t="s">
        <v>2689</v>
      </c>
      <c r="C1205" s="21" t="s">
        <v>227</v>
      </c>
      <c r="D1205" t="s">
        <v>813</v>
      </c>
      <c r="E1205" t="s">
        <v>814</v>
      </c>
      <c r="H1205">
        <v>3</v>
      </c>
      <c r="M1205" s="19">
        <v>45337</v>
      </c>
      <c r="N1205" s="20"/>
      <c r="O1205" s="20"/>
    </row>
    <row r="1206" ht="15" customHeight="1">
      <c r="A1206" t="s">
        <v>2690</v>
      </c>
      <c r="B1206" t="s">
        <v>2691</v>
      </c>
      <c r="C1206" s="21" t="s">
        <v>227</v>
      </c>
      <c r="D1206" t="s">
        <v>250</v>
      </c>
      <c r="E1206" t="s">
        <v>251</v>
      </c>
      <c r="M1206" s="19">
        <v>45336</v>
      </c>
      <c r="N1206" s="20"/>
      <c r="O1206" s="20"/>
    </row>
    <row r="1207" ht="15" customHeight="1">
      <c r="A1207" t="s">
        <v>2692</v>
      </c>
      <c r="B1207" t="s">
        <v>2693</v>
      </c>
      <c r="C1207" s="21" t="s">
        <v>227</v>
      </c>
      <c r="D1207" t="s">
        <v>250</v>
      </c>
      <c r="E1207" t="s">
        <v>251</v>
      </c>
      <c r="H1207">
        <v>5</v>
      </c>
      <c r="M1207" s="19">
        <v>45336</v>
      </c>
      <c r="N1207" s="20"/>
      <c r="O1207" s="20"/>
    </row>
    <row r="1208" ht="15" customHeight="1">
      <c r="A1208" t="s">
        <v>2694</v>
      </c>
      <c r="B1208" t="s">
        <v>2695</v>
      </c>
      <c r="C1208" s="23" t="s">
        <v>309</v>
      </c>
      <c r="D1208" t="s">
        <v>232</v>
      </c>
      <c r="E1208" t="s">
        <v>233</v>
      </c>
      <c r="H1208">
        <v>3</v>
      </c>
      <c r="M1208" s="19">
        <v>45336</v>
      </c>
      <c r="N1208" s="20"/>
      <c r="O1208" s="20"/>
    </row>
    <row r="1209" ht="15" customHeight="1">
      <c r="A1209" t="s">
        <v>2696</v>
      </c>
      <c r="B1209" t="s">
        <v>2697</v>
      </c>
      <c r="C1209" t="s">
        <v>1470</v>
      </c>
      <c r="D1209" t="s">
        <v>232</v>
      </c>
      <c r="E1209" t="s">
        <v>233</v>
      </c>
      <c r="M1209" s="19">
        <v>45330</v>
      </c>
      <c r="N1209" s="20"/>
      <c r="O1209" s="20"/>
    </row>
    <row r="1210" ht="15" customHeight="1">
      <c r="A1210" t="s">
        <v>2698</v>
      </c>
      <c r="B1210" t="s">
        <v>2699</v>
      </c>
      <c r="C1210" s="23" t="s">
        <v>309</v>
      </c>
      <c r="D1210" t="s">
        <v>813</v>
      </c>
      <c r="E1210" t="s">
        <v>814</v>
      </c>
      <c r="M1210" s="19">
        <v>45330</v>
      </c>
      <c r="N1210" s="19">
        <v>45358</v>
      </c>
      <c r="O1210" s="20"/>
    </row>
    <row r="1211" ht="15" customHeight="1">
      <c r="A1211" t="s">
        <v>2700</v>
      </c>
      <c r="B1211" t="s">
        <v>1616</v>
      </c>
      <c r="C1211" t="s">
        <v>1057</v>
      </c>
      <c r="D1211" t="s">
        <v>223</v>
      </c>
      <c r="E1211" t="s">
        <v>224</v>
      </c>
      <c r="M1211" s="19">
        <v>45329</v>
      </c>
      <c r="N1211" s="20"/>
      <c r="O1211" s="20"/>
    </row>
    <row r="1212" ht="15" customHeight="1">
      <c r="A1212" t="s">
        <v>2701</v>
      </c>
      <c r="B1212" t="s">
        <v>2702</v>
      </c>
      <c r="C1212" t="s">
        <v>1057</v>
      </c>
      <c r="D1212" t="s">
        <v>223</v>
      </c>
      <c r="E1212" t="s">
        <v>224</v>
      </c>
      <c r="M1212" s="19">
        <v>45329</v>
      </c>
      <c r="N1212" s="20"/>
      <c r="O1212" s="20"/>
    </row>
    <row r="1213" ht="15" customHeight="1">
      <c r="A1213" t="s">
        <v>2703</v>
      </c>
      <c r="B1213" t="s">
        <v>2704</v>
      </c>
      <c r="C1213" t="s">
        <v>1057</v>
      </c>
      <c r="D1213" t="s">
        <v>223</v>
      </c>
      <c r="E1213" t="s">
        <v>224</v>
      </c>
      <c r="M1213" s="19">
        <v>45329</v>
      </c>
      <c r="N1213" s="20"/>
      <c r="O1213" s="20"/>
    </row>
    <row r="1214" ht="15" customHeight="1">
      <c r="A1214" t="s">
        <v>2705</v>
      </c>
      <c r="B1214" t="s">
        <v>2706</v>
      </c>
      <c r="C1214" t="s">
        <v>1057</v>
      </c>
      <c r="D1214" t="s">
        <v>223</v>
      </c>
      <c r="E1214" t="s">
        <v>224</v>
      </c>
      <c r="M1214" s="19">
        <v>45329</v>
      </c>
      <c r="N1214" s="20"/>
      <c r="O1214" s="20"/>
    </row>
    <row r="1215" ht="15" customHeight="1">
      <c r="A1215" t="s">
        <v>2707</v>
      </c>
      <c r="B1215" t="s">
        <v>2708</v>
      </c>
      <c r="C1215" t="s">
        <v>1057</v>
      </c>
      <c r="D1215" t="s">
        <v>223</v>
      </c>
      <c r="E1215" t="s">
        <v>224</v>
      </c>
      <c r="M1215" s="19">
        <v>45329</v>
      </c>
      <c r="N1215" s="20"/>
      <c r="O1215" s="20"/>
    </row>
    <row r="1216" ht="15" customHeight="1">
      <c r="A1216" t="s">
        <v>2709</v>
      </c>
      <c r="B1216" t="s">
        <v>2710</v>
      </c>
      <c r="C1216" t="s">
        <v>1057</v>
      </c>
      <c r="D1216" t="s">
        <v>223</v>
      </c>
      <c r="E1216" t="s">
        <v>224</v>
      </c>
      <c r="M1216" s="19">
        <v>45329</v>
      </c>
      <c r="N1216" s="20"/>
      <c r="O1216" s="20"/>
    </row>
    <row r="1217" ht="15" customHeight="1">
      <c r="A1217" t="s">
        <v>2711</v>
      </c>
      <c r="B1217" t="s">
        <v>2712</v>
      </c>
      <c r="C1217" t="s">
        <v>1057</v>
      </c>
      <c r="D1217" t="s">
        <v>223</v>
      </c>
      <c r="E1217" t="s">
        <v>224</v>
      </c>
      <c r="M1217" s="19">
        <v>45329</v>
      </c>
      <c r="N1217" s="20"/>
      <c r="O1217" s="20"/>
    </row>
    <row r="1218" ht="15" customHeight="1">
      <c r="A1218" t="s">
        <v>2713</v>
      </c>
      <c r="B1218" t="s">
        <v>2714</v>
      </c>
      <c r="C1218" t="s">
        <v>1057</v>
      </c>
      <c r="D1218" t="s">
        <v>223</v>
      </c>
      <c r="E1218" t="s">
        <v>224</v>
      </c>
      <c r="M1218" s="19">
        <v>45329</v>
      </c>
      <c r="N1218" s="20"/>
      <c r="O1218" s="20"/>
    </row>
    <row r="1219" ht="15" customHeight="1">
      <c r="A1219" t="s">
        <v>2715</v>
      </c>
      <c r="B1219" t="s">
        <v>2716</v>
      </c>
      <c r="C1219" t="s">
        <v>1057</v>
      </c>
      <c r="D1219" t="s">
        <v>223</v>
      </c>
      <c r="E1219" t="s">
        <v>224</v>
      </c>
      <c r="M1219" s="19">
        <v>45329</v>
      </c>
      <c r="N1219" s="20"/>
      <c r="O1219" s="20"/>
    </row>
    <row r="1220" ht="15" customHeight="1">
      <c r="A1220" t="s">
        <v>2717</v>
      </c>
      <c r="B1220" t="s">
        <v>2718</v>
      </c>
      <c r="C1220" t="s">
        <v>1057</v>
      </c>
      <c r="D1220" t="s">
        <v>223</v>
      </c>
      <c r="E1220" t="s">
        <v>224</v>
      </c>
      <c r="M1220" s="19">
        <v>45329</v>
      </c>
      <c r="N1220" s="20"/>
      <c r="O1220" s="20"/>
    </row>
    <row r="1221" ht="15" customHeight="1">
      <c r="A1221" t="s">
        <v>2719</v>
      </c>
      <c r="B1221" t="s">
        <v>2720</v>
      </c>
      <c r="C1221" t="s">
        <v>1057</v>
      </c>
      <c r="D1221" t="s">
        <v>223</v>
      </c>
      <c r="E1221" t="s">
        <v>224</v>
      </c>
      <c r="M1221" s="19">
        <v>45329</v>
      </c>
      <c r="N1221" s="20"/>
      <c r="O1221" s="20"/>
    </row>
    <row r="1222" ht="15" customHeight="1">
      <c r="A1222" t="s">
        <v>2721</v>
      </c>
      <c r="B1222" t="s">
        <v>2722</v>
      </c>
      <c r="C1222" t="s">
        <v>1057</v>
      </c>
      <c r="D1222" t="s">
        <v>223</v>
      </c>
      <c r="E1222" t="s">
        <v>224</v>
      </c>
      <c r="M1222" s="19">
        <v>45329</v>
      </c>
      <c r="N1222" s="20"/>
      <c r="O1222" s="20"/>
    </row>
    <row r="1223" ht="15" customHeight="1">
      <c r="A1223" t="s">
        <v>2723</v>
      </c>
      <c r="B1223" t="s">
        <v>2724</v>
      </c>
      <c r="C1223" t="s">
        <v>1057</v>
      </c>
      <c r="D1223" t="s">
        <v>223</v>
      </c>
      <c r="E1223" t="s">
        <v>224</v>
      </c>
      <c r="M1223" s="19">
        <v>45329</v>
      </c>
      <c r="N1223" s="20"/>
      <c r="O1223" s="20"/>
    </row>
    <row r="1224" ht="15" customHeight="1">
      <c r="A1224" t="s">
        <v>2725</v>
      </c>
      <c r="B1224" t="s">
        <v>2726</v>
      </c>
      <c r="C1224" t="s">
        <v>1057</v>
      </c>
      <c r="D1224" t="s">
        <v>223</v>
      </c>
      <c r="E1224" t="s">
        <v>224</v>
      </c>
      <c r="M1224" s="19">
        <v>45329</v>
      </c>
      <c r="N1224" s="20"/>
      <c r="O1224" s="20"/>
    </row>
    <row r="1225" ht="15" customHeight="1">
      <c r="A1225" t="s">
        <v>2727</v>
      </c>
      <c r="B1225" t="s">
        <v>2728</v>
      </c>
      <c r="C1225" t="s">
        <v>1057</v>
      </c>
      <c r="D1225" t="s">
        <v>223</v>
      </c>
      <c r="E1225" t="s">
        <v>224</v>
      </c>
      <c r="M1225" s="19">
        <v>45329</v>
      </c>
      <c r="N1225" s="20"/>
      <c r="O1225" s="20"/>
    </row>
    <row r="1226" ht="15" customHeight="1">
      <c r="A1226" t="s">
        <v>2729</v>
      </c>
      <c r="B1226" t="s">
        <v>2730</v>
      </c>
      <c r="C1226" t="s">
        <v>1057</v>
      </c>
      <c r="D1226" t="s">
        <v>223</v>
      </c>
      <c r="E1226" t="s">
        <v>224</v>
      </c>
      <c r="M1226" s="19">
        <v>45329</v>
      </c>
      <c r="N1226" s="20"/>
      <c r="O1226" s="20"/>
    </row>
    <row r="1227" ht="15" customHeight="1">
      <c r="A1227" t="s">
        <v>2731</v>
      </c>
      <c r="B1227" t="s">
        <v>2732</v>
      </c>
      <c r="C1227" t="s">
        <v>1057</v>
      </c>
      <c r="D1227" t="s">
        <v>223</v>
      </c>
      <c r="E1227" t="s">
        <v>224</v>
      </c>
      <c r="M1227" s="19">
        <v>45329</v>
      </c>
      <c r="N1227" s="20"/>
      <c r="O1227" s="20"/>
    </row>
    <row r="1228" ht="15" customHeight="1">
      <c r="A1228" t="s">
        <v>2733</v>
      </c>
      <c r="B1228" t="s">
        <v>2734</v>
      </c>
      <c r="C1228" t="s">
        <v>1057</v>
      </c>
      <c r="D1228" t="s">
        <v>223</v>
      </c>
      <c r="E1228" t="s">
        <v>224</v>
      </c>
      <c r="M1228" s="19">
        <v>45329</v>
      </c>
      <c r="N1228" s="20"/>
      <c r="O1228" s="20"/>
    </row>
    <row r="1229" ht="15" customHeight="1">
      <c r="A1229" t="s">
        <v>2735</v>
      </c>
      <c r="B1229" t="s">
        <v>2736</v>
      </c>
      <c r="C1229" t="s">
        <v>1057</v>
      </c>
      <c r="D1229" t="s">
        <v>223</v>
      </c>
      <c r="E1229" t="s">
        <v>224</v>
      </c>
      <c r="M1229" s="19">
        <v>45329</v>
      </c>
      <c r="N1229" s="20"/>
      <c r="O1229" s="20"/>
    </row>
    <row r="1230" ht="15" customHeight="1">
      <c r="A1230" t="s">
        <v>2737</v>
      </c>
      <c r="B1230" t="s">
        <v>68</v>
      </c>
      <c r="C1230" t="s">
        <v>1057</v>
      </c>
      <c r="D1230" t="s">
        <v>223</v>
      </c>
      <c r="E1230" t="s">
        <v>224</v>
      </c>
      <c r="M1230" s="19">
        <v>45329</v>
      </c>
      <c r="N1230" s="20"/>
      <c r="O1230" s="20"/>
    </row>
    <row r="1231" ht="15" customHeight="1">
      <c r="A1231" t="s">
        <v>2738</v>
      </c>
      <c r="B1231" t="s">
        <v>2739</v>
      </c>
      <c r="C1231" t="s">
        <v>1057</v>
      </c>
      <c r="D1231" t="s">
        <v>223</v>
      </c>
      <c r="E1231" t="s">
        <v>224</v>
      </c>
      <c r="M1231" s="19">
        <v>45329</v>
      </c>
      <c r="N1231" s="20"/>
      <c r="O1231" s="20"/>
    </row>
    <row r="1232" ht="15" customHeight="1">
      <c r="A1232" t="s">
        <v>2740</v>
      </c>
      <c r="B1232" t="s">
        <v>2741</v>
      </c>
      <c r="C1232" s="23" t="s">
        <v>309</v>
      </c>
      <c r="D1232" t="s">
        <v>250</v>
      </c>
      <c r="E1232" t="s">
        <v>251</v>
      </c>
      <c r="H1232">
        <v>2</v>
      </c>
      <c r="L1232" t="s">
        <v>2742</v>
      </c>
      <c r="M1232" s="19">
        <v>45328</v>
      </c>
      <c r="N1232" s="20"/>
      <c r="O1232" s="20"/>
    </row>
    <row r="1233" ht="15" customHeight="1">
      <c r="A1233" t="s">
        <v>2743</v>
      </c>
      <c r="B1233" t="s">
        <v>2744</v>
      </c>
      <c r="C1233" s="23" t="s">
        <v>309</v>
      </c>
      <c r="D1233" t="s">
        <v>232</v>
      </c>
      <c r="E1233" t="s">
        <v>233</v>
      </c>
      <c r="H1233">
        <v>3</v>
      </c>
      <c r="M1233" s="19">
        <v>45328</v>
      </c>
      <c r="N1233" s="19">
        <v>45533</v>
      </c>
      <c r="O1233" s="20"/>
    </row>
    <row r="1234" ht="15" customHeight="1">
      <c r="A1234" t="s">
        <v>2745</v>
      </c>
      <c r="B1234" t="s">
        <v>2746</v>
      </c>
      <c r="C1234" s="23" t="s">
        <v>309</v>
      </c>
      <c r="D1234" t="s">
        <v>232</v>
      </c>
      <c r="E1234" t="s">
        <v>233</v>
      </c>
      <c r="M1234" s="19">
        <v>45328</v>
      </c>
      <c r="N1234" s="19">
        <v>45287</v>
      </c>
      <c r="O1234" s="20"/>
    </row>
    <row r="1235" ht="15" customHeight="1">
      <c r="A1235" t="s">
        <v>2747</v>
      </c>
      <c r="B1235" t="s">
        <v>2748</v>
      </c>
      <c r="C1235" s="21" t="s">
        <v>227</v>
      </c>
      <c r="D1235" t="s">
        <v>250</v>
      </c>
      <c r="E1235" t="s">
        <v>251</v>
      </c>
      <c r="M1235" s="19">
        <v>45323</v>
      </c>
      <c r="N1235" s="20"/>
      <c r="O1235" s="20"/>
    </row>
    <row r="1236" ht="15" customHeight="1">
      <c r="A1236" t="s">
        <v>2749</v>
      </c>
      <c r="B1236" t="s">
        <v>2750</v>
      </c>
      <c r="C1236" s="23" t="s">
        <v>309</v>
      </c>
      <c r="D1236" t="s">
        <v>228</v>
      </c>
      <c r="E1236" t="s">
        <v>229</v>
      </c>
      <c r="H1236">
        <v>2</v>
      </c>
      <c r="M1236" s="19">
        <v>45323</v>
      </c>
      <c r="N1236" s="20"/>
      <c r="O1236" s="20"/>
    </row>
    <row r="1237" ht="15" customHeight="1">
      <c r="A1237" t="s">
        <v>2751</v>
      </c>
      <c r="B1237" t="s">
        <v>2752</v>
      </c>
      <c r="C1237" s="23" t="s">
        <v>309</v>
      </c>
      <c r="D1237" t="s">
        <v>228</v>
      </c>
      <c r="E1237" t="s">
        <v>229</v>
      </c>
      <c r="H1237">
        <v>2</v>
      </c>
      <c r="M1237" s="19">
        <v>45323</v>
      </c>
      <c r="N1237" s="20"/>
      <c r="O1237" s="20"/>
    </row>
    <row r="1238" ht="15" customHeight="1">
      <c r="A1238" t="s">
        <v>2753</v>
      </c>
      <c r="B1238" t="s">
        <v>2754</v>
      </c>
      <c r="C1238" s="23" t="s">
        <v>309</v>
      </c>
      <c r="D1238" t="s">
        <v>228</v>
      </c>
      <c r="E1238" t="s">
        <v>229</v>
      </c>
      <c r="H1238">
        <v>2</v>
      </c>
      <c r="M1238" s="19">
        <v>45323</v>
      </c>
      <c r="N1238" s="20"/>
      <c r="O1238" s="20"/>
    </row>
    <row r="1239" ht="15" customHeight="1">
      <c r="A1239" t="s">
        <v>2755</v>
      </c>
      <c r="B1239" t="s">
        <v>2756</v>
      </c>
      <c r="C1239" s="23" t="s">
        <v>309</v>
      </c>
      <c r="D1239" t="s">
        <v>228</v>
      </c>
      <c r="E1239" t="s">
        <v>229</v>
      </c>
      <c r="H1239">
        <v>2</v>
      </c>
      <c r="M1239" s="19">
        <v>45323</v>
      </c>
      <c r="N1239" s="20"/>
      <c r="O1239" s="20"/>
    </row>
    <row r="1240" ht="15" customHeight="1">
      <c r="A1240" t="s">
        <v>2757</v>
      </c>
      <c r="B1240" t="s">
        <v>2758</v>
      </c>
      <c r="C1240" s="23" t="s">
        <v>309</v>
      </c>
      <c r="D1240" t="s">
        <v>250</v>
      </c>
      <c r="E1240" t="s">
        <v>251</v>
      </c>
      <c r="M1240" s="19">
        <v>45323</v>
      </c>
      <c r="N1240" s="20"/>
      <c r="O1240" s="20"/>
    </row>
    <row r="1241" ht="15" customHeight="1">
      <c r="A1241" t="s">
        <v>2759</v>
      </c>
      <c r="B1241" t="s">
        <v>2760</v>
      </c>
      <c r="C1241" t="s">
        <v>1470</v>
      </c>
      <c r="D1241" t="s">
        <v>232</v>
      </c>
      <c r="E1241" t="s">
        <v>233</v>
      </c>
      <c r="H1241">
        <v>5</v>
      </c>
      <c r="M1241" s="19">
        <v>45322</v>
      </c>
      <c r="N1241" s="20"/>
      <c r="O1241" s="20"/>
    </row>
    <row r="1242" ht="15" customHeight="1">
      <c r="A1242" t="s">
        <v>2761</v>
      </c>
      <c r="B1242" t="s">
        <v>2762</v>
      </c>
      <c r="C1242" s="21" t="s">
        <v>227</v>
      </c>
      <c r="D1242" t="s">
        <v>232</v>
      </c>
      <c r="E1242" t="s">
        <v>233</v>
      </c>
      <c r="M1242" s="19">
        <v>45322</v>
      </c>
      <c r="N1242" s="20"/>
      <c r="O1242" s="20"/>
    </row>
    <row r="1243" ht="15" customHeight="1">
      <c r="A1243" t="s">
        <v>2763</v>
      </c>
      <c r="B1243" t="s">
        <v>2764</v>
      </c>
      <c r="C1243" s="21" t="s">
        <v>227</v>
      </c>
      <c r="D1243" t="s">
        <v>232</v>
      </c>
      <c r="E1243" t="s">
        <v>233</v>
      </c>
      <c r="M1243" s="19">
        <v>45322</v>
      </c>
      <c r="N1243" s="20"/>
      <c r="O1243" s="20"/>
    </row>
    <row r="1244" ht="15" customHeight="1">
      <c r="A1244" t="s">
        <v>2765</v>
      </c>
      <c r="B1244" t="s">
        <v>2766</v>
      </c>
      <c r="C1244" s="21" t="s">
        <v>227</v>
      </c>
      <c r="D1244" t="s">
        <v>232</v>
      </c>
      <c r="E1244" t="s">
        <v>233</v>
      </c>
      <c r="M1244" s="19">
        <v>45322</v>
      </c>
      <c r="N1244" s="20"/>
      <c r="O1244" s="20"/>
    </row>
    <row r="1245" ht="15" customHeight="1">
      <c r="A1245" t="s">
        <v>2767</v>
      </c>
      <c r="B1245" t="s">
        <v>2768</v>
      </c>
      <c r="C1245" t="s">
        <v>259</v>
      </c>
      <c r="D1245" t="s">
        <v>223</v>
      </c>
      <c r="E1245" t="s">
        <v>224</v>
      </c>
      <c r="M1245" s="19">
        <v>45322</v>
      </c>
      <c r="N1245" s="20"/>
      <c r="O1245" s="20"/>
    </row>
    <row r="1246" ht="15" customHeight="1">
      <c r="A1246" t="s">
        <v>2769</v>
      </c>
      <c r="B1246" t="s">
        <v>2770</v>
      </c>
      <c r="C1246" s="21" t="s">
        <v>227</v>
      </c>
      <c r="D1246" t="s">
        <v>232</v>
      </c>
      <c r="E1246" t="s">
        <v>233</v>
      </c>
      <c r="M1246" s="19">
        <v>45322</v>
      </c>
      <c r="N1246" s="20"/>
      <c r="O1246" s="20"/>
    </row>
    <row r="1247" ht="15" customHeight="1">
      <c r="A1247" t="s">
        <v>2771</v>
      </c>
      <c r="B1247" t="s">
        <v>2772</v>
      </c>
      <c r="C1247" s="21" t="s">
        <v>227</v>
      </c>
      <c r="D1247" t="s">
        <v>232</v>
      </c>
      <c r="E1247" t="s">
        <v>233</v>
      </c>
      <c r="M1247" s="19">
        <v>45322</v>
      </c>
      <c r="N1247" s="20"/>
      <c r="O1247" s="20"/>
    </row>
    <row r="1248" ht="15" customHeight="1">
      <c r="A1248" t="s">
        <v>2773</v>
      </c>
      <c r="B1248" t="s">
        <v>2774</v>
      </c>
      <c r="C1248" s="21" t="s">
        <v>227</v>
      </c>
      <c r="D1248" t="s">
        <v>250</v>
      </c>
      <c r="E1248" t="s">
        <v>251</v>
      </c>
      <c r="M1248" s="19">
        <v>45322</v>
      </c>
      <c r="N1248" s="20"/>
      <c r="O1248" s="20"/>
    </row>
    <row r="1249" ht="15" customHeight="1">
      <c r="A1249" t="s">
        <v>2775</v>
      </c>
      <c r="B1249" t="s">
        <v>2776</v>
      </c>
      <c r="C1249" s="21" t="s">
        <v>227</v>
      </c>
      <c r="D1249" t="s">
        <v>250</v>
      </c>
      <c r="E1249" t="s">
        <v>251</v>
      </c>
      <c r="M1249" s="19">
        <v>45322</v>
      </c>
      <c r="N1249" s="20"/>
      <c r="O1249" s="20"/>
    </row>
    <row r="1250" ht="15" customHeight="1">
      <c r="A1250" t="s">
        <v>2777</v>
      </c>
      <c r="B1250" t="s">
        <v>2778</v>
      </c>
      <c r="C1250" t="s">
        <v>259</v>
      </c>
      <c r="D1250" t="s">
        <v>223</v>
      </c>
      <c r="E1250" t="s">
        <v>224</v>
      </c>
      <c r="M1250" s="19">
        <v>45322</v>
      </c>
      <c r="N1250" s="20"/>
      <c r="O1250" s="20"/>
    </row>
    <row r="1251" ht="15" customHeight="1">
      <c r="A1251" t="s">
        <v>2779</v>
      </c>
      <c r="B1251" t="s">
        <v>2780</v>
      </c>
      <c r="C1251" t="s">
        <v>1057</v>
      </c>
      <c r="D1251" t="s">
        <v>223</v>
      </c>
      <c r="E1251" t="s">
        <v>224</v>
      </c>
      <c r="M1251" s="19">
        <v>45322</v>
      </c>
      <c r="N1251" s="20"/>
      <c r="O1251" s="20"/>
    </row>
    <row r="1252" ht="15" customHeight="1">
      <c r="A1252" t="s">
        <v>2781</v>
      </c>
      <c r="B1252" t="s">
        <v>2782</v>
      </c>
      <c r="C1252" t="s">
        <v>1470</v>
      </c>
      <c r="D1252" t="s">
        <v>228</v>
      </c>
      <c r="E1252" t="s">
        <v>229</v>
      </c>
      <c r="H1252">
        <v>2</v>
      </c>
      <c r="M1252" s="19">
        <v>45321</v>
      </c>
      <c r="N1252" s="20"/>
      <c r="O1252" s="20"/>
    </row>
    <row r="1253" ht="15" customHeight="1">
      <c r="A1253" t="s">
        <v>2783</v>
      </c>
      <c r="B1253" t="s">
        <v>2784</v>
      </c>
      <c r="C1253" t="s">
        <v>1470</v>
      </c>
      <c r="D1253" t="s">
        <v>228</v>
      </c>
      <c r="E1253" t="s">
        <v>229</v>
      </c>
      <c r="H1253">
        <v>2</v>
      </c>
      <c r="M1253" s="19">
        <v>45321</v>
      </c>
      <c r="N1253" s="20"/>
      <c r="O1253" s="20"/>
    </row>
    <row r="1254" ht="15" customHeight="1">
      <c r="A1254" t="s">
        <v>2785</v>
      </c>
      <c r="B1254" t="s">
        <v>2786</v>
      </c>
      <c r="C1254" t="s">
        <v>1470</v>
      </c>
      <c r="D1254" t="s">
        <v>228</v>
      </c>
      <c r="E1254" t="s">
        <v>229</v>
      </c>
      <c r="H1254">
        <v>2</v>
      </c>
      <c r="M1254" s="19">
        <v>45321</v>
      </c>
      <c r="N1254" s="20"/>
      <c r="O1254" s="20"/>
    </row>
    <row r="1255" ht="15" customHeight="1">
      <c r="A1255" t="s">
        <v>2787</v>
      </c>
      <c r="B1255" t="s">
        <v>2788</v>
      </c>
      <c r="C1255" t="s">
        <v>1470</v>
      </c>
      <c r="D1255" t="s">
        <v>232</v>
      </c>
      <c r="E1255" t="s">
        <v>233</v>
      </c>
      <c r="M1255" s="19">
        <v>45321</v>
      </c>
      <c r="N1255" s="20"/>
      <c r="O1255" s="20"/>
    </row>
    <row r="1256" ht="15" customHeight="1">
      <c r="A1256" t="s">
        <v>2789</v>
      </c>
      <c r="B1256" t="s">
        <v>2790</v>
      </c>
      <c r="C1256" t="s">
        <v>1470</v>
      </c>
      <c r="D1256" t="s">
        <v>232</v>
      </c>
      <c r="E1256" t="s">
        <v>233</v>
      </c>
      <c r="M1256" s="19">
        <v>45317</v>
      </c>
      <c r="N1256" s="20"/>
      <c r="O1256" s="20"/>
    </row>
    <row r="1257" ht="15" customHeight="1">
      <c r="A1257" t="s">
        <v>2791</v>
      </c>
      <c r="B1257" t="s">
        <v>2792</v>
      </c>
      <c r="C1257" t="s">
        <v>1470</v>
      </c>
      <c r="D1257" t="s">
        <v>232</v>
      </c>
      <c r="E1257" t="s">
        <v>233</v>
      </c>
      <c r="M1257" s="19">
        <v>45317</v>
      </c>
      <c r="N1257" s="20"/>
      <c r="O1257" s="20"/>
    </row>
    <row r="1258" ht="15" customHeight="1">
      <c r="A1258" t="s">
        <v>2793</v>
      </c>
      <c r="B1258" t="s">
        <v>2794</v>
      </c>
      <c r="C1258" s="21" t="s">
        <v>227</v>
      </c>
      <c r="D1258" t="s">
        <v>228</v>
      </c>
      <c r="E1258" t="s">
        <v>229</v>
      </c>
      <c r="M1258" s="19">
        <v>45316</v>
      </c>
      <c r="N1258" s="20"/>
      <c r="O1258" s="20"/>
    </row>
    <row r="1259" ht="15" customHeight="1">
      <c r="A1259" t="s">
        <v>2795</v>
      </c>
      <c r="B1259" t="s">
        <v>2796</v>
      </c>
      <c r="C1259" t="s">
        <v>1470</v>
      </c>
      <c r="D1259" t="s">
        <v>232</v>
      </c>
      <c r="E1259" t="s">
        <v>233</v>
      </c>
      <c r="H1259">
        <v>3</v>
      </c>
      <c r="M1259" s="19">
        <v>45316</v>
      </c>
      <c r="N1259" s="20"/>
      <c r="O1259" s="20"/>
    </row>
    <row r="1260" ht="15" customHeight="1">
      <c r="A1260" t="s">
        <v>2797</v>
      </c>
      <c r="B1260" t="s">
        <v>2798</v>
      </c>
      <c r="C1260" s="23" t="s">
        <v>309</v>
      </c>
      <c r="D1260" t="s">
        <v>232</v>
      </c>
      <c r="E1260" t="s">
        <v>233</v>
      </c>
      <c r="M1260" s="19">
        <v>45316</v>
      </c>
      <c r="N1260" s="20"/>
      <c r="O1260" s="20"/>
    </row>
    <row r="1261" ht="15" customHeight="1">
      <c r="A1261" t="s">
        <v>2799</v>
      </c>
      <c r="B1261" t="s">
        <v>2800</v>
      </c>
      <c r="C1261" s="23" t="s">
        <v>309</v>
      </c>
      <c r="D1261" t="s">
        <v>232</v>
      </c>
      <c r="E1261" t="s">
        <v>233</v>
      </c>
      <c r="M1261" s="19">
        <v>45316</v>
      </c>
      <c r="N1261" s="20"/>
      <c r="O1261" s="20"/>
    </row>
    <row r="1262" ht="15" customHeight="1">
      <c r="A1262" t="s">
        <v>2801</v>
      </c>
      <c r="B1262" t="s">
        <v>2802</v>
      </c>
      <c r="C1262" s="21" t="s">
        <v>227</v>
      </c>
      <c r="D1262" t="s">
        <v>232</v>
      </c>
      <c r="E1262" t="s">
        <v>233</v>
      </c>
      <c r="M1262" s="19">
        <v>45314</v>
      </c>
      <c r="N1262" s="20"/>
      <c r="O1262" s="20"/>
    </row>
    <row r="1263" ht="15" customHeight="1">
      <c r="A1263" t="s">
        <v>2803</v>
      </c>
      <c r="B1263" t="s">
        <v>2804</v>
      </c>
      <c r="C1263" s="21" t="s">
        <v>227</v>
      </c>
      <c r="D1263" t="s">
        <v>250</v>
      </c>
      <c r="E1263" t="s">
        <v>251</v>
      </c>
      <c r="M1263" s="19">
        <v>45314</v>
      </c>
      <c r="N1263" s="20"/>
      <c r="O1263" s="20"/>
    </row>
    <row r="1264" ht="15" customHeight="1">
      <c r="A1264" t="s">
        <v>2805</v>
      </c>
      <c r="B1264" t="s">
        <v>2806</v>
      </c>
      <c r="C1264" s="21" t="s">
        <v>227</v>
      </c>
      <c r="D1264" t="s">
        <v>250</v>
      </c>
      <c r="E1264" t="s">
        <v>251</v>
      </c>
      <c r="M1264" s="19">
        <v>45314</v>
      </c>
      <c r="N1264" s="20"/>
      <c r="O1264" s="20"/>
    </row>
    <row r="1265" ht="15" customHeight="1">
      <c r="A1265" t="s">
        <v>2807</v>
      </c>
      <c r="B1265" t="s">
        <v>2808</v>
      </c>
      <c r="C1265" s="21" t="s">
        <v>227</v>
      </c>
      <c r="D1265" t="s">
        <v>250</v>
      </c>
      <c r="E1265" t="s">
        <v>251</v>
      </c>
      <c r="H1265">
        <v>63</v>
      </c>
      <c r="M1265" s="19">
        <v>45314</v>
      </c>
      <c r="N1265" s="20"/>
      <c r="O1265" s="20"/>
    </row>
    <row r="1266" ht="15" customHeight="1">
      <c r="A1266" t="s">
        <v>2809</v>
      </c>
      <c r="B1266" t="s">
        <v>2810</v>
      </c>
      <c r="C1266" s="23" t="s">
        <v>309</v>
      </c>
      <c r="D1266" t="s">
        <v>232</v>
      </c>
      <c r="E1266" t="s">
        <v>233</v>
      </c>
      <c r="H1266">
        <v>5</v>
      </c>
      <c r="M1266" s="19">
        <v>45314</v>
      </c>
      <c r="N1266" s="20"/>
      <c r="O1266" s="20"/>
    </row>
    <row r="1267" ht="15" customHeight="1">
      <c r="A1267" t="s">
        <v>2811</v>
      </c>
      <c r="B1267" t="s">
        <v>2812</v>
      </c>
      <c r="C1267" s="23" t="s">
        <v>309</v>
      </c>
      <c r="D1267" t="s">
        <v>250</v>
      </c>
      <c r="E1267" t="s">
        <v>251</v>
      </c>
      <c r="H1267">
        <v>2</v>
      </c>
      <c r="M1267" s="19">
        <v>45314</v>
      </c>
      <c r="N1267" s="20"/>
      <c r="O1267" s="20"/>
    </row>
    <row r="1268" ht="15" customHeight="1">
      <c r="A1268" t="s">
        <v>2813</v>
      </c>
      <c r="B1268" t="s">
        <v>2814</v>
      </c>
      <c r="C1268" s="23" t="s">
        <v>309</v>
      </c>
      <c r="D1268" t="s">
        <v>250</v>
      </c>
      <c r="E1268" t="s">
        <v>251</v>
      </c>
      <c r="H1268">
        <v>2</v>
      </c>
      <c r="M1268" s="19">
        <v>45314</v>
      </c>
      <c r="N1268" s="20"/>
      <c r="O1268" s="20"/>
    </row>
    <row r="1269" ht="15" customHeight="1">
      <c r="A1269" t="s">
        <v>2815</v>
      </c>
      <c r="B1269" t="s">
        <v>2816</v>
      </c>
      <c r="C1269" s="23" t="s">
        <v>309</v>
      </c>
      <c r="D1269" t="s">
        <v>250</v>
      </c>
      <c r="E1269" t="s">
        <v>251</v>
      </c>
      <c r="H1269">
        <v>3</v>
      </c>
      <c r="M1269" s="19">
        <v>45314</v>
      </c>
      <c r="N1269" s="20"/>
      <c r="O1269" s="20"/>
    </row>
    <row r="1270" ht="15" customHeight="1">
      <c r="A1270" t="s">
        <v>2817</v>
      </c>
      <c r="B1270" t="s">
        <v>2818</v>
      </c>
      <c r="C1270" s="23" t="s">
        <v>309</v>
      </c>
      <c r="D1270" t="s">
        <v>250</v>
      </c>
      <c r="E1270" t="s">
        <v>251</v>
      </c>
      <c r="H1270">
        <v>3</v>
      </c>
      <c r="M1270" s="19">
        <v>45314</v>
      </c>
      <c r="N1270" s="20"/>
      <c r="O1270" s="20"/>
    </row>
    <row r="1271" ht="15" customHeight="1">
      <c r="A1271" t="s">
        <v>2819</v>
      </c>
      <c r="B1271" t="s">
        <v>2820</v>
      </c>
      <c r="C1271" s="23" t="s">
        <v>309</v>
      </c>
      <c r="D1271" t="s">
        <v>250</v>
      </c>
      <c r="E1271" t="s">
        <v>251</v>
      </c>
      <c r="H1271">
        <v>2</v>
      </c>
      <c r="M1271" s="19">
        <v>45314</v>
      </c>
      <c r="N1271" s="20"/>
      <c r="O1271" s="20"/>
    </row>
    <row r="1272" ht="15" customHeight="1">
      <c r="A1272" t="s">
        <v>2821</v>
      </c>
      <c r="B1272" t="s">
        <v>2822</v>
      </c>
      <c r="C1272" s="23" t="s">
        <v>309</v>
      </c>
      <c r="D1272" t="s">
        <v>250</v>
      </c>
      <c r="E1272" t="s">
        <v>251</v>
      </c>
      <c r="H1272">
        <v>5</v>
      </c>
      <c r="K1272" t="s">
        <v>1135</v>
      </c>
      <c r="M1272" s="19">
        <v>45314</v>
      </c>
      <c r="N1272" s="20"/>
      <c r="O1272" s="20"/>
    </row>
    <row r="1273" ht="15" customHeight="1">
      <c r="A1273" t="s">
        <v>2823</v>
      </c>
      <c r="B1273" t="s">
        <v>2824</v>
      </c>
      <c r="C1273" s="23" t="s">
        <v>309</v>
      </c>
      <c r="D1273" t="s">
        <v>250</v>
      </c>
      <c r="E1273" t="s">
        <v>251</v>
      </c>
      <c r="H1273">
        <v>5</v>
      </c>
      <c r="M1273" s="19">
        <v>45314</v>
      </c>
      <c r="N1273" s="20"/>
      <c r="O1273" s="20"/>
    </row>
    <row r="1274" ht="15" customHeight="1">
      <c r="A1274" t="s">
        <v>2825</v>
      </c>
      <c r="B1274" t="s">
        <v>2826</v>
      </c>
      <c r="C1274" s="23" t="s">
        <v>309</v>
      </c>
      <c r="D1274" t="s">
        <v>250</v>
      </c>
      <c r="E1274" t="s">
        <v>251</v>
      </c>
      <c r="H1274">
        <v>3</v>
      </c>
      <c r="M1274" s="19">
        <v>45314</v>
      </c>
      <c r="N1274" s="20"/>
      <c r="O1274" s="20"/>
    </row>
    <row r="1275" ht="15" customHeight="1">
      <c r="A1275" t="s">
        <v>2827</v>
      </c>
      <c r="B1275" t="s">
        <v>2828</v>
      </c>
      <c r="C1275" s="23" t="s">
        <v>309</v>
      </c>
      <c r="D1275" t="s">
        <v>232</v>
      </c>
      <c r="E1275" t="s">
        <v>233</v>
      </c>
      <c r="M1275" s="19">
        <v>45314</v>
      </c>
      <c r="N1275" s="19">
        <v>45287</v>
      </c>
      <c r="O1275" s="20"/>
    </row>
    <row r="1276" ht="15" customHeight="1">
      <c r="A1276" t="s">
        <v>2829</v>
      </c>
      <c r="B1276" t="s">
        <v>2830</v>
      </c>
      <c r="C1276" s="23" t="s">
        <v>309</v>
      </c>
      <c r="D1276" t="s">
        <v>232</v>
      </c>
      <c r="E1276" t="s">
        <v>233</v>
      </c>
      <c r="K1276" t="s">
        <v>866</v>
      </c>
      <c r="M1276" s="19">
        <v>45313</v>
      </c>
      <c r="N1276" s="20"/>
      <c r="O1276" s="20"/>
    </row>
    <row r="1277" ht="15" customHeight="1">
      <c r="A1277" t="s">
        <v>2831</v>
      </c>
      <c r="B1277" t="s">
        <v>2832</v>
      </c>
      <c r="C1277" s="21" t="s">
        <v>227</v>
      </c>
      <c r="D1277" t="s">
        <v>250</v>
      </c>
      <c r="E1277" t="s">
        <v>251</v>
      </c>
      <c r="M1277" s="19">
        <v>45309</v>
      </c>
      <c r="N1277" s="20"/>
      <c r="O1277" s="20"/>
    </row>
    <row r="1278" ht="15" customHeight="1">
      <c r="A1278" t="s">
        <v>2833</v>
      </c>
      <c r="B1278" t="s">
        <v>2834</v>
      </c>
      <c r="C1278" s="23" t="s">
        <v>309</v>
      </c>
      <c r="D1278" t="s">
        <v>223</v>
      </c>
      <c r="E1278" t="s">
        <v>224</v>
      </c>
      <c r="M1278" s="19">
        <v>45308</v>
      </c>
      <c r="N1278" s="20"/>
      <c r="O1278" s="20"/>
    </row>
    <row r="1279" ht="15" customHeight="1">
      <c r="A1279" t="s">
        <v>2835</v>
      </c>
      <c r="B1279" t="s">
        <v>2836</v>
      </c>
      <c r="C1279" s="23" t="s">
        <v>309</v>
      </c>
      <c r="D1279" t="s">
        <v>223</v>
      </c>
      <c r="E1279" t="s">
        <v>224</v>
      </c>
      <c r="M1279" s="19">
        <v>45308</v>
      </c>
      <c r="N1279" s="20"/>
      <c r="O1279" s="20"/>
    </row>
    <row r="1280" ht="15" customHeight="1">
      <c r="A1280" t="s">
        <v>2837</v>
      </c>
      <c r="B1280" t="s">
        <v>2838</v>
      </c>
      <c r="C1280" s="22" t="s">
        <v>55</v>
      </c>
      <c r="D1280" t="s">
        <v>250</v>
      </c>
      <c r="E1280" t="s">
        <v>251</v>
      </c>
      <c r="M1280" s="19">
        <v>45308</v>
      </c>
      <c r="N1280" s="20"/>
      <c r="O1280" s="20"/>
    </row>
    <row r="1281" ht="15" customHeight="1">
      <c r="A1281" t="s">
        <v>2839</v>
      </c>
      <c r="B1281" t="s">
        <v>2840</v>
      </c>
      <c r="C1281" s="23" t="s">
        <v>309</v>
      </c>
      <c r="D1281" t="s">
        <v>223</v>
      </c>
      <c r="E1281" t="s">
        <v>224</v>
      </c>
      <c r="M1281" s="19">
        <v>45308</v>
      </c>
      <c r="N1281" s="20"/>
      <c r="O1281" s="20"/>
    </row>
    <row r="1282" ht="15" customHeight="1">
      <c r="A1282" t="s">
        <v>2841</v>
      </c>
      <c r="B1282" t="s">
        <v>2842</v>
      </c>
      <c r="C1282" s="25" t="s">
        <v>1627</v>
      </c>
      <c r="D1282" t="s">
        <v>223</v>
      </c>
      <c r="E1282" t="s">
        <v>224</v>
      </c>
      <c r="M1282" s="19">
        <v>45308</v>
      </c>
      <c r="N1282" s="20"/>
      <c r="O1282" s="20"/>
    </row>
    <row r="1283" ht="15" customHeight="1">
      <c r="A1283" t="s">
        <v>2843</v>
      </c>
      <c r="B1283" t="s">
        <v>2844</v>
      </c>
      <c r="C1283" s="21" t="s">
        <v>227</v>
      </c>
      <c r="D1283" t="s">
        <v>250</v>
      </c>
      <c r="E1283" t="s">
        <v>251</v>
      </c>
      <c r="H1283">
        <v>3</v>
      </c>
      <c r="M1283" s="19">
        <v>45307</v>
      </c>
      <c r="N1283" s="20"/>
      <c r="O1283" s="20"/>
    </row>
    <row r="1284" ht="15" customHeight="1">
      <c r="A1284" t="s">
        <v>2845</v>
      </c>
      <c r="B1284" t="s">
        <v>2846</v>
      </c>
      <c r="C1284" s="21" t="s">
        <v>227</v>
      </c>
      <c r="D1284" t="s">
        <v>250</v>
      </c>
      <c r="E1284" t="s">
        <v>251</v>
      </c>
      <c r="H1284">
        <v>3</v>
      </c>
      <c r="M1284" s="19">
        <v>45307</v>
      </c>
      <c r="N1284" s="20"/>
      <c r="O1284" s="20"/>
    </row>
    <row r="1285" ht="15" customHeight="1">
      <c r="A1285" t="s">
        <v>2847</v>
      </c>
      <c r="B1285" t="s">
        <v>2848</v>
      </c>
      <c r="C1285" s="21" t="s">
        <v>227</v>
      </c>
      <c r="D1285" t="s">
        <v>250</v>
      </c>
      <c r="E1285" t="s">
        <v>251</v>
      </c>
      <c r="M1285" s="19">
        <v>45307</v>
      </c>
      <c r="N1285" s="20"/>
      <c r="O1285" s="20"/>
    </row>
    <row r="1286" ht="15" customHeight="1">
      <c r="A1286" t="s">
        <v>2849</v>
      </c>
      <c r="B1286" t="s">
        <v>2850</v>
      </c>
      <c r="C1286" s="21" t="s">
        <v>227</v>
      </c>
      <c r="D1286" t="s">
        <v>250</v>
      </c>
      <c r="E1286" t="s">
        <v>251</v>
      </c>
      <c r="H1286">
        <v>23</v>
      </c>
      <c r="M1286" s="19">
        <v>45307</v>
      </c>
      <c r="N1286" s="20"/>
      <c r="O1286" s="20"/>
    </row>
    <row r="1287" ht="15" customHeight="1">
      <c r="A1287" t="s">
        <v>2851</v>
      </c>
      <c r="B1287" t="s">
        <v>2852</v>
      </c>
      <c r="C1287" s="23" t="s">
        <v>309</v>
      </c>
      <c r="D1287" t="s">
        <v>232</v>
      </c>
      <c r="E1287" t="s">
        <v>233</v>
      </c>
      <c r="M1287" s="19">
        <v>45300</v>
      </c>
      <c r="N1287" s="20"/>
      <c r="O1287" s="20"/>
    </row>
    <row r="1288" ht="15" customHeight="1">
      <c r="A1288" t="s">
        <v>2853</v>
      </c>
      <c r="B1288" t="s">
        <v>2854</v>
      </c>
      <c r="C1288" t="s">
        <v>1470</v>
      </c>
      <c r="D1288" t="s">
        <v>228</v>
      </c>
      <c r="E1288" t="s">
        <v>229</v>
      </c>
      <c r="H1288">
        <v>5</v>
      </c>
      <c r="K1288" t="s">
        <v>994</v>
      </c>
      <c r="M1288" s="19">
        <v>45300</v>
      </c>
      <c r="N1288" s="20"/>
      <c r="O1288" s="20"/>
    </row>
    <row r="1289" ht="15" customHeight="1">
      <c r="A1289" t="s">
        <v>2855</v>
      </c>
      <c r="B1289" t="s">
        <v>2856</v>
      </c>
      <c r="C1289" s="23" t="s">
        <v>309</v>
      </c>
      <c r="D1289" t="s">
        <v>232</v>
      </c>
      <c r="E1289" t="s">
        <v>233</v>
      </c>
      <c r="H1289">
        <v>5</v>
      </c>
      <c r="M1289" s="19">
        <v>45300</v>
      </c>
      <c r="N1289" s="20"/>
      <c r="O1289" s="20"/>
    </row>
    <row r="1290" ht="15" customHeight="1">
      <c r="A1290" t="s">
        <v>2857</v>
      </c>
      <c r="B1290" t="s">
        <v>2858</v>
      </c>
      <c r="C1290" s="25" t="s">
        <v>1627</v>
      </c>
      <c r="D1290" t="s">
        <v>223</v>
      </c>
      <c r="E1290" t="s">
        <v>224</v>
      </c>
      <c r="M1290" s="19">
        <v>45300</v>
      </c>
      <c r="N1290" s="20"/>
      <c r="O1290" s="20"/>
    </row>
    <row r="1291" ht="15" customHeight="1">
      <c r="A1291" t="s">
        <v>2859</v>
      </c>
      <c r="B1291" t="s">
        <v>2860</v>
      </c>
      <c r="C1291" s="23" t="s">
        <v>309</v>
      </c>
      <c r="D1291" t="s">
        <v>250</v>
      </c>
      <c r="E1291" t="s">
        <v>251</v>
      </c>
      <c r="M1291" s="19">
        <v>45294</v>
      </c>
      <c r="N1291" s="20"/>
      <c r="O1291" s="20"/>
    </row>
    <row r="1292" ht="15" customHeight="1">
      <c r="A1292" t="s">
        <v>2861</v>
      </c>
      <c r="B1292" t="s">
        <v>2862</v>
      </c>
      <c r="C1292" s="21" t="s">
        <v>227</v>
      </c>
      <c r="D1292" t="s">
        <v>813</v>
      </c>
      <c r="E1292" t="s">
        <v>814</v>
      </c>
      <c r="M1292" s="19">
        <v>45281</v>
      </c>
      <c r="N1292" s="20"/>
      <c r="O1292" s="20"/>
    </row>
    <row r="1293" ht="15" customHeight="1">
      <c r="A1293" t="s">
        <v>2863</v>
      </c>
      <c r="B1293" t="s">
        <v>2864</v>
      </c>
      <c r="C1293" s="23" t="s">
        <v>309</v>
      </c>
      <c r="D1293" t="s">
        <v>250</v>
      </c>
      <c r="E1293" t="s">
        <v>251</v>
      </c>
      <c r="H1293">
        <v>2</v>
      </c>
      <c r="M1293" s="19">
        <v>45280</v>
      </c>
      <c r="N1293" s="20"/>
      <c r="O1293" s="20"/>
    </row>
    <row r="1294" ht="15" customHeight="1">
      <c r="A1294" t="s">
        <v>2865</v>
      </c>
      <c r="B1294" t="s">
        <v>2866</v>
      </c>
      <c r="C1294" s="21" t="s">
        <v>227</v>
      </c>
      <c r="D1294" t="s">
        <v>250</v>
      </c>
      <c r="E1294" t="s">
        <v>251</v>
      </c>
      <c r="M1294" s="19">
        <v>45280</v>
      </c>
      <c r="N1294" s="20"/>
      <c r="O1294" s="20"/>
    </row>
    <row r="1295" ht="15" customHeight="1">
      <c r="A1295" t="s">
        <v>2867</v>
      </c>
      <c r="B1295" t="s">
        <v>2868</v>
      </c>
      <c r="C1295" s="23" t="s">
        <v>309</v>
      </c>
      <c r="D1295" t="s">
        <v>232</v>
      </c>
      <c r="E1295" t="s">
        <v>233</v>
      </c>
      <c r="H1295">
        <v>5</v>
      </c>
      <c r="M1295" s="19">
        <v>45280</v>
      </c>
      <c r="N1295" s="20"/>
      <c r="O1295" s="20"/>
    </row>
    <row r="1296" ht="15" customHeight="1">
      <c r="A1296" t="s">
        <v>2869</v>
      </c>
      <c r="B1296" t="s">
        <v>2870</v>
      </c>
      <c r="C1296" s="23" t="s">
        <v>309</v>
      </c>
      <c r="D1296" t="s">
        <v>250</v>
      </c>
      <c r="E1296" t="s">
        <v>251</v>
      </c>
      <c r="M1296" s="19">
        <v>45280</v>
      </c>
      <c r="N1296" s="20"/>
      <c r="O1296" s="20"/>
    </row>
    <row r="1297" ht="15" customHeight="1">
      <c r="A1297" t="s">
        <v>2871</v>
      </c>
      <c r="B1297" t="s">
        <v>2872</v>
      </c>
      <c r="C1297" s="23" t="s">
        <v>309</v>
      </c>
      <c r="D1297" t="s">
        <v>250</v>
      </c>
      <c r="E1297" t="s">
        <v>251</v>
      </c>
      <c r="M1297" s="19">
        <v>45280</v>
      </c>
      <c r="N1297" s="20"/>
      <c r="O1297" s="20"/>
    </row>
    <row r="1298" ht="15" customHeight="1">
      <c r="A1298" t="s">
        <v>2873</v>
      </c>
      <c r="B1298" t="s">
        <v>2874</v>
      </c>
      <c r="C1298" s="23" t="s">
        <v>309</v>
      </c>
      <c r="D1298" t="s">
        <v>250</v>
      </c>
      <c r="E1298" t="s">
        <v>251</v>
      </c>
      <c r="M1298" s="19">
        <v>45280</v>
      </c>
      <c r="N1298" s="20"/>
      <c r="O1298" s="20"/>
    </row>
    <row r="1299" ht="15" customHeight="1">
      <c r="A1299" t="s">
        <v>2875</v>
      </c>
      <c r="B1299" t="s">
        <v>2876</v>
      </c>
      <c r="C1299" t="s">
        <v>1470</v>
      </c>
      <c r="D1299" t="s">
        <v>232</v>
      </c>
      <c r="E1299" t="s">
        <v>233</v>
      </c>
      <c r="H1299">
        <v>5</v>
      </c>
      <c r="M1299" s="19">
        <v>45278</v>
      </c>
      <c r="N1299" s="20"/>
      <c r="O1299" s="20"/>
    </row>
    <row r="1300" ht="15" customHeight="1">
      <c r="A1300" t="s">
        <v>2877</v>
      </c>
      <c r="B1300" t="s">
        <v>2878</v>
      </c>
      <c r="C1300" s="23" t="s">
        <v>309</v>
      </c>
      <c r="D1300" t="s">
        <v>232</v>
      </c>
      <c r="E1300" t="s">
        <v>233</v>
      </c>
      <c r="M1300" s="19">
        <v>45278</v>
      </c>
      <c r="N1300" s="20"/>
      <c r="O1300" s="20"/>
    </row>
    <row r="1301" ht="15" customHeight="1">
      <c r="A1301" t="s">
        <v>2879</v>
      </c>
      <c r="B1301" t="s">
        <v>2880</v>
      </c>
      <c r="C1301" t="s">
        <v>1470</v>
      </c>
      <c r="D1301" t="s">
        <v>228</v>
      </c>
      <c r="E1301" t="s">
        <v>229</v>
      </c>
      <c r="M1301" s="19">
        <v>45278</v>
      </c>
      <c r="N1301" s="20"/>
      <c r="O1301" s="20"/>
    </row>
    <row r="1302" ht="15" customHeight="1">
      <c r="A1302" t="s">
        <v>2881</v>
      </c>
      <c r="B1302" t="s">
        <v>2882</v>
      </c>
      <c r="C1302" s="23" t="s">
        <v>309</v>
      </c>
      <c r="D1302" t="s">
        <v>232</v>
      </c>
      <c r="E1302" t="s">
        <v>233</v>
      </c>
      <c r="M1302" s="19">
        <v>45273</v>
      </c>
      <c r="N1302" s="20"/>
      <c r="O1302" s="20"/>
    </row>
    <row r="1303" ht="15" customHeight="1">
      <c r="A1303" t="s">
        <v>2883</v>
      </c>
      <c r="B1303" t="s">
        <v>2884</v>
      </c>
      <c r="C1303" s="23" t="s">
        <v>309</v>
      </c>
      <c r="D1303" t="s">
        <v>232</v>
      </c>
      <c r="E1303" t="s">
        <v>233</v>
      </c>
      <c r="M1303" s="19">
        <v>45273</v>
      </c>
      <c r="N1303" s="20"/>
      <c r="O1303" s="20"/>
    </row>
    <row r="1304" ht="15" customHeight="1">
      <c r="A1304" t="s">
        <v>2885</v>
      </c>
      <c r="B1304" t="s">
        <v>2886</v>
      </c>
      <c r="C1304" s="23" t="s">
        <v>309</v>
      </c>
      <c r="D1304" t="s">
        <v>232</v>
      </c>
      <c r="E1304" t="s">
        <v>233</v>
      </c>
      <c r="M1304" s="19">
        <v>45273</v>
      </c>
      <c r="N1304" s="20"/>
      <c r="O1304" s="20"/>
    </row>
    <row r="1305" ht="15" customHeight="1">
      <c r="A1305" t="s">
        <v>2887</v>
      </c>
      <c r="B1305" t="s">
        <v>2888</v>
      </c>
      <c r="C1305" s="23" t="s">
        <v>309</v>
      </c>
      <c r="D1305" t="s">
        <v>813</v>
      </c>
      <c r="E1305" t="s">
        <v>814</v>
      </c>
      <c r="K1305" t="s">
        <v>815</v>
      </c>
      <c r="M1305" s="19">
        <v>45273</v>
      </c>
      <c r="N1305" s="20"/>
      <c r="O1305" s="20"/>
    </row>
    <row r="1306" ht="15" customHeight="1">
      <c r="A1306" t="s">
        <v>2889</v>
      </c>
      <c r="B1306" t="s">
        <v>2890</v>
      </c>
      <c r="C1306" s="23" t="s">
        <v>309</v>
      </c>
      <c r="D1306" t="s">
        <v>813</v>
      </c>
      <c r="E1306" t="s">
        <v>814</v>
      </c>
      <c r="K1306" t="s">
        <v>815</v>
      </c>
      <c r="M1306" s="19">
        <v>45273</v>
      </c>
      <c r="N1306" s="20"/>
      <c r="O1306" s="20"/>
    </row>
    <row r="1307" ht="15" customHeight="1">
      <c r="A1307" t="s">
        <v>2891</v>
      </c>
      <c r="B1307" t="s">
        <v>2892</v>
      </c>
      <c r="C1307" s="23" t="s">
        <v>309</v>
      </c>
      <c r="D1307" t="s">
        <v>813</v>
      </c>
      <c r="E1307" t="s">
        <v>814</v>
      </c>
      <c r="K1307" t="s">
        <v>815</v>
      </c>
      <c r="M1307" s="19">
        <v>45273</v>
      </c>
      <c r="N1307" s="20"/>
      <c r="O1307" s="20"/>
    </row>
    <row r="1308" ht="15" customHeight="1">
      <c r="A1308" t="s">
        <v>2893</v>
      </c>
      <c r="B1308" t="s">
        <v>2894</v>
      </c>
      <c r="C1308" s="23" t="s">
        <v>309</v>
      </c>
      <c r="D1308" t="s">
        <v>223</v>
      </c>
      <c r="E1308" t="s">
        <v>224</v>
      </c>
      <c r="M1308" s="19">
        <v>45273</v>
      </c>
      <c r="N1308" s="20"/>
      <c r="O1308" s="20"/>
    </row>
    <row r="1309" ht="15" customHeight="1">
      <c r="A1309" t="s">
        <v>2895</v>
      </c>
      <c r="B1309" t="s">
        <v>2896</v>
      </c>
      <c r="C1309" s="23" t="s">
        <v>309</v>
      </c>
      <c r="D1309" t="s">
        <v>223</v>
      </c>
      <c r="E1309" t="s">
        <v>224</v>
      </c>
      <c r="M1309" s="19">
        <v>45272</v>
      </c>
      <c r="N1309" s="20"/>
      <c r="O1309" s="20"/>
    </row>
    <row r="1310" ht="15" customHeight="1">
      <c r="A1310" t="s">
        <v>2897</v>
      </c>
      <c r="B1310" t="s">
        <v>2898</v>
      </c>
      <c r="C1310" s="21" t="s">
        <v>227</v>
      </c>
      <c r="D1310" t="s">
        <v>250</v>
      </c>
      <c r="E1310" t="s">
        <v>251</v>
      </c>
      <c r="M1310" s="19">
        <v>45272</v>
      </c>
      <c r="N1310" s="20"/>
      <c r="O1310" s="20"/>
    </row>
    <row r="1311" ht="15" customHeight="1">
      <c r="A1311" t="s">
        <v>2899</v>
      </c>
      <c r="B1311" t="s">
        <v>2900</v>
      </c>
      <c r="C1311" s="21" t="s">
        <v>227</v>
      </c>
      <c r="D1311" t="s">
        <v>813</v>
      </c>
      <c r="E1311" t="s">
        <v>814</v>
      </c>
      <c r="K1311" t="s">
        <v>2901</v>
      </c>
      <c r="M1311" s="19">
        <v>45272</v>
      </c>
      <c r="N1311" s="19">
        <v>45274</v>
      </c>
      <c r="O1311" s="20"/>
    </row>
    <row r="1312" ht="15" customHeight="1">
      <c r="A1312" t="s">
        <v>2902</v>
      </c>
      <c r="B1312" t="s">
        <v>2903</v>
      </c>
      <c r="C1312" s="23" t="s">
        <v>309</v>
      </c>
      <c r="D1312" t="s">
        <v>813</v>
      </c>
      <c r="E1312" t="s">
        <v>814</v>
      </c>
      <c r="K1312" t="s">
        <v>815</v>
      </c>
      <c r="M1312" s="19">
        <v>45272</v>
      </c>
      <c r="N1312" s="20"/>
      <c r="O1312" s="20"/>
    </row>
    <row r="1313" ht="15" customHeight="1">
      <c r="A1313" t="s">
        <v>2904</v>
      </c>
      <c r="B1313" t="s">
        <v>2905</v>
      </c>
      <c r="C1313" s="23" t="s">
        <v>309</v>
      </c>
      <c r="D1313" t="s">
        <v>250</v>
      </c>
      <c r="E1313" t="s">
        <v>251</v>
      </c>
      <c r="M1313" s="19">
        <v>45272</v>
      </c>
      <c r="N1313" s="20"/>
      <c r="O1313" s="20"/>
    </row>
    <row r="1314" ht="15" customHeight="1">
      <c r="A1314" t="s">
        <v>2906</v>
      </c>
      <c r="B1314" t="s">
        <v>2907</v>
      </c>
      <c r="C1314" t="s">
        <v>222</v>
      </c>
      <c r="D1314" t="s">
        <v>223</v>
      </c>
      <c r="E1314" t="s">
        <v>224</v>
      </c>
      <c r="M1314" s="19">
        <v>45272</v>
      </c>
      <c r="N1314" s="20"/>
      <c r="O1314" s="20"/>
    </row>
    <row r="1315" ht="15" customHeight="1">
      <c r="A1315" t="s">
        <v>2908</v>
      </c>
      <c r="B1315" t="s">
        <v>2909</v>
      </c>
      <c r="C1315" s="21" t="s">
        <v>227</v>
      </c>
      <c r="D1315" t="s">
        <v>250</v>
      </c>
      <c r="E1315" t="s">
        <v>251</v>
      </c>
      <c r="M1315" s="19">
        <v>45272</v>
      </c>
      <c r="N1315" s="20"/>
      <c r="O1315" s="20"/>
    </row>
    <row r="1316" ht="15" customHeight="1">
      <c r="A1316" t="s">
        <v>2910</v>
      </c>
      <c r="B1316" t="s">
        <v>2911</v>
      </c>
      <c r="C1316" s="23" t="s">
        <v>309</v>
      </c>
      <c r="D1316" t="s">
        <v>232</v>
      </c>
      <c r="E1316" t="s">
        <v>233</v>
      </c>
      <c r="H1316">
        <v>30</v>
      </c>
      <c r="M1316" s="19">
        <v>45271</v>
      </c>
      <c r="N1316" s="20"/>
      <c r="O1316" s="20"/>
    </row>
    <row r="1317" ht="15" customHeight="1">
      <c r="A1317" t="s">
        <v>2912</v>
      </c>
      <c r="B1317" t="s">
        <v>2913</v>
      </c>
      <c r="C1317" s="23" t="s">
        <v>309</v>
      </c>
      <c r="D1317" t="s">
        <v>250</v>
      </c>
      <c r="E1317" t="s">
        <v>251</v>
      </c>
      <c r="M1317" s="19">
        <v>45271</v>
      </c>
      <c r="N1317" s="20"/>
      <c r="O1317" s="20"/>
    </row>
    <row r="1318" ht="15" customHeight="1">
      <c r="A1318" t="s">
        <v>2914</v>
      </c>
      <c r="B1318" t="s">
        <v>2915</v>
      </c>
      <c r="C1318" s="23" t="s">
        <v>309</v>
      </c>
      <c r="D1318" t="s">
        <v>813</v>
      </c>
      <c r="E1318" t="s">
        <v>814</v>
      </c>
      <c r="K1318" t="s">
        <v>815</v>
      </c>
      <c r="M1318" s="19">
        <v>45271</v>
      </c>
      <c r="N1318" s="20"/>
      <c r="O1318" s="20"/>
    </row>
    <row r="1319" ht="15" customHeight="1">
      <c r="A1319" t="s">
        <v>2916</v>
      </c>
      <c r="B1319" t="s">
        <v>2917</v>
      </c>
      <c r="C1319" s="23" t="s">
        <v>309</v>
      </c>
      <c r="D1319" t="s">
        <v>813</v>
      </c>
      <c r="E1319" t="s">
        <v>814</v>
      </c>
      <c r="K1319" t="s">
        <v>815</v>
      </c>
      <c r="M1319" s="19">
        <v>45271</v>
      </c>
      <c r="N1319" s="20"/>
      <c r="O1319" s="20"/>
    </row>
    <row r="1320" ht="15" customHeight="1">
      <c r="A1320" t="s">
        <v>2918</v>
      </c>
      <c r="B1320" t="s">
        <v>2919</v>
      </c>
      <c r="C1320" s="23" t="s">
        <v>309</v>
      </c>
      <c r="D1320" t="s">
        <v>232</v>
      </c>
      <c r="E1320" t="s">
        <v>233</v>
      </c>
      <c r="K1320" t="s">
        <v>2920</v>
      </c>
      <c r="M1320" s="19">
        <v>45271</v>
      </c>
      <c r="N1320" s="20"/>
      <c r="O1320" s="20"/>
    </row>
    <row r="1321" ht="15" customHeight="1">
      <c r="A1321" t="s">
        <v>2921</v>
      </c>
      <c r="B1321" t="s">
        <v>2922</v>
      </c>
      <c r="C1321" s="21" t="s">
        <v>227</v>
      </c>
      <c r="D1321" t="s">
        <v>813</v>
      </c>
      <c r="E1321" t="s">
        <v>814</v>
      </c>
      <c r="M1321" s="19">
        <v>45268</v>
      </c>
      <c r="N1321" s="20"/>
      <c r="O1321" s="20"/>
    </row>
    <row r="1322" ht="15" customHeight="1">
      <c r="A1322" t="s">
        <v>2923</v>
      </c>
      <c r="B1322" t="s">
        <v>2924</v>
      </c>
      <c r="C1322" s="23" t="s">
        <v>309</v>
      </c>
      <c r="D1322" t="s">
        <v>813</v>
      </c>
      <c r="E1322" t="s">
        <v>814</v>
      </c>
      <c r="K1322" t="s">
        <v>2901</v>
      </c>
      <c r="M1322" s="19">
        <v>45266</v>
      </c>
      <c r="N1322" s="19">
        <v>45288</v>
      </c>
      <c r="O1322" s="20"/>
    </row>
    <row r="1323" ht="15" customHeight="1">
      <c r="A1323" t="s">
        <v>2925</v>
      </c>
      <c r="B1323" t="s">
        <v>2926</v>
      </c>
      <c r="C1323" s="21" t="s">
        <v>227</v>
      </c>
      <c r="D1323" t="s">
        <v>813</v>
      </c>
      <c r="E1323" t="s">
        <v>814</v>
      </c>
      <c r="K1323" t="s">
        <v>2927</v>
      </c>
      <c r="M1323" s="19">
        <v>45265</v>
      </c>
      <c r="N1323" s="20"/>
      <c r="O1323" s="20"/>
    </row>
    <row r="1324" ht="15" customHeight="1">
      <c r="A1324" t="s">
        <v>2928</v>
      </c>
      <c r="B1324" t="s">
        <v>2929</v>
      </c>
      <c r="C1324" t="s">
        <v>1470</v>
      </c>
      <c r="D1324" t="s">
        <v>232</v>
      </c>
      <c r="E1324" t="s">
        <v>233</v>
      </c>
      <c r="M1324" s="19">
        <v>45265</v>
      </c>
      <c r="N1324" s="20"/>
      <c r="O1324" s="20"/>
    </row>
    <row r="1325" ht="15" customHeight="1">
      <c r="A1325" t="s">
        <v>2930</v>
      </c>
      <c r="B1325" t="s">
        <v>2931</v>
      </c>
      <c r="C1325" s="21" t="s">
        <v>227</v>
      </c>
      <c r="D1325" t="s">
        <v>250</v>
      </c>
      <c r="E1325" t="s">
        <v>251</v>
      </c>
      <c r="M1325" s="19">
        <v>45265</v>
      </c>
      <c r="N1325" s="20"/>
      <c r="O1325" s="20"/>
    </row>
    <row r="1326" ht="15" customHeight="1">
      <c r="A1326" t="s">
        <v>2932</v>
      </c>
      <c r="B1326" t="s">
        <v>2933</v>
      </c>
      <c r="C1326" s="23" t="s">
        <v>309</v>
      </c>
      <c r="D1326" t="s">
        <v>813</v>
      </c>
      <c r="E1326" t="s">
        <v>814</v>
      </c>
      <c r="K1326" t="s">
        <v>2934</v>
      </c>
      <c r="M1326" s="19">
        <v>45265</v>
      </c>
      <c r="N1326" s="19">
        <v>45414</v>
      </c>
      <c r="O1326" s="20"/>
    </row>
    <row r="1327" ht="15" customHeight="1">
      <c r="A1327" t="s">
        <v>2935</v>
      </c>
      <c r="B1327" t="s">
        <v>2936</v>
      </c>
      <c r="C1327" s="23" t="s">
        <v>309</v>
      </c>
      <c r="D1327" t="s">
        <v>250</v>
      </c>
      <c r="E1327" t="s">
        <v>251</v>
      </c>
      <c r="H1327">
        <v>25</v>
      </c>
      <c r="M1327" s="19">
        <v>45265</v>
      </c>
      <c r="N1327" s="20"/>
      <c r="O1327" s="20"/>
    </row>
    <row r="1328" ht="15" customHeight="1">
      <c r="A1328" t="s">
        <v>2937</v>
      </c>
      <c r="B1328" t="s">
        <v>2938</v>
      </c>
      <c r="C1328" s="23" t="s">
        <v>309</v>
      </c>
      <c r="D1328" t="s">
        <v>813</v>
      </c>
      <c r="E1328" t="s">
        <v>814</v>
      </c>
      <c r="L1328" t="s">
        <v>2939</v>
      </c>
      <c r="M1328" s="19">
        <v>45265</v>
      </c>
      <c r="N1328" s="19">
        <v>45274</v>
      </c>
      <c r="O1328" s="20"/>
    </row>
    <row r="1329" ht="15" customHeight="1">
      <c r="A1329" t="s">
        <v>2940</v>
      </c>
      <c r="B1329" t="s">
        <v>2941</v>
      </c>
      <c r="C1329" s="21" t="s">
        <v>227</v>
      </c>
      <c r="D1329" t="s">
        <v>813</v>
      </c>
      <c r="E1329" t="s">
        <v>814</v>
      </c>
      <c r="K1329" t="s">
        <v>2927</v>
      </c>
      <c r="M1329" s="19">
        <v>45265</v>
      </c>
      <c r="N1329" s="20"/>
      <c r="O1329" s="20"/>
    </row>
    <row r="1330" ht="15" customHeight="1">
      <c r="A1330" t="s">
        <v>2942</v>
      </c>
      <c r="B1330" t="s">
        <v>2943</v>
      </c>
      <c r="C1330" s="21" t="s">
        <v>227</v>
      </c>
      <c r="D1330" t="s">
        <v>813</v>
      </c>
      <c r="E1330" t="s">
        <v>814</v>
      </c>
      <c r="G1330" t="s">
        <v>844</v>
      </c>
      <c r="K1330" t="s">
        <v>815</v>
      </c>
      <c r="M1330" s="19">
        <v>45265</v>
      </c>
      <c r="N1330" s="20"/>
      <c r="O1330" s="20"/>
    </row>
    <row r="1331" ht="15" customHeight="1">
      <c r="A1331" t="s">
        <v>2944</v>
      </c>
      <c r="B1331" t="s">
        <v>2945</v>
      </c>
      <c r="C1331" s="21" t="s">
        <v>227</v>
      </c>
      <c r="D1331" t="s">
        <v>813</v>
      </c>
      <c r="E1331" t="s">
        <v>814</v>
      </c>
      <c r="G1331" t="s">
        <v>844</v>
      </c>
      <c r="K1331" t="s">
        <v>815</v>
      </c>
      <c r="M1331" s="19">
        <v>45265</v>
      </c>
      <c r="N1331" s="20"/>
      <c r="O1331" s="20"/>
    </row>
    <row r="1332" ht="15" customHeight="1">
      <c r="A1332" t="s">
        <v>2946</v>
      </c>
      <c r="B1332" t="s">
        <v>1057</v>
      </c>
      <c r="C1332" t="s">
        <v>259</v>
      </c>
      <c r="D1332" t="s">
        <v>223</v>
      </c>
      <c r="E1332" t="s">
        <v>224</v>
      </c>
      <c r="M1332" s="19">
        <v>45265</v>
      </c>
      <c r="N1332" s="20"/>
      <c r="O1332" s="20"/>
    </row>
    <row r="1333" ht="15" customHeight="1">
      <c r="A1333" t="s">
        <v>2947</v>
      </c>
      <c r="B1333" t="s">
        <v>2948</v>
      </c>
      <c r="C1333" t="s">
        <v>1470</v>
      </c>
      <c r="D1333" t="s">
        <v>232</v>
      </c>
      <c r="E1333" t="s">
        <v>233</v>
      </c>
      <c r="M1333" s="19">
        <v>45264</v>
      </c>
      <c r="N1333" s="20"/>
      <c r="O1333" s="20"/>
    </row>
    <row r="1334" ht="15" customHeight="1">
      <c r="A1334" t="s">
        <v>2949</v>
      </c>
      <c r="B1334" t="s">
        <v>2950</v>
      </c>
      <c r="C1334" t="s">
        <v>1470</v>
      </c>
      <c r="D1334" t="s">
        <v>228</v>
      </c>
      <c r="E1334" t="s">
        <v>229</v>
      </c>
      <c r="M1334" s="19">
        <v>45264</v>
      </c>
      <c r="N1334" s="20"/>
      <c r="O1334" s="20"/>
    </row>
    <row r="1335" ht="15" customHeight="1">
      <c r="A1335" t="s">
        <v>2951</v>
      </c>
      <c r="B1335" t="s">
        <v>2952</v>
      </c>
      <c r="C1335" s="21" t="s">
        <v>227</v>
      </c>
      <c r="D1335" t="s">
        <v>813</v>
      </c>
      <c r="E1335" t="s">
        <v>814</v>
      </c>
      <c r="G1335" t="s">
        <v>2953</v>
      </c>
      <c r="K1335" t="s">
        <v>2934</v>
      </c>
      <c r="M1335" s="19">
        <v>45264</v>
      </c>
      <c r="N1335" s="20"/>
      <c r="O1335" s="20"/>
    </row>
    <row r="1336" ht="15" customHeight="1">
      <c r="A1336" t="s">
        <v>2954</v>
      </c>
      <c r="B1336" t="s">
        <v>2955</v>
      </c>
      <c r="C1336" s="21" t="s">
        <v>227</v>
      </c>
      <c r="D1336" t="s">
        <v>813</v>
      </c>
      <c r="E1336" t="s">
        <v>814</v>
      </c>
      <c r="G1336" t="s">
        <v>2953</v>
      </c>
      <c r="K1336" t="s">
        <v>2934</v>
      </c>
      <c r="M1336" s="19">
        <v>45264</v>
      </c>
      <c r="N1336" s="20"/>
      <c r="O1336" s="20"/>
    </row>
    <row r="1337" ht="15" customHeight="1">
      <c r="A1337" t="s">
        <v>2956</v>
      </c>
      <c r="B1337" t="s">
        <v>2957</v>
      </c>
      <c r="C1337" s="21" t="s">
        <v>227</v>
      </c>
      <c r="D1337" t="s">
        <v>232</v>
      </c>
      <c r="E1337" t="s">
        <v>233</v>
      </c>
      <c r="G1337" t="s">
        <v>2953</v>
      </c>
      <c r="K1337" t="s">
        <v>2934</v>
      </c>
      <c r="M1337" s="19">
        <v>45264</v>
      </c>
      <c r="N1337" s="20"/>
      <c r="O1337" s="20"/>
    </row>
    <row r="1338" ht="15" customHeight="1">
      <c r="A1338" t="s">
        <v>2958</v>
      </c>
      <c r="B1338" t="s">
        <v>2959</v>
      </c>
      <c r="C1338" s="21" t="s">
        <v>227</v>
      </c>
      <c r="D1338" t="s">
        <v>813</v>
      </c>
      <c r="E1338" t="s">
        <v>814</v>
      </c>
      <c r="G1338" t="s">
        <v>1053</v>
      </c>
      <c r="K1338" t="s">
        <v>2934</v>
      </c>
      <c r="M1338" s="19">
        <v>45264</v>
      </c>
      <c r="N1338" s="20"/>
      <c r="O1338" s="20"/>
    </row>
    <row r="1339" ht="15" customHeight="1">
      <c r="A1339" t="s">
        <v>2960</v>
      </c>
      <c r="B1339" t="s">
        <v>2961</v>
      </c>
      <c r="C1339" s="21" t="s">
        <v>227</v>
      </c>
      <c r="D1339" t="s">
        <v>813</v>
      </c>
      <c r="E1339" t="s">
        <v>814</v>
      </c>
      <c r="G1339" t="s">
        <v>144</v>
      </c>
      <c r="K1339" t="s">
        <v>2934</v>
      </c>
      <c r="M1339" s="19">
        <v>45264</v>
      </c>
      <c r="N1339" s="20"/>
      <c r="O1339" s="20"/>
    </row>
    <row r="1340" ht="15" customHeight="1">
      <c r="A1340" t="s">
        <v>2962</v>
      </c>
      <c r="B1340" t="s">
        <v>2963</v>
      </c>
      <c r="C1340" s="21" t="s">
        <v>227</v>
      </c>
      <c r="D1340" t="s">
        <v>813</v>
      </c>
      <c r="E1340" t="s">
        <v>814</v>
      </c>
      <c r="K1340" t="s">
        <v>2934</v>
      </c>
      <c r="M1340" s="19">
        <v>45264</v>
      </c>
      <c r="N1340" s="20"/>
      <c r="O1340" s="20"/>
    </row>
    <row r="1341" ht="15" customHeight="1">
      <c r="A1341" t="s">
        <v>2964</v>
      </c>
      <c r="B1341" t="s">
        <v>2965</v>
      </c>
      <c r="C1341" s="23" t="s">
        <v>309</v>
      </c>
      <c r="D1341" t="s">
        <v>813</v>
      </c>
      <c r="E1341" t="s">
        <v>814</v>
      </c>
      <c r="G1341" t="s">
        <v>144</v>
      </c>
      <c r="K1341" t="s">
        <v>815</v>
      </c>
      <c r="M1341" s="19">
        <v>45264</v>
      </c>
      <c r="N1341" s="20"/>
      <c r="O1341" s="20"/>
    </row>
    <row r="1342" ht="15" customHeight="1">
      <c r="A1342" t="s">
        <v>2966</v>
      </c>
      <c r="B1342" t="s">
        <v>2967</v>
      </c>
      <c r="C1342" s="23" t="s">
        <v>309</v>
      </c>
      <c r="D1342" t="s">
        <v>813</v>
      </c>
      <c r="E1342" t="s">
        <v>814</v>
      </c>
      <c r="G1342" t="s">
        <v>1053</v>
      </c>
      <c r="K1342" t="s">
        <v>815</v>
      </c>
      <c r="M1342" s="19">
        <v>45264</v>
      </c>
      <c r="N1342" s="20"/>
      <c r="O1342" s="20"/>
    </row>
    <row r="1343" ht="15" customHeight="1">
      <c r="A1343" t="s">
        <v>2968</v>
      </c>
      <c r="B1343" t="s">
        <v>2969</v>
      </c>
      <c r="C1343" s="23" t="s">
        <v>309</v>
      </c>
      <c r="D1343" t="s">
        <v>813</v>
      </c>
      <c r="E1343" t="s">
        <v>814</v>
      </c>
      <c r="G1343" t="s">
        <v>1053</v>
      </c>
      <c r="H1343">
        <v>5</v>
      </c>
      <c r="K1343" t="s">
        <v>2901</v>
      </c>
      <c r="M1343" s="19">
        <v>45264</v>
      </c>
      <c r="N1343" s="20"/>
      <c r="O1343" s="20"/>
    </row>
    <row r="1344" ht="15" customHeight="1">
      <c r="A1344" t="s">
        <v>2970</v>
      </c>
      <c r="B1344" t="s">
        <v>2971</v>
      </c>
      <c r="C1344" s="23" t="s">
        <v>309</v>
      </c>
      <c r="D1344" t="s">
        <v>813</v>
      </c>
      <c r="E1344" t="s">
        <v>814</v>
      </c>
      <c r="G1344" t="s">
        <v>1053</v>
      </c>
      <c r="K1344" t="s">
        <v>2934</v>
      </c>
      <c r="M1344" s="19">
        <v>45264</v>
      </c>
      <c r="N1344" s="20"/>
      <c r="O1344" s="20"/>
    </row>
    <row r="1345" ht="15" customHeight="1">
      <c r="A1345" t="s">
        <v>2972</v>
      </c>
      <c r="B1345" t="s">
        <v>2973</v>
      </c>
      <c r="C1345" s="21" t="s">
        <v>227</v>
      </c>
      <c r="D1345" t="s">
        <v>813</v>
      </c>
      <c r="E1345" t="s">
        <v>814</v>
      </c>
      <c r="G1345" t="s">
        <v>2953</v>
      </c>
      <c r="K1345" t="s">
        <v>2934</v>
      </c>
      <c r="M1345" s="19">
        <v>45264</v>
      </c>
      <c r="N1345" s="20"/>
      <c r="O1345" s="20"/>
    </row>
    <row r="1346" ht="15" customHeight="1">
      <c r="A1346" t="s">
        <v>2974</v>
      </c>
      <c r="B1346" t="s">
        <v>1057</v>
      </c>
      <c r="C1346" s="23" t="s">
        <v>309</v>
      </c>
      <c r="D1346" t="s">
        <v>232</v>
      </c>
      <c r="E1346" t="s">
        <v>233</v>
      </c>
      <c r="M1346" s="19">
        <v>45264</v>
      </c>
      <c r="N1346" s="20"/>
      <c r="O1346" s="20"/>
    </row>
    <row r="1347" ht="15" customHeight="1">
      <c r="A1347" t="s">
        <v>2975</v>
      </c>
      <c r="B1347" t="s">
        <v>1057</v>
      </c>
      <c r="C1347" s="23" t="s">
        <v>309</v>
      </c>
      <c r="D1347" t="s">
        <v>223</v>
      </c>
      <c r="E1347" t="s">
        <v>224</v>
      </c>
      <c r="M1347" s="19">
        <v>45264</v>
      </c>
      <c r="N1347" s="20"/>
      <c r="O1347" s="20"/>
    </row>
    <row r="1348" ht="15" customHeight="1">
      <c r="A1348" t="s">
        <v>2976</v>
      </c>
      <c r="B1348" t="s">
        <v>2977</v>
      </c>
      <c r="C1348" s="23" t="s">
        <v>309</v>
      </c>
      <c r="D1348" t="s">
        <v>232</v>
      </c>
      <c r="E1348" t="s">
        <v>233</v>
      </c>
      <c r="K1348" t="s">
        <v>2978</v>
      </c>
      <c r="M1348" s="19">
        <v>45261</v>
      </c>
      <c r="N1348" s="20"/>
      <c r="O1348" s="20"/>
    </row>
    <row r="1349" ht="15" customHeight="1">
      <c r="A1349" t="s">
        <v>2979</v>
      </c>
      <c r="B1349" t="s">
        <v>2980</v>
      </c>
      <c r="C1349" s="23" t="s">
        <v>309</v>
      </c>
      <c r="D1349" t="s">
        <v>223</v>
      </c>
      <c r="E1349" t="s">
        <v>224</v>
      </c>
      <c r="M1349" s="19">
        <v>45261</v>
      </c>
      <c r="N1349" s="20"/>
      <c r="O1349" s="20"/>
    </row>
    <row r="1350" ht="15" customHeight="1">
      <c r="A1350" t="s">
        <v>2981</v>
      </c>
      <c r="B1350" t="s">
        <v>2982</v>
      </c>
      <c r="C1350" s="23" t="s">
        <v>309</v>
      </c>
      <c r="D1350" t="s">
        <v>232</v>
      </c>
      <c r="E1350" t="s">
        <v>233</v>
      </c>
      <c r="H1350">
        <v>5</v>
      </c>
      <c r="M1350" s="19">
        <v>45261</v>
      </c>
      <c r="N1350" s="19">
        <v>45330</v>
      </c>
      <c r="O1350" s="20"/>
    </row>
    <row r="1351" ht="15" customHeight="1">
      <c r="A1351" t="s">
        <v>2983</v>
      </c>
      <c r="B1351" t="s">
        <v>2984</v>
      </c>
      <c r="C1351" s="23" t="s">
        <v>309</v>
      </c>
      <c r="D1351" t="s">
        <v>232</v>
      </c>
      <c r="E1351" t="s">
        <v>233</v>
      </c>
      <c r="H1351">
        <v>3</v>
      </c>
      <c r="M1351" s="19">
        <v>45261</v>
      </c>
      <c r="N1351" s="19">
        <v>45386</v>
      </c>
      <c r="O1351" s="20"/>
    </row>
    <row r="1352" ht="15" customHeight="1">
      <c r="A1352" t="s">
        <v>2985</v>
      </c>
      <c r="B1352" t="s">
        <v>2986</v>
      </c>
      <c r="C1352" s="23" t="s">
        <v>309</v>
      </c>
      <c r="D1352" t="s">
        <v>232</v>
      </c>
      <c r="E1352" t="s">
        <v>233</v>
      </c>
      <c r="H1352">
        <v>3</v>
      </c>
      <c r="M1352" s="19">
        <v>45261</v>
      </c>
      <c r="N1352" s="19">
        <v>45316</v>
      </c>
      <c r="O1352" s="20"/>
    </row>
    <row r="1353" ht="15" customHeight="1">
      <c r="A1353" t="s">
        <v>2987</v>
      </c>
      <c r="B1353" t="s">
        <v>2988</v>
      </c>
      <c r="C1353" s="23" t="s">
        <v>309</v>
      </c>
      <c r="D1353" t="s">
        <v>232</v>
      </c>
      <c r="E1353" t="s">
        <v>233</v>
      </c>
      <c r="K1353" t="s">
        <v>2978</v>
      </c>
      <c r="M1353" s="19">
        <v>45260</v>
      </c>
      <c r="N1353" s="20"/>
      <c r="O1353" s="20"/>
    </row>
    <row r="1354" ht="15" customHeight="1">
      <c r="A1354" t="s">
        <v>2989</v>
      </c>
      <c r="B1354" t="s">
        <v>2990</v>
      </c>
      <c r="C1354" t="s">
        <v>1470</v>
      </c>
      <c r="D1354" t="s">
        <v>232</v>
      </c>
      <c r="E1354" t="s">
        <v>233</v>
      </c>
      <c r="M1354" s="19">
        <v>45260</v>
      </c>
      <c r="N1354" s="20"/>
      <c r="O1354" s="20"/>
    </row>
    <row r="1355" ht="15" customHeight="1">
      <c r="A1355" t="s">
        <v>2991</v>
      </c>
      <c r="B1355" t="s">
        <v>2992</v>
      </c>
      <c r="C1355" s="23" t="s">
        <v>309</v>
      </c>
      <c r="D1355" t="s">
        <v>232</v>
      </c>
      <c r="E1355" t="s">
        <v>233</v>
      </c>
      <c r="K1355" t="s">
        <v>2920</v>
      </c>
      <c r="M1355" s="19">
        <v>45260</v>
      </c>
      <c r="N1355" s="20"/>
      <c r="O1355" s="20"/>
    </row>
    <row r="1356" ht="15" customHeight="1">
      <c r="A1356" t="s">
        <v>2993</v>
      </c>
      <c r="B1356" t="s">
        <v>2994</v>
      </c>
      <c r="C1356" s="23" t="s">
        <v>309</v>
      </c>
      <c r="D1356" t="s">
        <v>232</v>
      </c>
      <c r="E1356" t="s">
        <v>233</v>
      </c>
      <c r="K1356" t="s">
        <v>2978</v>
      </c>
      <c r="M1356" s="19">
        <v>45260</v>
      </c>
      <c r="N1356" s="20"/>
      <c r="O1356" s="20"/>
    </row>
    <row r="1357" ht="15" customHeight="1">
      <c r="A1357" t="s">
        <v>2995</v>
      </c>
      <c r="B1357" t="s">
        <v>2996</v>
      </c>
      <c r="C1357" s="25" t="s">
        <v>1627</v>
      </c>
      <c r="D1357" t="s">
        <v>223</v>
      </c>
      <c r="E1357" t="s">
        <v>224</v>
      </c>
      <c r="M1357" s="19">
        <v>45259</v>
      </c>
      <c r="N1357" s="20"/>
      <c r="O1357" s="20"/>
    </row>
    <row r="1358" ht="15" customHeight="1">
      <c r="A1358" t="s">
        <v>2997</v>
      </c>
      <c r="B1358" t="s">
        <v>2998</v>
      </c>
      <c r="C1358" s="25" t="s">
        <v>1627</v>
      </c>
      <c r="D1358" t="s">
        <v>223</v>
      </c>
      <c r="E1358" t="s">
        <v>224</v>
      </c>
      <c r="M1358" s="19">
        <v>45259</v>
      </c>
      <c r="N1358" s="20"/>
      <c r="O1358" s="20"/>
    </row>
    <row r="1359" ht="15" customHeight="1">
      <c r="A1359" t="s">
        <v>2999</v>
      </c>
      <c r="B1359" t="s">
        <v>3000</v>
      </c>
      <c r="C1359" s="25" t="s">
        <v>1627</v>
      </c>
      <c r="D1359" t="s">
        <v>223</v>
      </c>
      <c r="E1359" t="s">
        <v>224</v>
      </c>
      <c r="M1359" s="19">
        <v>45259</v>
      </c>
      <c r="N1359" s="20"/>
      <c r="O1359" s="20"/>
    </row>
    <row r="1360" ht="15" customHeight="1">
      <c r="A1360" t="s">
        <v>3001</v>
      </c>
      <c r="B1360" t="s">
        <v>3002</v>
      </c>
      <c r="C1360" s="23" t="s">
        <v>309</v>
      </c>
      <c r="D1360" t="s">
        <v>232</v>
      </c>
      <c r="E1360" t="s">
        <v>233</v>
      </c>
      <c r="M1360" s="19">
        <v>45259</v>
      </c>
      <c r="N1360" s="20"/>
      <c r="O1360" s="20"/>
    </row>
    <row r="1361" ht="15" customHeight="1">
      <c r="A1361" t="s">
        <v>3003</v>
      </c>
      <c r="B1361" t="s">
        <v>3004</v>
      </c>
      <c r="C1361" s="23" t="s">
        <v>309</v>
      </c>
      <c r="D1361" t="s">
        <v>232</v>
      </c>
      <c r="E1361" t="s">
        <v>233</v>
      </c>
      <c r="M1361" s="19">
        <v>45259</v>
      </c>
      <c r="N1361" s="20"/>
      <c r="O1361" s="20"/>
    </row>
    <row r="1362" ht="15" customHeight="1">
      <c r="A1362" t="s">
        <v>3005</v>
      </c>
      <c r="B1362" t="s">
        <v>3006</v>
      </c>
      <c r="C1362" s="23" t="s">
        <v>309</v>
      </c>
      <c r="D1362" t="s">
        <v>232</v>
      </c>
      <c r="E1362" t="s">
        <v>233</v>
      </c>
      <c r="M1362" s="19">
        <v>45259</v>
      </c>
      <c r="N1362" s="20"/>
      <c r="O1362" s="20"/>
    </row>
    <row r="1363" ht="15" customHeight="1">
      <c r="A1363" t="s">
        <v>3007</v>
      </c>
      <c r="B1363" t="s">
        <v>3008</v>
      </c>
      <c r="C1363" s="23" t="s">
        <v>309</v>
      </c>
      <c r="D1363" t="s">
        <v>232</v>
      </c>
      <c r="E1363" t="s">
        <v>233</v>
      </c>
      <c r="K1363" t="s">
        <v>815</v>
      </c>
      <c r="M1363" s="19">
        <v>45259</v>
      </c>
      <c r="N1363" s="20"/>
      <c r="O1363" s="20"/>
    </row>
    <row r="1364" ht="15" customHeight="1">
      <c r="A1364" t="s">
        <v>3009</v>
      </c>
      <c r="B1364" t="s">
        <v>3010</v>
      </c>
      <c r="C1364" s="23" t="s">
        <v>309</v>
      </c>
      <c r="D1364" t="s">
        <v>232</v>
      </c>
      <c r="E1364" t="s">
        <v>233</v>
      </c>
      <c r="M1364" s="19">
        <v>45259</v>
      </c>
      <c r="N1364" s="20"/>
      <c r="O1364" s="20"/>
    </row>
    <row r="1365" ht="15" customHeight="1">
      <c r="A1365" t="s">
        <v>3011</v>
      </c>
      <c r="B1365" t="s">
        <v>3012</v>
      </c>
      <c r="C1365" s="23" t="s">
        <v>309</v>
      </c>
      <c r="D1365" t="s">
        <v>232</v>
      </c>
      <c r="E1365" t="s">
        <v>233</v>
      </c>
      <c r="M1365" s="19">
        <v>45259</v>
      </c>
      <c r="N1365" s="20"/>
      <c r="O1365" s="20"/>
    </row>
    <row r="1366" ht="15" customHeight="1">
      <c r="A1366" t="s">
        <v>3013</v>
      </c>
      <c r="B1366" t="s">
        <v>3014</v>
      </c>
      <c r="C1366" s="23" t="s">
        <v>309</v>
      </c>
      <c r="D1366" t="s">
        <v>232</v>
      </c>
      <c r="E1366" t="s">
        <v>233</v>
      </c>
      <c r="M1366" s="19">
        <v>45259</v>
      </c>
      <c r="N1366" s="20"/>
      <c r="O1366" s="20"/>
    </row>
    <row r="1367" ht="15" customHeight="1">
      <c r="A1367" t="s">
        <v>3015</v>
      </c>
      <c r="B1367" t="s">
        <v>3016</v>
      </c>
      <c r="C1367" s="23" t="s">
        <v>309</v>
      </c>
      <c r="D1367" t="s">
        <v>223</v>
      </c>
      <c r="E1367" t="s">
        <v>224</v>
      </c>
      <c r="M1367" s="19">
        <v>45258</v>
      </c>
      <c r="N1367" s="20"/>
      <c r="O1367" s="20"/>
    </row>
    <row r="1368" ht="15" customHeight="1">
      <c r="A1368" t="s">
        <v>3017</v>
      </c>
      <c r="B1368" t="s">
        <v>3018</v>
      </c>
      <c r="C1368" s="25" t="s">
        <v>1627</v>
      </c>
      <c r="D1368" t="s">
        <v>223</v>
      </c>
      <c r="E1368" t="s">
        <v>224</v>
      </c>
      <c r="M1368" s="19">
        <v>45258</v>
      </c>
      <c r="N1368" s="20"/>
      <c r="O1368" s="20"/>
    </row>
    <row r="1369" ht="15" customHeight="1">
      <c r="A1369" t="s">
        <v>3019</v>
      </c>
      <c r="B1369" t="s">
        <v>3020</v>
      </c>
      <c r="C1369" s="25" t="s">
        <v>1627</v>
      </c>
      <c r="D1369" t="s">
        <v>223</v>
      </c>
      <c r="E1369" t="s">
        <v>224</v>
      </c>
      <c r="M1369" s="19">
        <v>45258</v>
      </c>
      <c r="N1369" s="20"/>
      <c r="O1369" s="20"/>
    </row>
    <row r="1370" ht="15" customHeight="1">
      <c r="A1370" t="s">
        <v>3021</v>
      </c>
      <c r="B1370" t="s">
        <v>3022</v>
      </c>
      <c r="C1370" s="21" t="s">
        <v>227</v>
      </c>
      <c r="D1370" t="s">
        <v>813</v>
      </c>
      <c r="E1370" t="s">
        <v>814</v>
      </c>
      <c r="H1370">
        <v>2</v>
      </c>
      <c r="M1370" s="19">
        <v>45258</v>
      </c>
      <c r="N1370" s="19">
        <v>45301</v>
      </c>
      <c r="O1370" s="20"/>
    </row>
    <row r="1371" ht="15" customHeight="1">
      <c r="A1371" t="s">
        <v>3023</v>
      </c>
      <c r="B1371" t="s">
        <v>3024</v>
      </c>
      <c r="C1371" t="s">
        <v>1470</v>
      </c>
      <c r="D1371" t="s">
        <v>232</v>
      </c>
      <c r="E1371" t="s">
        <v>233</v>
      </c>
      <c r="M1371" s="19">
        <v>45258</v>
      </c>
      <c r="N1371" s="20"/>
      <c r="O1371" s="20"/>
    </row>
    <row r="1372" ht="15" customHeight="1">
      <c r="A1372" t="s">
        <v>3025</v>
      </c>
      <c r="B1372" t="s">
        <v>3026</v>
      </c>
      <c r="C1372" s="23" t="s">
        <v>309</v>
      </c>
      <c r="D1372" t="s">
        <v>232</v>
      </c>
      <c r="E1372" t="s">
        <v>233</v>
      </c>
      <c r="H1372">
        <v>1</v>
      </c>
      <c r="M1372" s="19">
        <v>45258</v>
      </c>
      <c r="N1372" s="20"/>
      <c r="O1372" s="20"/>
    </row>
    <row r="1373" ht="15" customHeight="1">
      <c r="A1373" t="s">
        <v>3027</v>
      </c>
      <c r="B1373" t="s">
        <v>3028</v>
      </c>
      <c r="C1373" s="23" t="s">
        <v>309</v>
      </c>
      <c r="D1373" t="s">
        <v>232</v>
      </c>
      <c r="E1373" t="s">
        <v>233</v>
      </c>
      <c r="H1373">
        <v>1</v>
      </c>
      <c r="M1373" s="19">
        <v>45258</v>
      </c>
      <c r="N1373" s="20"/>
      <c r="O1373" s="20"/>
    </row>
    <row r="1374" ht="15" customHeight="1">
      <c r="A1374" t="s">
        <v>3029</v>
      </c>
      <c r="B1374" t="s">
        <v>3030</v>
      </c>
      <c r="C1374" s="23" t="s">
        <v>309</v>
      </c>
      <c r="D1374" t="s">
        <v>232</v>
      </c>
      <c r="E1374" t="s">
        <v>233</v>
      </c>
      <c r="M1374" s="19">
        <v>45258</v>
      </c>
      <c r="N1374" s="20"/>
      <c r="O1374" s="20"/>
    </row>
    <row r="1375" ht="15" customHeight="1">
      <c r="A1375" t="s">
        <v>3031</v>
      </c>
      <c r="B1375" t="s">
        <v>3032</v>
      </c>
      <c r="C1375" s="21" t="s">
        <v>227</v>
      </c>
      <c r="D1375" t="s">
        <v>813</v>
      </c>
      <c r="E1375" t="s">
        <v>814</v>
      </c>
      <c r="H1375">
        <v>3</v>
      </c>
      <c r="K1375" t="s">
        <v>2934</v>
      </c>
      <c r="M1375" s="19">
        <v>45257</v>
      </c>
      <c r="N1375" s="20"/>
      <c r="O1375" s="20"/>
    </row>
    <row r="1376" ht="15" customHeight="1">
      <c r="A1376" t="s">
        <v>3033</v>
      </c>
      <c r="B1376" t="s">
        <v>3034</v>
      </c>
      <c r="C1376" s="21" t="s">
        <v>227</v>
      </c>
      <c r="D1376" t="s">
        <v>813</v>
      </c>
      <c r="E1376" t="s">
        <v>814</v>
      </c>
      <c r="K1376" t="s">
        <v>2934</v>
      </c>
      <c r="M1376" s="19">
        <v>45257</v>
      </c>
      <c r="N1376" s="20"/>
      <c r="O1376" s="20"/>
    </row>
    <row r="1377" ht="15" customHeight="1">
      <c r="A1377" t="s">
        <v>3035</v>
      </c>
      <c r="B1377" t="s">
        <v>3036</v>
      </c>
      <c r="C1377" s="21" t="s">
        <v>227</v>
      </c>
      <c r="D1377" t="s">
        <v>250</v>
      </c>
      <c r="E1377" t="s">
        <v>251</v>
      </c>
      <c r="M1377" s="19">
        <v>45257</v>
      </c>
      <c r="N1377" s="20"/>
      <c r="O1377" s="20"/>
    </row>
    <row r="1378" ht="15" customHeight="1">
      <c r="A1378" t="s">
        <v>3037</v>
      </c>
      <c r="B1378" t="s">
        <v>3038</v>
      </c>
      <c r="C1378" s="21" t="s">
        <v>227</v>
      </c>
      <c r="D1378" t="s">
        <v>250</v>
      </c>
      <c r="E1378" t="s">
        <v>251</v>
      </c>
      <c r="M1378" s="19">
        <v>45257</v>
      </c>
      <c r="N1378" s="20"/>
      <c r="O1378" s="20"/>
    </row>
    <row r="1379" ht="15" customHeight="1">
      <c r="A1379" t="s">
        <v>3039</v>
      </c>
      <c r="B1379" t="s">
        <v>3040</v>
      </c>
      <c r="C1379" s="21" t="s">
        <v>227</v>
      </c>
      <c r="D1379" t="s">
        <v>250</v>
      </c>
      <c r="E1379" t="s">
        <v>251</v>
      </c>
      <c r="M1379" s="19">
        <v>45257</v>
      </c>
      <c r="N1379" s="20"/>
      <c r="O1379" s="20"/>
    </row>
    <row r="1380" ht="15" customHeight="1">
      <c r="A1380" t="s">
        <v>3041</v>
      </c>
      <c r="B1380" t="s">
        <v>3042</v>
      </c>
      <c r="C1380" s="23" t="s">
        <v>309</v>
      </c>
      <c r="D1380" t="s">
        <v>232</v>
      </c>
      <c r="E1380" t="s">
        <v>233</v>
      </c>
      <c r="K1380" t="s">
        <v>2920</v>
      </c>
      <c r="M1380" s="19">
        <v>45252</v>
      </c>
      <c r="N1380" s="20"/>
      <c r="O1380" s="20"/>
    </row>
    <row r="1381" ht="15" customHeight="1">
      <c r="A1381" t="s">
        <v>3043</v>
      </c>
      <c r="B1381" t="s">
        <v>3044</v>
      </c>
      <c r="C1381" s="23" t="s">
        <v>309</v>
      </c>
      <c r="D1381" t="s">
        <v>232</v>
      </c>
      <c r="E1381" t="s">
        <v>233</v>
      </c>
      <c r="K1381" t="s">
        <v>2920</v>
      </c>
      <c r="M1381" s="19">
        <v>45252</v>
      </c>
      <c r="N1381" s="20"/>
      <c r="O1381" s="20"/>
    </row>
    <row r="1382" ht="15" customHeight="1">
      <c r="A1382" t="s">
        <v>3045</v>
      </c>
      <c r="B1382" t="s">
        <v>3046</v>
      </c>
      <c r="C1382" s="23" t="s">
        <v>309</v>
      </c>
      <c r="D1382" t="s">
        <v>232</v>
      </c>
      <c r="E1382" t="s">
        <v>233</v>
      </c>
      <c r="K1382" t="s">
        <v>2920</v>
      </c>
      <c r="M1382" s="19">
        <v>45252</v>
      </c>
      <c r="N1382" s="20"/>
      <c r="O1382" s="20"/>
    </row>
    <row r="1383" ht="15" customHeight="1">
      <c r="A1383" t="s">
        <v>3047</v>
      </c>
      <c r="B1383" t="s">
        <v>3048</v>
      </c>
      <c r="C1383" s="23" t="s">
        <v>309</v>
      </c>
      <c r="D1383" t="s">
        <v>232</v>
      </c>
      <c r="E1383" t="s">
        <v>233</v>
      </c>
      <c r="K1383" t="s">
        <v>2920</v>
      </c>
      <c r="M1383" s="19">
        <v>45252</v>
      </c>
      <c r="N1383" s="20"/>
      <c r="O1383" s="20"/>
    </row>
    <row r="1384" ht="15" customHeight="1">
      <c r="A1384" t="s">
        <v>3049</v>
      </c>
      <c r="B1384" t="s">
        <v>3050</v>
      </c>
      <c r="C1384" s="23" t="s">
        <v>309</v>
      </c>
      <c r="D1384" t="s">
        <v>232</v>
      </c>
      <c r="E1384" t="s">
        <v>233</v>
      </c>
      <c r="M1384" s="19">
        <v>45252</v>
      </c>
      <c r="N1384" s="20"/>
      <c r="O1384" s="20"/>
    </row>
    <row r="1385" ht="15" customHeight="1">
      <c r="A1385" t="s">
        <v>3051</v>
      </c>
      <c r="B1385" t="s">
        <v>3052</v>
      </c>
      <c r="C1385" s="23" t="s">
        <v>309</v>
      </c>
      <c r="D1385" t="s">
        <v>232</v>
      </c>
      <c r="E1385" t="s">
        <v>233</v>
      </c>
      <c r="M1385" s="19">
        <v>45252</v>
      </c>
      <c r="N1385" s="20"/>
      <c r="O1385" s="20"/>
    </row>
    <row r="1386" ht="15" customHeight="1">
      <c r="A1386" t="s">
        <v>3053</v>
      </c>
      <c r="B1386" t="s">
        <v>3054</v>
      </c>
      <c r="C1386" s="23" t="s">
        <v>309</v>
      </c>
      <c r="D1386" t="s">
        <v>232</v>
      </c>
      <c r="E1386" t="s">
        <v>233</v>
      </c>
      <c r="M1386" s="19">
        <v>45252</v>
      </c>
      <c r="N1386" s="20"/>
      <c r="O1386" s="20"/>
    </row>
    <row r="1387" ht="15" customHeight="1">
      <c r="A1387" t="s">
        <v>3055</v>
      </c>
      <c r="B1387" t="s">
        <v>3056</v>
      </c>
      <c r="C1387" s="23" t="s">
        <v>309</v>
      </c>
      <c r="D1387" t="s">
        <v>250</v>
      </c>
      <c r="E1387" t="s">
        <v>251</v>
      </c>
      <c r="M1387" s="19">
        <v>45252</v>
      </c>
      <c r="N1387" s="20"/>
      <c r="O1387" s="20"/>
    </row>
    <row r="1388" ht="15" customHeight="1">
      <c r="A1388" t="s">
        <v>3057</v>
      </c>
      <c r="B1388" t="s">
        <v>3058</v>
      </c>
      <c r="C1388" s="23" t="s">
        <v>309</v>
      </c>
      <c r="D1388" t="s">
        <v>232</v>
      </c>
      <c r="E1388" t="s">
        <v>233</v>
      </c>
      <c r="M1388" s="19">
        <v>45252</v>
      </c>
      <c r="N1388" s="20"/>
      <c r="O1388" s="20"/>
    </row>
    <row r="1389" ht="15" customHeight="1">
      <c r="A1389" t="s">
        <v>3059</v>
      </c>
      <c r="B1389" t="s">
        <v>3060</v>
      </c>
      <c r="C1389" s="25" t="s">
        <v>1627</v>
      </c>
      <c r="D1389" t="s">
        <v>223</v>
      </c>
      <c r="E1389" t="s">
        <v>224</v>
      </c>
      <c r="M1389" s="19">
        <v>45252</v>
      </c>
      <c r="N1389" s="20"/>
      <c r="O1389" s="20"/>
    </row>
    <row r="1390" ht="15" customHeight="1">
      <c r="A1390" t="s">
        <v>3061</v>
      </c>
      <c r="B1390" t="s">
        <v>3062</v>
      </c>
      <c r="C1390" s="23" t="s">
        <v>309</v>
      </c>
      <c r="D1390" t="s">
        <v>223</v>
      </c>
      <c r="E1390" t="s">
        <v>224</v>
      </c>
      <c r="M1390" s="19">
        <v>45252</v>
      </c>
      <c r="N1390" s="20"/>
      <c r="O1390" s="20"/>
    </row>
    <row r="1391" ht="15" customHeight="1">
      <c r="A1391" t="s">
        <v>3063</v>
      </c>
      <c r="B1391" t="s">
        <v>3064</v>
      </c>
      <c r="C1391" s="25" t="s">
        <v>1627</v>
      </c>
      <c r="D1391" t="s">
        <v>223</v>
      </c>
      <c r="E1391" t="s">
        <v>224</v>
      </c>
      <c r="M1391" s="19">
        <v>45252</v>
      </c>
      <c r="N1391" s="20"/>
      <c r="O1391" s="20"/>
    </row>
    <row r="1392" ht="15" customHeight="1">
      <c r="A1392" t="s">
        <v>3065</v>
      </c>
      <c r="B1392" t="s">
        <v>3066</v>
      </c>
      <c r="C1392" s="23" t="s">
        <v>309</v>
      </c>
      <c r="D1392" t="s">
        <v>223</v>
      </c>
      <c r="E1392" t="s">
        <v>224</v>
      </c>
      <c r="M1392" s="19">
        <v>45252</v>
      </c>
      <c r="N1392" s="20"/>
      <c r="O1392" s="20"/>
    </row>
    <row r="1393" ht="15" customHeight="1">
      <c r="A1393" t="s">
        <v>3067</v>
      </c>
      <c r="B1393" t="s">
        <v>3068</v>
      </c>
      <c r="C1393" s="23" t="s">
        <v>309</v>
      </c>
      <c r="D1393" t="s">
        <v>232</v>
      </c>
      <c r="E1393" t="s">
        <v>233</v>
      </c>
      <c r="K1393" t="s">
        <v>2920</v>
      </c>
      <c r="M1393" s="19">
        <v>45251</v>
      </c>
      <c r="N1393" s="20"/>
      <c r="O1393" s="20"/>
    </row>
    <row r="1394" ht="15" customHeight="1">
      <c r="A1394" t="s">
        <v>3069</v>
      </c>
      <c r="B1394" t="s">
        <v>3070</v>
      </c>
      <c r="C1394" s="23" t="s">
        <v>309</v>
      </c>
      <c r="D1394" t="s">
        <v>232</v>
      </c>
      <c r="E1394" t="s">
        <v>233</v>
      </c>
      <c r="K1394" t="s">
        <v>2920</v>
      </c>
      <c r="M1394" s="19">
        <v>45251</v>
      </c>
      <c r="N1394" s="20"/>
      <c r="O1394" s="20"/>
    </row>
    <row r="1395" ht="15" customHeight="1">
      <c r="A1395" t="s">
        <v>3071</v>
      </c>
      <c r="B1395" t="s">
        <v>3072</v>
      </c>
      <c r="C1395" s="23" t="s">
        <v>309</v>
      </c>
      <c r="D1395" t="s">
        <v>232</v>
      </c>
      <c r="E1395" t="s">
        <v>233</v>
      </c>
      <c r="K1395" t="s">
        <v>2920</v>
      </c>
      <c r="M1395" s="19">
        <v>45251</v>
      </c>
      <c r="N1395" s="20"/>
      <c r="O1395" s="20"/>
    </row>
    <row r="1396" ht="15" customHeight="1">
      <c r="A1396" t="s">
        <v>3073</v>
      </c>
      <c r="B1396" t="s">
        <v>3074</v>
      </c>
      <c r="C1396" s="21" t="s">
        <v>227</v>
      </c>
      <c r="D1396" t="s">
        <v>813</v>
      </c>
      <c r="E1396" t="s">
        <v>814</v>
      </c>
      <c r="H1396">
        <v>2</v>
      </c>
      <c r="K1396" t="s">
        <v>2927</v>
      </c>
      <c r="M1396" s="19">
        <v>45251</v>
      </c>
      <c r="N1396" s="20"/>
      <c r="O1396" s="20"/>
    </row>
    <row r="1397" ht="15" customHeight="1">
      <c r="A1397" t="s">
        <v>3075</v>
      </c>
      <c r="B1397" t="s">
        <v>3076</v>
      </c>
      <c r="C1397" s="23" t="s">
        <v>309</v>
      </c>
      <c r="D1397" t="s">
        <v>813</v>
      </c>
      <c r="E1397" t="s">
        <v>814</v>
      </c>
      <c r="H1397">
        <v>5</v>
      </c>
      <c r="L1397" t="s">
        <v>2742</v>
      </c>
      <c r="M1397" s="19">
        <v>45251</v>
      </c>
      <c r="N1397" s="19">
        <v>45358</v>
      </c>
      <c r="O1397" s="20"/>
    </row>
    <row r="1398" ht="15" customHeight="1">
      <c r="A1398" t="s">
        <v>3077</v>
      </c>
      <c r="B1398" t="s">
        <v>3078</v>
      </c>
      <c r="C1398" s="23" t="s">
        <v>309</v>
      </c>
      <c r="D1398" t="s">
        <v>813</v>
      </c>
      <c r="E1398" t="s">
        <v>814</v>
      </c>
      <c r="M1398" s="19">
        <v>45251</v>
      </c>
      <c r="N1398" s="19">
        <v>45301</v>
      </c>
      <c r="O1398" s="20"/>
    </row>
    <row r="1399" ht="15" customHeight="1">
      <c r="A1399" t="s">
        <v>3079</v>
      </c>
      <c r="B1399" t="s">
        <v>3080</v>
      </c>
      <c r="C1399" s="23" t="s">
        <v>309</v>
      </c>
      <c r="D1399" t="s">
        <v>250</v>
      </c>
      <c r="E1399" t="s">
        <v>251</v>
      </c>
      <c r="H1399">
        <v>20</v>
      </c>
      <c r="M1399" s="19">
        <v>45251</v>
      </c>
      <c r="N1399" s="20"/>
      <c r="O1399" s="20"/>
    </row>
    <row r="1400" ht="15" customHeight="1">
      <c r="A1400" t="s">
        <v>3081</v>
      </c>
      <c r="B1400" t="s">
        <v>3082</v>
      </c>
      <c r="C1400" t="s">
        <v>1470</v>
      </c>
      <c r="D1400" t="s">
        <v>232</v>
      </c>
      <c r="E1400" t="s">
        <v>233</v>
      </c>
      <c r="M1400" s="19">
        <v>45251</v>
      </c>
      <c r="N1400" s="20"/>
      <c r="O1400" s="20"/>
    </row>
    <row r="1401" ht="15" customHeight="1">
      <c r="A1401" t="s">
        <v>3083</v>
      </c>
      <c r="B1401" t="s">
        <v>3084</v>
      </c>
      <c r="C1401" s="23" t="s">
        <v>309</v>
      </c>
      <c r="D1401" t="s">
        <v>250</v>
      </c>
      <c r="E1401" t="s">
        <v>251</v>
      </c>
      <c r="H1401">
        <v>15</v>
      </c>
      <c r="M1401" s="19">
        <v>45251</v>
      </c>
      <c r="N1401" s="20"/>
      <c r="O1401" s="20"/>
    </row>
    <row r="1402" ht="15" customHeight="1">
      <c r="A1402" t="s">
        <v>3085</v>
      </c>
      <c r="B1402" t="s">
        <v>3086</v>
      </c>
      <c r="C1402" s="23" t="s">
        <v>309</v>
      </c>
      <c r="D1402" t="s">
        <v>250</v>
      </c>
      <c r="E1402" t="s">
        <v>251</v>
      </c>
      <c r="M1402" s="19">
        <v>45251</v>
      </c>
      <c r="N1402" s="20"/>
      <c r="O1402" s="20"/>
    </row>
    <row r="1403" ht="15" customHeight="1">
      <c r="A1403" t="s">
        <v>3087</v>
      </c>
      <c r="B1403" t="s">
        <v>3088</v>
      </c>
      <c r="C1403" s="22" t="s">
        <v>55</v>
      </c>
      <c r="D1403" t="s">
        <v>250</v>
      </c>
      <c r="E1403" t="s">
        <v>251</v>
      </c>
      <c r="M1403" s="19">
        <v>45251</v>
      </c>
      <c r="N1403" s="20"/>
      <c r="O1403" s="20"/>
    </row>
    <row r="1404" ht="15" customHeight="1">
      <c r="A1404" t="s">
        <v>3089</v>
      </c>
      <c r="B1404" t="s">
        <v>3090</v>
      </c>
      <c r="C1404" t="s">
        <v>259</v>
      </c>
      <c r="D1404" t="s">
        <v>223</v>
      </c>
      <c r="E1404" t="s">
        <v>224</v>
      </c>
      <c r="M1404" s="19">
        <v>45251</v>
      </c>
      <c r="N1404" s="20"/>
      <c r="O1404" s="20"/>
    </row>
    <row r="1405" ht="15" customHeight="1">
      <c r="A1405" t="s">
        <v>3091</v>
      </c>
      <c r="B1405" t="s">
        <v>3092</v>
      </c>
      <c r="C1405" t="s">
        <v>259</v>
      </c>
      <c r="D1405" t="s">
        <v>223</v>
      </c>
      <c r="E1405" t="s">
        <v>224</v>
      </c>
      <c r="M1405" s="19">
        <v>45251</v>
      </c>
      <c r="N1405" s="20"/>
      <c r="O1405" s="20"/>
    </row>
    <row r="1406" ht="15" customHeight="1">
      <c r="A1406" t="s">
        <v>3093</v>
      </c>
      <c r="B1406" t="s">
        <v>3094</v>
      </c>
      <c r="C1406" s="23" t="s">
        <v>309</v>
      </c>
      <c r="D1406" t="s">
        <v>223</v>
      </c>
      <c r="E1406" t="s">
        <v>224</v>
      </c>
      <c r="M1406" s="19">
        <v>45251</v>
      </c>
      <c r="N1406" s="20"/>
      <c r="O1406" s="20"/>
    </row>
    <row r="1407" ht="15" customHeight="1">
      <c r="A1407" t="s">
        <v>3095</v>
      </c>
      <c r="B1407" t="s">
        <v>3096</v>
      </c>
      <c r="C1407" s="23" t="s">
        <v>309</v>
      </c>
      <c r="D1407" t="s">
        <v>813</v>
      </c>
      <c r="E1407" t="s">
        <v>814</v>
      </c>
      <c r="H1407">
        <v>2</v>
      </c>
      <c r="K1407" t="s">
        <v>2927</v>
      </c>
      <c r="L1407" t="s">
        <v>3097</v>
      </c>
      <c r="M1407" s="19">
        <v>45251</v>
      </c>
      <c r="N1407" s="19">
        <v>45259</v>
      </c>
      <c r="O1407" s="19">
        <v>45258</v>
      </c>
    </row>
    <row r="1408" ht="15" customHeight="1">
      <c r="A1408" t="s">
        <v>3098</v>
      </c>
      <c r="B1408" t="s">
        <v>3099</v>
      </c>
      <c r="C1408" t="s">
        <v>1470</v>
      </c>
      <c r="D1408" t="s">
        <v>232</v>
      </c>
      <c r="E1408" t="s">
        <v>233</v>
      </c>
      <c r="H1408">
        <v>5</v>
      </c>
      <c r="M1408" s="19">
        <v>45251</v>
      </c>
      <c r="N1408" s="20"/>
      <c r="O1408" s="20"/>
    </row>
    <row r="1409" ht="15" customHeight="1">
      <c r="A1409" t="s">
        <v>3100</v>
      </c>
      <c r="B1409" t="s">
        <v>3101</v>
      </c>
      <c r="C1409" t="s">
        <v>1470</v>
      </c>
      <c r="D1409" t="s">
        <v>232</v>
      </c>
      <c r="E1409" t="s">
        <v>233</v>
      </c>
      <c r="H1409">
        <v>2</v>
      </c>
      <c r="M1409" s="19">
        <v>45251</v>
      </c>
      <c r="N1409" s="20"/>
      <c r="O1409" s="20"/>
    </row>
    <row r="1410" ht="15" customHeight="1">
      <c r="A1410" t="s">
        <v>3102</v>
      </c>
      <c r="B1410" t="s">
        <v>3103</v>
      </c>
      <c r="C1410" t="s">
        <v>1470</v>
      </c>
      <c r="D1410" t="s">
        <v>232</v>
      </c>
      <c r="E1410" t="s">
        <v>233</v>
      </c>
      <c r="H1410">
        <v>2</v>
      </c>
      <c r="M1410" s="19">
        <v>45251</v>
      </c>
      <c r="N1410" s="20"/>
      <c r="O1410" s="20"/>
    </row>
    <row r="1411" ht="15" customHeight="1">
      <c r="A1411" t="s">
        <v>3104</v>
      </c>
      <c r="B1411" t="s">
        <v>3105</v>
      </c>
      <c r="C1411" t="s">
        <v>1470</v>
      </c>
      <c r="D1411" t="s">
        <v>232</v>
      </c>
      <c r="E1411" t="s">
        <v>233</v>
      </c>
      <c r="H1411">
        <v>2</v>
      </c>
      <c r="M1411" s="19">
        <v>45251</v>
      </c>
      <c r="N1411" s="20"/>
      <c r="O1411" s="20"/>
    </row>
    <row r="1412" ht="15" customHeight="1">
      <c r="A1412" t="s">
        <v>3106</v>
      </c>
      <c r="B1412" t="s">
        <v>3107</v>
      </c>
      <c r="C1412" t="s">
        <v>1685</v>
      </c>
      <c r="D1412" t="s">
        <v>223</v>
      </c>
      <c r="E1412" t="s">
        <v>224</v>
      </c>
      <c r="K1412" t="s">
        <v>3108</v>
      </c>
      <c r="M1412" s="19">
        <v>45251</v>
      </c>
      <c r="N1412" s="20"/>
      <c r="O1412" s="20"/>
    </row>
    <row r="1413" ht="15" customHeight="1">
      <c r="A1413" t="s">
        <v>3109</v>
      </c>
      <c r="B1413" t="s">
        <v>3110</v>
      </c>
      <c r="C1413" s="23" t="s">
        <v>309</v>
      </c>
      <c r="D1413" t="s">
        <v>232</v>
      </c>
      <c r="E1413" t="s">
        <v>233</v>
      </c>
      <c r="M1413" s="19">
        <v>45251</v>
      </c>
      <c r="N1413" s="20"/>
      <c r="O1413" s="20"/>
    </row>
    <row r="1414" ht="15" customHeight="1">
      <c r="A1414" t="s">
        <v>3111</v>
      </c>
      <c r="B1414" t="s">
        <v>3112</v>
      </c>
      <c r="C1414" t="s">
        <v>1470</v>
      </c>
      <c r="D1414" t="s">
        <v>232</v>
      </c>
      <c r="E1414" t="s">
        <v>233</v>
      </c>
      <c r="H1414">
        <v>2</v>
      </c>
      <c r="M1414" s="19">
        <v>45250</v>
      </c>
      <c r="N1414" s="20"/>
      <c r="O1414" s="20"/>
    </row>
    <row r="1415" ht="15" customHeight="1">
      <c r="A1415" t="s">
        <v>3113</v>
      </c>
      <c r="B1415" t="s">
        <v>3114</v>
      </c>
      <c r="C1415" t="s">
        <v>259</v>
      </c>
      <c r="D1415" t="s">
        <v>223</v>
      </c>
      <c r="E1415" t="s">
        <v>224</v>
      </c>
      <c r="M1415" s="19">
        <v>45247</v>
      </c>
      <c r="N1415" s="20"/>
      <c r="O1415" s="20"/>
    </row>
    <row r="1416" ht="15" customHeight="1">
      <c r="A1416" t="s">
        <v>3115</v>
      </c>
      <c r="B1416" t="s">
        <v>3116</v>
      </c>
      <c r="C1416" s="21" t="s">
        <v>227</v>
      </c>
      <c r="D1416" t="s">
        <v>250</v>
      </c>
      <c r="E1416" t="s">
        <v>251</v>
      </c>
      <c r="M1416" s="19">
        <v>45247</v>
      </c>
      <c r="N1416" s="20"/>
      <c r="O1416" s="20"/>
    </row>
    <row r="1417" ht="15" customHeight="1">
      <c r="A1417" t="s">
        <v>3117</v>
      </c>
      <c r="B1417" t="s">
        <v>3118</v>
      </c>
      <c r="C1417" s="23" t="s">
        <v>309</v>
      </c>
      <c r="D1417" t="s">
        <v>250</v>
      </c>
      <c r="E1417" t="s">
        <v>251</v>
      </c>
      <c r="H1417">
        <v>23</v>
      </c>
      <c r="M1417" s="19">
        <v>45247</v>
      </c>
      <c r="N1417" s="20"/>
      <c r="O1417" s="20"/>
    </row>
    <row r="1418" ht="15" customHeight="1">
      <c r="A1418" t="s">
        <v>3119</v>
      </c>
      <c r="B1418" t="s">
        <v>3120</v>
      </c>
      <c r="C1418" t="s">
        <v>1057</v>
      </c>
      <c r="D1418" t="s">
        <v>223</v>
      </c>
      <c r="E1418" t="s">
        <v>224</v>
      </c>
      <c r="L1418" t="s">
        <v>3121</v>
      </c>
      <c r="M1418" s="19">
        <v>45247</v>
      </c>
      <c r="N1418" s="20"/>
      <c r="O1418" s="20"/>
    </row>
    <row r="1419" ht="15" customHeight="1">
      <c r="A1419" t="s">
        <v>3122</v>
      </c>
      <c r="B1419" t="s">
        <v>3123</v>
      </c>
      <c r="C1419" s="21" t="s">
        <v>227</v>
      </c>
      <c r="D1419" t="s">
        <v>250</v>
      </c>
      <c r="E1419" t="s">
        <v>251</v>
      </c>
      <c r="M1419" s="19">
        <v>45247</v>
      </c>
      <c r="N1419" s="20"/>
      <c r="O1419" s="20"/>
    </row>
    <row r="1420" ht="15" customHeight="1">
      <c r="A1420" t="s">
        <v>3124</v>
      </c>
      <c r="B1420" t="s">
        <v>3125</v>
      </c>
      <c r="C1420" s="25" t="s">
        <v>1627</v>
      </c>
      <c r="D1420" t="s">
        <v>223</v>
      </c>
      <c r="E1420" t="s">
        <v>224</v>
      </c>
      <c r="M1420" s="19">
        <v>45247</v>
      </c>
      <c r="N1420" s="19">
        <v>45706</v>
      </c>
      <c r="O1420" s="20"/>
    </row>
    <row r="1421" ht="15" customHeight="1">
      <c r="A1421" t="s">
        <v>3126</v>
      </c>
      <c r="B1421" t="s">
        <v>3127</v>
      </c>
      <c r="C1421" t="s">
        <v>1057</v>
      </c>
      <c r="D1421" t="s">
        <v>223</v>
      </c>
      <c r="E1421" t="s">
        <v>224</v>
      </c>
      <c r="M1421" s="19">
        <v>45247</v>
      </c>
      <c r="N1421" s="20"/>
      <c r="O1421" s="20"/>
    </row>
    <row r="1422" ht="15" customHeight="1">
      <c r="A1422" t="s">
        <v>3128</v>
      </c>
      <c r="B1422" t="s">
        <v>3129</v>
      </c>
      <c r="C1422" t="s">
        <v>1057</v>
      </c>
      <c r="D1422" t="s">
        <v>223</v>
      </c>
      <c r="E1422" t="s">
        <v>224</v>
      </c>
      <c r="L1422" t="s">
        <v>3121</v>
      </c>
      <c r="M1422" s="19">
        <v>45247</v>
      </c>
      <c r="N1422" s="20"/>
      <c r="O1422" s="20"/>
    </row>
    <row r="1423" ht="15" customHeight="1">
      <c r="A1423" t="s">
        <v>3130</v>
      </c>
      <c r="B1423" t="s">
        <v>3131</v>
      </c>
      <c r="C1423" t="s">
        <v>1057</v>
      </c>
      <c r="D1423" t="s">
        <v>223</v>
      </c>
      <c r="E1423" t="s">
        <v>224</v>
      </c>
      <c r="L1423" t="s">
        <v>3121</v>
      </c>
      <c r="M1423" s="19">
        <v>45247</v>
      </c>
      <c r="N1423" s="20"/>
      <c r="O1423" s="20"/>
    </row>
    <row r="1424" ht="15" customHeight="1">
      <c r="A1424" t="s">
        <v>3132</v>
      </c>
      <c r="B1424" t="s">
        <v>3133</v>
      </c>
      <c r="C1424" t="s">
        <v>1057</v>
      </c>
      <c r="D1424" t="s">
        <v>223</v>
      </c>
      <c r="E1424" t="s">
        <v>224</v>
      </c>
      <c r="L1424" t="s">
        <v>3121</v>
      </c>
      <c r="M1424" s="19">
        <v>45247</v>
      </c>
      <c r="N1424" s="20"/>
      <c r="O1424" s="20"/>
    </row>
    <row r="1425" ht="15" customHeight="1">
      <c r="A1425" t="s">
        <v>3134</v>
      </c>
      <c r="B1425" t="s">
        <v>3135</v>
      </c>
      <c r="C1425" t="s">
        <v>1057</v>
      </c>
      <c r="D1425" t="s">
        <v>223</v>
      </c>
      <c r="E1425" t="s">
        <v>224</v>
      </c>
      <c r="L1425" t="s">
        <v>3121</v>
      </c>
      <c r="M1425" s="19">
        <v>45247</v>
      </c>
      <c r="N1425" s="20"/>
      <c r="O1425" s="20"/>
    </row>
    <row r="1426" ht="15" customHeight="1">
      <c r="A1426" t="s">
        <v>3136</v>
      </c>
      <c r="B1426" t="s">
        <v>3137</v>
      </c>
      <c r="C1426" t="s">
        <v>1057</v>
      </c>
      <c r="D1426" t="s">
        <v>223</v>
      </c>
      <c r="E1426" t="s">
        <v>224</v>
      </c>
      <c r="L1426" t="s">
        <v>3121</v>
      </c>
      <c r="M1426" s="19">
        <v>45247</v>
      </c>
      <c r="N1426" s="20"/>
      <c r="O1426" s="20"/>
    </row>
    <row r="1427" ht="15" customHeight="1">
      <c r="A1427" t="s">
        <v>3138</v>
      </c>
      <c r="B1427" t="s">
        <v>3139</v>
      </c>
      <c r="C1427" s="23" t="s">
        <v>309</v>
      </c>
      <c r="D1427" t="s">
        <v>250</v>
      </c>
      <c r="E1427" t="s">
        <v>251</v>
      </c>
      <c r="M1427" s="19">
        <v>45247</v>
      </c>
      <c r="N1427" s="20"/>
      <c r="O1427" s="20"/>
    </row>
    <row r="1428" ht="15" customHeight="1">
      <c r="A1428" t="s">
        <v>3140</v>
      </c>
      <c r="B1428" t="s">
        <v>3141</v>
      </c>
      <c r="C1428" t="s">
        <v>1470</v>
      </c>
      <c r="D1428" t="s">
        <v>232</v>
      </c>
      <c r="E1428" t="s">
        <v>233</v>
      </c>
      <c r="M1428" s="19">
        <v>45246</v>
      </c>
      <c r="N1428" s="20"/>
      <c r="O1428" s="20"/>
    </row>
    <row r="1429" ht="15" customHeight="1">
      <c r="A1429" t="s">
        <v>3142</v>
      </c>
      <c r="B1429" t="s">
        <v>3143</v>
      </c>
      <c r="C1429" s="23" t="s">
        <v>309</v>
      </c>
      <c r="D1429" t="s">
        <v>232</v>
      </c>
      <c r="E1429" t="s">
        <v>233</v>
      </c>
      <c r="L1429" t="s">
        <v>3144</v>
      </c>
      <c r="M1429" s="19">
        <v>45246</v>
      </c>
      <c r="N1429" s="19">
        <v>45260</v>
      </c>
      <c r="O1429" s="20"/>
    </row>
    <row r="1430" ht="15" customHeight="1">
      <c r="A1430" t="s">
        <v>3145</v>
      </c>
      <c r="B1430" t="s">
        <v>3146</v>
      </c>
      <c r="C1430" s="21" t="s">
        <v>227</v>
      </c>
      <c r="D1430" t="s">
        <v>250</v>
      </c>
      <c r="E1430" t="s">
        <v>251</v>
      </c>
      <c r="H1430">
        <v>8</v>
      </c>
      <c r="M1430" s="19">
        <v>45246</v>
      </c>
      <c r="N1430" s="20"/>
      <c r="O1430" s="20"/>
    </row>
    <row r="1431" ht="15" customHeight="1">
      <c r="A1431" t="s">
        <v>3147</v>
      </c>
      <c r="B1431" t="s">
        <v>3148</v>
      </c>
      <c r="C1431" t="s">
        <v>1057</v>
      </c>
      <c r="D1431" t="s">
        <v>223</v>
      </c>
      <c r="E1431" t="s">
        <v>224</v>
      </c>
      <c r="L1431" t="s">
        <v>3149</v>
      </c>
      <c r="M1431" s="19">
        <v>45246</v>
      </c>
      <c r="N1431" s="20"/>
      <c r="O1431" s="20"/>
    </row>
    <row r="1432" ht="15" customHeight="1">
      <c r="A1432" t="s">
        <v>3150</v>
      </c>
      <c r="B1432" t="s">
        <v>3151</v>
      </c>
      <c r="C1432" t="s">
        <v>1057</v>
      </c>
      <c r="D1432" t="s">
        <v>223</v>
      </c>
      <c r="E1432" t="s">
        <v>224</v>
      </c>
      <c r="L1432" t="s">
        <v>3149</v>
      </c>
      <c r="M1432" s="19">
        <v>45246</v>
      </c>
      <c r="N1432" s="20"/>
      <c r="O1432" s="20"/>
    </row>
    <row r="1433" ht="15" customHeight="1">
      <c r="A1433" t="s">
        <v>3152</v>
      </c>
      <c r="B1433" t="s">
        <v>3153</v>
      </c>
      <c r="C1433" t="s">
        <v>1057</v>
      </c>
      <c r="D1433" t="s">
        <v>223</v>
      </c>
      <c r="E1433" t="s">
        <v>224</v>
      </c>
      <c r="L1433" t="s">
        <v>3149</v>
      </c>
      <c r="M1433" s="19">
        <v>45246</v>
      </c>
      <c r="N1433" s="20"/>
      <c r="O1433" s="20"/>
    </row>
    <row r="1434" ht="15" customHeight="1">
      <c r="A1434" t="s">
        <v>3154</v>
      </c>
      <c r="B1434" t="s">
        <v>3155</v>
      </c>
      <c r="C1434" t="s">
        <v>1057</v>
      </c>
      <c r="D1434" t="s">
        <v>223</v>
      </c>
      <c r="E1434" t="s">
        <v>224</v>
      </c>
      <c r="L1434" t="s">
        <v>3149</v>
      </c>
      <c r="M1434" s="19">
        <v>45246</v>
      </c>
      <c r="N1434" s="20"/>
      <c r="O1434" s="20"/>
    </row>
    <row r="1435" ht="15" customHeight="1">
      <c r="A1435" t="s">
        <v>3156</v>
      </c>
      <c r="B1435" t="s">
        <v>3157</v>
      </c>
      <c r="C1435" t="s">
        <v>1057</v>
      </c>
      <c r="D1435" t="s">
        <v>223</v>
      </c>
      <c r="E1435" t="s">
        <v>224</v>
      </c>
      <c r="L1435" t="s">
        <v>3149</v>
      </c>
      <c r="M1435" s="19">
        <v>45246</v>
      </c>
      <c r="N1435" s="20"/>
      <c r="O1435" s="20"/>
    </row>
    <row r="1436" ht="15" customHeight="1">
      <c r="A1436" t="s">
        <v>3158</v>
      </c>
      <c r="B1436" t="s">
        <v>3159</v>
      </c>
      <c r="C1436" t="s">
        <v>1057</v>
      </c>
      <c r="D1436" t="s">
        <v>223</v>
      </c>
      <c r="E1436" t="s">
        <v>224</v>
      </c>
      <c r="L1436" t="s">
        <v>3149</v>
      </c>
      <c r="M1436" s="19">
        <v>45246</v>
      </c>
      <c r="N1436" s="20"/>
      <c r="O1436" s="20"/>
    </row>
    <row r="1437" ht="15" customHeight="1">
      <c r="A1437" t="s">
        <v>3160</v>
      </c>
      <c r="B1437" t="s">
        <v>3149</v>
      </c>
      <c r="C1437" t="s">
        <v>222</v>
      </c>
      <c r="D1437" t="s">
        <v>223</v>
      </c>
      <c r="E1437" t="s">
        <v>224</v>
      </c>
      <c r="M1437" s="19">
        <v>45246</v>
      </c>
      <c r="N1437" s="20"/>
      <c r="O1437" s="20"/>
    </row>
    <row r="1438" ht="15" customHeight="1">
      <c r="A1438" t="s">
        <v>3161</v>
      </c>
      <c r="B1438" t="s">
        <v>3162</v>
      </c>
      <c r="C1438" t="s">
        <v>222</v>
      </c>
      <c r="D1438" t="s">
        <v>223</v>
      </c>
      <c r="E1438" t="s">
        <v>224</v>
      </c>
      <c r="M1438" s="19">
        <v>45246</v>
      </c>
      <c r="N1438" s="20"/>
      <c r="O1438" s="20"/>
    </row>
    <row r="1439" ht="15" customHeight="1">
      <c r="A1439" t="s">
        <v>3163</v>
      </c>
      <c r="B1439" t="s">
        <v>3164</v>
      </c>
      <c r="C1439" s="23" t="s">
        <v>309</v>
      </c>
      <c r="D1439" t="s">
        <v>232</v>
      </c>
      <c r="E1439" t="s">
        <v>233</v>
      </c>
      <c r="H1439">
        <v>2</v>
      </c>
      <c r="M1439" s="19">
        <v>45246</v>
      </c>
      <c r="N1439" s="20"/>
      <c r="O1439" s="20"/>
    </row>
    <row r="1440" ht="15" customHeight="1">
      <c r="A1440" t="s">
        <v>3165</v>
      </c>
      <c r="B1440" t="s">
        <v>3166</v>
      </c>
      <c r="C1440" t="s">
        <v>1057</v>
      </c>
      <c r="D1440" t="s">
        <v>223</v>
      </c>
      <c r="E1440" t="s">
        <v>224</v>
      </c>
      <c r="L1440" t="s">
        <v>3149</v>
      </c>
      <c r="M1440" s="19">
        <v>45245</v>
      </c>
      <c r="N1440" s="20"/>
      <c r="O1440" s="20"/>
    </row>
    <row r="1441" ht="15" customHeight="1">
      <c r="A1441" t="s">
        <v>3167</v>
      </c>
      <c r="B1441" t="s">
        <v>3168</v>
      </c>
      <c r="C1441" t="s">
        <v>1057</v>
      </c>
      <c r="D1441" t="s">
        <v>223</v>
      </c>
      <c r="E1441" t="s">
        <v>224</v>
      </c>
      <c r="L1441" t="s">
        <v>3149</v>
      </c>
      <c r="M1441" s="19">
        <v>45245</v>
      </c>
      <c r="N1441" s="20"/>
      <c r="O1441" s="20"/>
    </row>
    <row r="1442" ht="15" customHeight="1">
      <c r="A1442" t="s">
        <v>3169</v>
      </c>
      <c r="B1442" t="s">
        <v>3170</v>
      </c>
      <c r="C1442" t="s">
        <v>1470</v>
      </c>
      <c r="D1442" t="s">
        <v>232</v>
      </c>
      <c r="E1442" t="s">
        <v>233</v>
      </c>
      <c r="M1442" s="19">
        <v>45245</v>
      </c>
      <c r="N1442" s="20"/>
      <c r="O1442" s="20"/>
    </row>
    <row r="1443" ht="15" customHeight="1">
      <c r="A1443" t="s">
        <v>3171</v>
      </c>
      <c r="B1443" t="s">
        <v>3172</v>
      </c>
      <c r="C1443" t="s">
        <v>1057</v>
      </c>
      <c r="D1443" t="s">
        <v>223</v>
      </c>
      <c r="E1443" t="s">
        <v>224</v>
      </c>
      <c r="L1443" t="s">
        <v>3149</v>
      </c>
      <c r="M1443" s="19">
        <v>45245</v>
      </c>
      <c r="N1443" s="20"/>
      <c r="O1443" s="20"/>
    </row>
    <row r="1444" ht="15" customHeight="1">
      <c r="A1444" t="s">
        <v>3173</v>
      </c>
      <c r="B1444" t="s">
        <v>3174</v>
      </c>
      <c r="C1444" s="21" t="s">
        <v>227</v>
      </c>
      <c r="D1444" t="s">
        <v>250</v>
      </c>
      <c r="E1444" t="s">
        <v>251</v>
      </c>
      <c r="M1444" s="19">
        <v>45245</v>
      </c>
      <c r="N1444" s="20"/>
      <c r="O1444" s="20"/>
    </row>
    <row r="1445" ht="15" customHeight="1">
      <c r="A1445" t="s">
        <v>3175</v>
      </c>
      <c r="B1445" t="s">
        <v>3176</v>
      </c>
      <c r="C1445" t="s">
        <v>1057</v>
      </c>
      <c r="D1445" t="s">
        <v>223</v>
      </c>
      <c r="E1445" t="s">
        <v>224</v>
      </c>
      <c r="L1445" t="s">
        <v>3149</v>
      </c>
      <c r="M1445" s="19">
        <v>45245</v>
      </c>
      <c r="N1445" s="20"/>
      <c r="O1445" s="20"/>
    </row>
    <row r="1446" ht="15" customHeight="1">
      <c r="A1446" t="s">
        <v>3177</v>
      </c>
      <c r="B1446" t="s">
        <v>3178</v>
      </c>
      <c r="C1446" s="23" t="s">
        <v>309</v>
      </c>
      <c r="D1446" t="s">
        <v>232</v>
      </c>
      <c r="E1446" t="s">
        <v>233</v>
      </c>
      <c r="H1446">
        <v>0.5</v>
      </c>
      <c r="M1446" s="19">
        <v>45245</v>
      </c>
      <c r="N1446" s="19">
        <v>45274</v>
      </c>
      <c r="O1446" s="20"/>
    </row>
    <row r="1447" ht="15" customHeight="1">
      <c r="A1447" t="s">
        <v>3179</v>
      </c>
      <c r="B1447" t="s">
        <v>3180</v>
      </c>
      <c r="C1447" s="23" t="s">
        <v>309</v>
      </c>
      <c r="D1447" t="s">
        <v>232</v>
      </c>
      <c r="E1447" t="s">
        <v>233</v>
      </c>
      <c r="H1447">
        <v>2</v>
      </c>
      <c r="M1447" s="19">
        <v>45245</v>
      </c>
      <c r="N1447" s="19">
        <v>45414</v>
      </c>
      <c r="O1447" s="20"/>
    </row>
    <row r="1448" ht="15" customHeight="1">
      <c r="A1448" t="s">
        <v>3181</v>
      </c>
      <c r="B1448" t="s">
        <v>3182</v>
      </c>
      <c r="C1448" s="23" t="s">
        <v>309</v>
      </c>
      <c r="D1448" t="s">
        <v>232</v>
      </c>
      <c r="E1448" t="s">
        <v>233</v>
      </c>
      <c r="H1448">
        <v>3</v>
      </c>
      <c r="K1448" t="s">
        <v>3183</v>
      </c>
      <c r="L1448" t="s">
        <v>3144</v>
      </c>
      <c r="M1448" s="19">
        <v>45245</v>
      </c>
      <c r="N1448" s="19">
        <v>45260</v>
      </c>
      <c r="O1448" s="20"/>
    </row>
    <row r="1449" ht="15" customHeight="1">
      <c r="A1449" t="s">
        <v>3184</v>
      </c>
      <c r="B1449" t="s">
        <v>3185</v>
      </c>
      <c r="C1449" s="23" t="s">
        <v>309</v>
      </c>
      <c r="D1449" t="s">
        <v>813</v>
      </c>
      <c r="E1449" t="s">
        <v>814</v>
      </c>
      <c r="K1449" t="s">
        <v>815</v>
      </c>
      <c r="M1449" s="19">
        <v>45245</v>
      </c>
      <c r="N1449" s="20"/>
      <c r="O1449" s="20"/>
    </row>
    <row r="1450" ht="15" customHeight="1">
      <c r="A1450" t="s">
        <v>3186</v>
      </c>
      <c r="B1450" t="s">
        <v>3187</v>
      </c>
      <c r="C1450" s="21" t="s">
        <v>227</v>
      </c>
      <c r="D1450" t="s">
        <v>813</v>
      </c>
      <c r="E1450" t="s">
        <v>814</v>
      </c>
      <c r="K1450" t="s">
        <v>2927</v>
      </c>
      <c r="M1450" s="19">
        <v>45244</v>
      </c>
      <c r="N1450" s="20"/>
      <c r="O1450" s="20"/>
    </row>
    <row r="1451" ht="15" customHeight="1">
      <c r="A1451" t="s">
        <v>3188</v>
      </c>
      <c r="B1451" t="s">
        <v>3189</v>
      </c>
      <c r="C1451" s="21" t="s">
        <v>227</v>
      </c>
      <c r="D1451" t="s">
        <v>250</v>
      </c>
      <c r="E1451" t="s">
        <v>251</v>
      </c>
      <c r="H1451">
        <v>3</v>
      </c>
      <c r="M1451" s="19">
        <v>45244</v>
      </c>
      <c r="N1451" s="20"/>
      <c r="O1451" s="20"/>
    </row>
    <row r="1452" ht="15" customHeight="1">
      <c r="A1452" t="s">
        <v>3190</v>
      </c>
      <c r="B1452" t="s">
        <v>3191</v>
      </c>
      <c r="C1452" t="s">
        <v>1470</v>
      </c>
      <c r="D1452" t="s">
        <v>232</v>
      </c>
      <c r="E1452" t="s">
        <v>233</v>
      </c>
      <c r="M1452" s="19">
        <v>45244</v>
      </c>
      <c r="N1452" s="20"/>
      <c r="O1452" s="20"/>
    </row>
    <row r="1453" ht="15" customHeight="1">
      <c r="A1453" t="s">
        <v>3192</v>
      </c>
      <c r="B1453" t="s">
        <v>3193</v>
      </c>
      <c r="C1453" t="s">
        <v>1470</v>
      </c>
      <c r="D1453" t="s">
        <v>228</v>
      </c>
      <c r="E1453" t="s">
        <v>229</v>
      </c>
      <c r="M1453" s="19">
        <v>45244</v>
      </c>
      <c r="N1453" s="20"/>
      <c r="O1453" s="20"/>
    </row>
    <row r="1454" ht="15" customHeight="1">
      <c r="A1454" t="s">
        <v>3194</v>
      </c>
      <c r="B1454" t="s">
        <v>3195</v>
      </c>
      <c r="C1454" s="21" t="s">
        <v>227</v>
      </c>
      <c r="D1454" t="s">
        <v>813</v>
      </c>
      <c r="E1454" t="s">
        <v>814</v>
      </c>
      <c r="H1454">
        <v>1</v>
      </c>
      <c r="K1454" t="s">
        <v>2934</v>
      </c>
      <c r="M1454" s="19">
        <v>45244</v>
      </c>
      <c r="N1454" s="19">
        <v>45274</v>
      </c>
      <c r="O1454" s="20"/>
    </row>
    <row r="1455" ht="15" customHeight="1">
      <c r="A1455" t="s">
        <v>3196</v>
      </c>
      <c r="B1455" t="s">
        <v>3197</v>
      </c>
      <c r="C1455" t="s">
        <v>1470</v>
      </c>
      <c r="D1455" t="s">
        <v>232</v>
      </c>
      <c r="E1455" t="s">
        <v>233</v>
      </c>
      <c r="M1455" s="19">
        <v>45244</v>
      </c>
      <c r="N1455" s="20"/>
      <c r="O1455" s="20"/>
    </row>
    <row r="1456" ht="15" customHeight="1">
      <c r="A1456" t="s">
        <v>3198</v>
      </c>
      <c r="B1456" t="s">
        <v>3199</v>
      </c>
      <c r="C1456" t="s">
        <v>1470</v>
      </c>
      <c r="D1456" t="s">
        <v>232</v>
      </c>
      <c r="E1456" t="s">
        <v>233</v>
      </c>
      <c r="M1456" s="19">
        <v>45243</v>
      </c>
      <c r="N1456" s="20"/>
      <c r="O1456" s="20"/>
    </row>
    <row r="1457" ht="15" customHeight="1">
      <c r="A1457" t="s">
        <v>3200</v>
      </c>
      <c r="B1457" t="s">
        <v>3201</v>
      </c>
      <c r="C1457" t="s">
        <v>1470</v>
      </c>
      <c r="D1457" t="s">
        <v>232</v>
      </c>
      <c r="E1457" t="s">
        <v>233</v>
      </c>
      <c r="H1457">
        <v>2</v>
      </c>
      <c r="M1457" s="19">
        <v>45239</v>
      </c>
      <c r="N1457" s="20"/>
      <c r="O1457" s="20"/>
    </row>
    <row r="1458" ht="15" customHeight="1">
      <c r="A1458" t="s">
        <v>3202</v>
      </c>
      <c r="B1458" t="s">
        <v>3203</v>
      </c>
      <c r="C1458" t="s">
        <v>259</v>
      </c>
      <c r="D1458" t="s">
        <v>223</v>
      </c>
      <c r="E1458" t="s">
        <v>224</v>
      </c>
      <c r="M1458" s="19">
        <v>45239</v>
      </c>
      <c r="N1458" s="20"/>
      <c r="O1458" s="20"/>
    </row>
    <row r="1459" ht="15" customHeight="1">
      <c r="A1459" t="s">
        <v>3204</v>
      </c>
      <c r="B1459" t="s">
        <v>3205</v>
      </c>
      <c r="C1459" t="s">
        <v>1057</v>
      </c>
      <c r="D1459" t="s">
        <v>223</v>
      </c>
      <c r="E1459" t="s">
        <v>224</v>
      </c>
      <c r="L1459" t="s">
        <v>3149</v>
      </c>
      <c r="M1459" s="19">
        <v>45239</v>
      </c>
      <c r="N1459" s="20"/>
      <c r="O1459" s="20"/>
    </row>
    <row r="1460" ht="15" customHeight="1">
      <c r="A1460" t="s">
        <v>3206</v>
      </c>
      <c r="B1460" t="s">
        <v>3207</v>
      </c>
      <c r="C1460" t="s">
        <v>1057</v>
      </c>
      <c r="D1460" t="s">
        <v>223</v>
      </c>
      <c r="E1460" t="s">
        <v>224</v>
      </c>
      <c r="L1460" t="s">
        <v>3149</v>
      </c>
      <c r="M1460" s="19">
        <v>45239</v>
      </c>
      <c r="N1460" s="20"/>
      <c r="O1460" s="20"/>
    </row>
    <row r="1461" ht="15" customHeight="1">
      <c r="A1461" t="s">
        <v>3208</v>
      </c>
      <c r="B1461" t="s">
        <v>3209</v>
      </c>
      <c r="C1461" t="s">
        <v>1057</v>
      </c>
      <c r="D1461" t="s">
        <v>223</v>
      </c>
      <c r="E1461" t="s">
        <v>224</v>
      </c>
      <c r="L1461" t="s">
        <v>3149</v>
      </c>
      <c r="M1461" s="19">
        <v>45239</v>
      </c>
      <c r="N1461" s="20"/>
      <c r="O1461" s="20"/>
    </row>
    <row r="1462" ht="15" customHeight="1">
      <c r="A1462" t="s">
        <v>3210</v>
      </c>
      <c r="B1462" t="s">
        <v>3211</v>
      </c>
      <c r="C1462" t="s">
        <v>259</v>
      </c>
      <c r="D1462" t="s">
        <v>223</v>
      </c>
      <c r="E1462" t="s">
        <v>224</v>
      </c>
      <c r="M1462" s="19">
        <v>45239</v>
      </c>
      <c r="N1462" s="20"/>
      <c r="O1462" s="20"/>
    </row>
    <row r="1463" ht="15" customHeight="1">
      <c r="A1463" t="s">
        <v>3212</v>
      </c>
      <c r="B1463" t="s">
        <v>3213</v>
      </c>
      <c r="C1463" t="s">
        <v>1057</v>
      </c>
      <c r="D1463" t="s">
        <v>223</v>
      </c>
      <c r="E1463" t="s">
        <v>224</v>
      </c>
      <c r="L1463" t="s">
        <v>3149</v>
      </c>
      <c r="M1463" s="19">
        <v>45239</v>
      </c>
      <c r="N1463" s="20"/>
      <c r="O1463" s="20"/>
    </row>
    <row r="1464" ht="15" customHeight="1">
      <c r="A1464" t="s">
        <v>3214</v>
      </c>
      <c r="B1464" t="s">
        <v>3215</v>
      </c>
      <c r="C1464" t="s">
        <v>1057</v>
      </c>
      <c r="D1464" t="s">
        <v>223</v>
      </c>
      <c r="E1464" t="s">
        <v>224</v>
      </c>
      <c r="L1464" t="s">
        <v>3149</v>
      </c>
      <c r="M1464" s="19">
        <v>45239</v>
      </c>
      <c r="N1464" s="20"/>
      <c r="O1464" s="20"/>
    </row>
    <row r="1465" ht="15" customHeight="1">
      <c r="A1465" t="s">
        <v>3216</v>
      </c>
      <c r="B1465" t="s">
        <v>3217</v>
      </c>
      <c r="C1465" t="s">
        <v>1057</v>
      </c>
      <c r="D1465" t="s">
        <v>223</v>
      </c>
      <c r="E1465" t="s">
        <v>224</v>
      </c>
      <c r="L1465" t="s">
        <v>3149</v>
      </c>
      <c r="M1465" s="19">
        <v>45239</v>
      </c>
      <c r="N1465" s="20"/>
      <c r="O1465" s="20"/>
    </row>
    <row r="1466" ht="15" customHeight="1">
      <c r="A1466" t="s">
        <v>3218</v>
      </c>
      <c r="B1466" t="s">
        <v>3219</v>
      </c>
      <c r="C1466" t="s">
        <v>1057</v>
      </c>
      <c r="D1466" t="s">
        <v>223</v>
      </c>
      <c r="E1466" t="s">
        <v>224</v>
      </c>
      <c r="L1466" t="s">
        <v>3149</v>
      </c>
      <c r="M1466" s="19">
        <v>45239</v>
      </c>
      <c r="N1466" s="20"/>
      <c r="O1466" s="20"/>
    </row>
    <row r="1467" ht="15" customHeight="1">
      <c r="A1467" t="s">
        <v>3220</v>
      </c>
      <c r="B1467" t="s">
        <v>3221</v>
      </c>
      <c r="C1467" s="23" t="s">
        <v>309</v>
      </c>
      <c r="D1467" t="s">
        <v>813</v>
      </c>
      <c r="E1467" t="s">
        <v>814</v>
      </c>
      <c r="K1467" t="s">
        <v>2934</v>
      </c>
      <c r="M1467" s="19">
        <v>45239</v>
      </c>
      <c r="N1467" s="20"/>
      <c r="O1467" s="20"/>
    </row>
    <row r="1468" ht="15" customHeight="1">
      <c r="A1468" t="s">
        <v>3222</v>
      </c>
      <c r="B1468" t="s">
        <v>3223</v>
      </c>
      <c r="C1468" s="21" t="s">
        <v>227</v>
      </c>
      <c r="D1468" t="s">
        <v>250</v>
      </c>
      <c r="E1468" t="s">
        <v>251</v>
      </c>
      <c r="H1468">
        <v>3</v>
      </c>
      <c r="M1468" s="19">
        <v>45238</v>
      </c>
      <c r="N1468" s="20"/>
      <c r="O1468" s="20"/>
    </row>
    <row r="1469" ht="15" customHeight="1">
      <c r="A1469" t="s">
        <v>3224</v>
      </c>
      <c r="B1469" t="s">
        <v>3225</v>
      </c>
      <c r="C1469" t="s">
        <v>1470</v>
      </c>
      <c r="D1469" t="s">
        <v>228</v>
      </c>
      <c r="E1469" t="s">
        <v>229</v>
      </c>
      <c r="M1469" s="19">
        <v>45238</v>
      </c>
      <c r="N1469" s="20"/>
      <c r="O1469" s="20"/>
    </row>
    <row r="1470" ht="15" customHeight="1">
      <c r="A1470" t="s">
        <v>3226</v>
      </c>
      <c r="B1470" t="s">
        <v>3227</v>
      </c>
      <c r="C1470" s="21" t="s">
        <v>227</v>
      </c>
      <c r="D1470" t="s">
        <v>250</v>
      </c>
      <c r="E1470" t="s">
        <v>251</v>
      </c>
      <c r="M1470" s="19">
        <v>45238</v>
      </c>
      <c r="N1470" s="20"/>
      <c r="O1470" s="20"/>
    </row>
    <row r="1471" ht="15" customHeight="1">
      <c r="A1471" t="s">
        <v>3228</v>
      </c>
      <c r="B1471" t="s">
        <v>3229</v>
      </c>
      <c r="C1471" s="21" t="s">
        <v>227</v>
      </c>
      <c r="D1471" t="s">
        <v>250</v>
      </c>
      <c r="E1471" t="s">
        <v>251</v>
      </c>
      <c r="M1471" s="19">
        <v>45238</v>
      </c>
      <c r="N1471" s="20"/>
      <c r="O1471" s="20"/>
    </row>
    <row r="1472" ht="15" customHeight="1">
      <c r="A1472" t="s">
        <v>3230</v>
      </c>
      <c r="B1472" t="s">
        <v>3231</v>
      </c>
      <c r="C1472" s="21" t="s">
        <v>227</v>
      </c>
      <c r="D1472" t="s">
        <v>250</v>
      </c>
      <c r="E1472" t="s">
        <v>251</v>
      </c>
      <c r="M1472" s="19">
        <v>45238</v>
      </c>
      <c r="N1472" s="20"/>
      <c r="O1472" s="20"/>
    </row>
    <row r="1473" ht="15" customHeight="1">
      <c r="A1473" t="s">
        <v>3232</v>
      </c>
      <c r="B1473" t="s">
        <v>3233</v>
      </c>
      <c r="C1473" s="21" t="s">
        <v>227</v>
      </c>
      <c r="D1473" t="s">
        <v>813</v>
      </c>
      <c r="E1473" t="s">
        <v>814</v>
      </c>
      <c r="L1473" t="s">
        <v>3097</v>
      </c>
      <c r="M1473" s="19">
        <v>45238</v>
      </c>
      <c r="N1473" s="20"/>
      <c r="O1473" s="19">
        <v>45252</v>
      </c>
    </row>
    <row r="1474" ht="15" customHeight="1">
      <c r="A1474" t="s">
        <v>3234</v>
      </c>
      <c r="B1474" t="s">
        <v>3235</v>
      </c>
      <c r="C1474" t="s">
        <v>1470</v>
      </c>
      <c r="D1474" t="s">
        <v>232</v>
      </c>
      <c r="E1474" t="s">
        <v>233</v>
      </c>
      <c r="H1474">
        <v>13</v>
      </c>
      <c r="M1474" s="19">
        <v>45237</v>
      </c>
      <c r="N1474" s="20"/>
      <c r="O1474" s="20"/>
    </row>
    <row r="1475" ht="15" customHeight="1">
      <c r="A1475" t="s">
        <v>3236</v>
      </c>
      <c r="B1475" t="s">
        <v>3237</v>
      </c>
      <c r="C1475" s="23" t="s">
        <v>309</v>
      </c>
      <c r="D1475" t="s">
        <v>228</v>
      </c>
      <c r="E1475" t="s">
        <v>229</v>
      </c>
      <c r="H1475">
        <v>1.5</v>
      </c>
      <c r="M1475" s="19">
        <v>45237</v>
      </c>
      <c r="N1475" s="20"/>
      <c r="O1475" s="20"/>
    </row>
    <row r="1476" ht="15" customHeight="1">
      <c r="A1476" t="s">
        <v>3238</v>
      </c>
      <c r="B1476" t="s">
        <v>3239</v>
      </c>
      <c r="C1476" t="s">
        <v>1470</v>
      </c>
      <c r="D1476" t="s">
        <v>228</v>
      </c>
      <c r="E1476" t="s">
        <v>229</v>
      </c>
      <c r="H1476">
        <v>2</v>
      </c>
      <c r="M1476" s="19">
        <v>45237</v>
      </c>
      <c r="N1476" s="20"/>
      <c r="O1476" s="20"/>
    </row>
    <row r="1477" ht="15" customHeight="1">
      <c r="A1477" t="s">
        <v>3240</v>
      </c>
      <c r="B1477" t="s">
        <v>3241</v>
      </c>
      <c r="C1477" s="23" t="s">
        <v>309</v>
      </c>
      <c r="D1477" t="s">
        <v>232</v>
      </c>
      <c r="E1477" t="s">
        <v>233</v>
      </c>
      <c r="M1477" s="19">
        <v>45237</v>
      </c>
      <c r="N1477" s="20"/>
      <c r="O1477" s="20"/>
    </row>
    <row r="1478" ht="15" customHeight="1">
      <c r="A1478" t="s">
        <v>3242</v>
      </c>
      <c r="B1478" t="s">
        <v>3243</v>
      </c>
      <c r="C1478" s="23" t="s">
        <v>309</v>
      </c>
      <c r="D1478" t="s">
        <v>232</v>
      </c>
      <c r="E1478" t="s">
        <v>233</v>
      </c>
      <c r="M1478" s="19">
        <v>45237</v>
      </c>
      <c r="N1478" s="20"/>
      <c r="O1478" s="20"/>
    </row>
    <row r="1479" ht="15" customHeight="1">
      <c r="A1479" t="s">
        <v>3244</v>
      </c>
      <c r="B1479" t="s">
        <v>3245</v>
      </c>
      <c r="C1479" t="s">
        <v>1470</v>
      </c>
      <c r="D1479" t="s">
        <v>232</v>
      </c>
      <c r="E1479" t="s">
        <v>233</v>
      </c>
      <c r="H1479">
        <v>8</v>
      </c>
      <c r="M1479" s="19">
        <v>45236</v>
      </c>
      <c r="N1479" s="20"/>
      <c r="O1479" s="20"/>
    </row>
    <row r="1480" ht="15" customHeight="1">
      <c r="A1480" t="s">
        <v>3246</v>
      </c>
      <c r="B1480" t="s">
        <v>3247</v>
      </c>
      <c r="C1480" s="23" t="s">
        <v>309</v>
      </c>
      <c r="D1480" t="s">
        <v>250</v>
      </c>
      <c r="E1480" t="s">
        <v>251</v>
      </c>
      <c r="M1480" s="19">
        <v>45236</v>
      </c>
      <c r="N1480" s="20"/>
      <c r="O1480" s="20"/>
    </row>
    <row r="1481" ht="15" customHeight="1">
      <c r="A1481" t="s">
        <v>3248</v>
      </c>
      <c r="B1481" t="s">
        <v>3249</v>
      </c>
      <c r="C1481" s="21" t="s">
        <v>227</v>
      </c>
      <c r="D1481" t="s">
        <v>250</v>
      </c>
      <c r="E1481" t="s">
        <v>251</v>
      </c>
      <c r="H1481">
        <v>19</v>
      </c>
      <c r="M1481" s="19">
        <v>45236</v>
      </c>
      <c r="N1481" s="20"/>
      <c r="O1481" s="20"/>
    </row>
    <row r="1482" ht="15" customHeight="1">
      <c r="A1482" t="s">
        <v>3250</v>
      </c>
      <c r="B1482" t="s">
        <v>3251</v>
      </c>
      <c r="C1482" s="21" t="s">
        <v>227</v>
      </c>
      <c r="D1482" t="s">
        <v>250</v>
      </c>
      <c r="E1482" t="s">
        <v>251</v>
      </c>
      <c r="M1482" s="19">
        <v>45236</v>
      </c>
      <c r="N1482" s="20"/>
      <c r="O1482" s="20"/>
    </row>
    <row r="1483" ht="15" customHeight="1">
      <c r="A1483" t="s">
        <v>3252</v>
      </c>
      <c r="B1483" t="s">
        <v>3253</v>
      </c>
      <c r="C1483" s="21" t="s">
        <v>227</v>
      </c>
      <c r="D1483" t="s">
        <v>250</v>
      </c>
      <c r="E1483" t="s">
        <v>251</v>
      </c>
      <c r="H1483">
        <v>2</v>
      </c>
      <c r="M1483" s="19">
        <v>45236</v>
      </c>
      <c r="N1483" s="20"/>
      <c r="O1483" s="20"/>
    </row>
    <row r="1484" ht="15" customHeight="1">
      <c r="A1484" t="s">
        <v>3254</v>
      </c>
      <c r="B1484" t="s">
        <v>3255</v>
      </c>
      <c r="C1484" s="23" t="s">
        <v>309</v>
      </c>
      <c r="D1484" t="s">
        <v>250</v>
      </c>
      <c r="E1484" t="s">
        <v>251</v>
      </c>
      <c r="H1484">
        <v>3</v>
      </c>
      <c r="M1484" s="19">
        <v>45236</v>
      </c>
      <c r="N1484" s="20"/>
      <c r="O1484" s="20"/>
    </row>
    <row r="1485" ht="15" customHeight="1">
      <c r="A1485" t="s">
        <v>3256</v>
      </c>
      <c r="B1485" t="s">
        <v>3257</v>
      </c>
      <c r="C1485" s="21" t="s">
        <v>227</v>
      </c>
      <c r="D1485" t="s">
        <v>250</v>
      </c>
      <c r="E1485" t="s">
        <v>251</v>
      </c>
      <c r="M1485" s="19">
        <v>45236</v>
      </c>
      <c r="N1485" s="20"/>
      <c r="O1485" s="20"/>
    </row>
    <row r="1486" ht="15" customHeight="1">
      <c r="A1486" t="s">
        <v>3258</v>
      </c>
      <c r="B1486" t="s">
        <v>3259</v>
      </c>
      <c r="C1486" s="21" t="s">
        <v>227</v>
      </c>
      <c r="D1486" t="s">
        <v>250</v>
      </c>
      <c r="E1486" t="s">
        <v>251</v>
      </c>
      <c r="M1486" s="19">
        <v>45236</v>
      </c>
      <c r="N1486" s="20"/>
      <c r="O1486" s="20"/>
    </row>
    <row r="1487" ht="15" customHeight="1">
      <c r="A1487" t="s">
        <v>3260</v>
      </c>
      <c r="B1487" t="s">
        <v>3261</v>
      </c>
      <c r="C1487" s="23" t="s">
        <v>309</v>
      </c>
      <c r="D1487" t="s">
        <v>232</v>
      </c>
      <c r="E1487" t="s">
        <v>233</v>
      </c>
      <c r="K1487" t="s">
        <v>2920</v>
      </c>
      <c r="M1487" s="19">
        <v>45236</v>
      </c>
      <c r="N1487" s="20"/>
      <c r="O1487" s="20"/>
    </row>
    <row r="1488" ht="15" customHeight="1">
      <c r="A1488" t="s">
        <v>3262</v>
      </c>
      <c r="B1488" t="s">
        <v>3263</v>
      </c>
      <c r="C1488" s="23" t="s">
        <v>309</v>
      </c>
      <c r="D1488" t="s">
        <v>250</v>
      </c>
      <c r="E1488" t="s">
        <v>251</v>
      </c>
      <c r="M1488" s="19">
        <v>45233</v>
      </c>
      <c r="N1488" s="20"/>
      <c r="O1488" s="20"/>
    </row>
    <row r="1489" ht="15" customHeight="1">
      <c r="A1489" t="s">
        <v>3264</v>
      </c>
      <c r="B1489" t="s">
        <v>3265</v>
      </c>
      <c r="C1489" s="21" t="s">
        <v>227</v>
      </c>
      <c r="D1489" t="s">
        <v>250</v>
      </c>
      <c r="E1489" t="s">
        <v>251</v>
      </c>
      <c r="M1489" s="19">
        <v>45233</v>
      </c>
      <c r="N1489" s="20"/>
      <c r="O1489" s="20"/>
    </row>
    <row r="1490" ht="15" customHeight="1">
      <c r="A1490" t="s">
        <v>3266</v>
      </c>
      <c r="B1490" t="s">
        <v>3267</v>
      </c>
      <c r="C1490" s="21" t="s">
        <v>227</v>
      </c>
      <c r="D1490" t="s">
        <v>250</v>
      </c>
      <c r="E1490" t="s">
        <v>251</v>
      </c>
      <c r="M1490" s="19">
        <v>45233</v>
      </c>
      <c r="N1490" s="20"/>
      <c r="O1490" s="20"/>
    </row>
    <row r="1491" ht="15" customHeight="1">
      <c r="A1491" t="s">
        <v>3268</v>
      </c>
      <c r="B1491" t="s">
        <v>3269</v>
      </c>
      <c r="C1491" s="23" t="s">
        <v>309</v>
      </c>
      <c r="D1491" t="s">
        <v>250</v>
      </c>
      <c r="E1491" t="s">
        <v>251</v>
      </c>
      <c r="M1491" s="19">
        <v>45233</v>
      </c>
      <c r="N1491" s="20"/>
      <c r="O1491" s="20"/>
    </row>
    <row r="1492" ht="15" customHeight="1">
      <c r="A1492" t="s">
        <v>3270</v>
      </c>
      <c r="B1492" t="s">
        <v>3271</v>
      </c>
      <c r="C1492" s="23" t="s">
        <v>309</v>
      </c>
      <c r="D1492" t="s">
        <v>250</v>
      </c>
      <c r="E1492" t="s">
        <v>251</v>
      </c>
      <c r="M1492" s="19">
        <v>45233</v>
      </c>
      <c r="N1492" s="20"/>
      <c r="O1492" s="20"/>
    </row>
    <row r="1493" ht="15" customHeight="1">
      <c r="A1493" t="s">
        <v>3272</v>
      </c>
      <c r="B1493" t="s">
        <v>3273</v>
      </c>
      <c r="C1493" s="21" t="s">
        <v>227</v>
      </c>
      <c r="D1493" t="s">
        <v>232</v>
      </c>
      <c r="E1493" t="s">
        <v>233</v>
      </c>
      <c r="M1493" s="19">
        <v>45232</v>
      </c>
      <c r="N1493" s="20"/>
      <c r="O1493" s="20"/>
    </row>
    <row r="1494" ht="15" customHeight="1">
      <c r="A1494" t="s">
        <v>3274</v>
      </c>
      <c r="B1494" t="s">
        <v>3275</v>
      </c>
      <c r="C1494" s="21" t="s">
        <v>227</v>
      </c>
      <c r="D1494" t="s">
        <v>250</v>
      </c>
      <c r="E1494" t="s">
        <v>251</v>
      </c>
      <c r="L1494" t="s">
        <v>3276</v>
      </c>
      <c r="M1494" s="19">
        <v>45232</v>
      </c>
      <c r="N1494" s="20"/>
      <c r="O1494" s="20"/>
    </row>
    <row r="1495" ht="15" customHeight="1">
      <c r="A1495" t="s">
        <v>3277</v>
      </c>
      <c r="B1495" t="s">
        <v>3278</v>
      </c>
      <c r="C1495" s="23" t="s">
        <v>309</v>
      </c>
      <c r="D1495" t="s">
        <v>813</v>
      </c>
      <c r="E1495" t="s">
        <v>814</v>
      </c>
      <c r="K1495" t="s">
        <v>2934</v>
      </c>
      <c r="M1495" s="19">
        <v>45232</v>
      </c>
      <c r="N1495" s="20"/>
      <c r="O1495" s="20"/>
    </row>
    <row r="1496" ht="15" customHeight="1">
      <c r="A1496" t="s">
        <v>3279</v>
      </c>
      <c r="B1496" t="s">
        <v>3280</v>
      </c>
      <c r="C1496" s="25" t="s">
        <v>1627</v>
      </c>
      <c r="D1496" t="s">
        <v>223</v>
      </c>
      <c r="E1496" t="s">
        <v>224</v>
      </c>
      <c r="M1496" s="19">
        <v>45232</v>
      </c>
      <c r="N1496" s="19">
        <v>45289</v>
      </c>
      <c r="O1496" s="20"/>
    </row>
    <row r="1497" ht="15" customHeight="1">
      <c r="A1497" t="s">
        <v>3281</v>
      </c>
      <c r="B1497" t="s">
        <v>3282</v>
      </c>
      <c r="C1497" t="s">
        <v>1470</v>
      </c>
      <c r="D1497" t="s">
        <v>232</v>
      </c>
      <c r="E1497" t="s">
        <v>233</v>
      </c>
      <c r="M1497" s="19">
        <v>45232</v>
      </c>
      <c r="N1497" s="20"/>
      <c r="O1497" s="20"/>
    </row>
    <row r="1498" ht="15" customHeight="1">
      <c r="A1498" t="s">
        <v>3283</v>
      </c>
      <c r="B1498" t="s">
        <v>3284</v>
      </c>
      <c r="C1498" s="23" t="s">
        <v>309</v>
      </c>
      <c r="D1498" t="s">
        <v>232</v>
      </c>
      <c r="E1498" t="s">
        <v>233</v>
      </c>
      <c r="H1498">
        <v>8</v>
      </c>
      <c r="M1498" s="19">
        <v>45232</v>
      </c>
      <c r="N1498" s="20"/>
      <c r="O1498" s="20"/>
    </row>
    <row r="1499" ht="15" customHeight="1">
      <c r="A1499" t="s">
        <v>3285</v>
      </c>
      <c r="B1499" t="s">
        <v>3286</v>
      </c>
      <c r="C1499" s="21" t="s">
        <v>227</v>
      </c>
      <c r="D1499" t="s">
        <v>250</v>
      </c>
      <c r="E1499" t="s">
        <v>251</v>
      </c>
      <c r="H1499">
        <v>3</v>
      </c>
      <c r="L1499" t="s">
        <v>3276</v>
      </c>
      <c r="M1499" s="19">
        <v>45231</v>
      </c>
      <c r="N1499" s="20"/>
      <c r="O1499" s="19">
        <v>45265</v>
      </c>
    </row>
    <row r="1500" ht="15" customHeight="1">
      <c r="A1500" t="s">
        <v>3287</v>
      </c>
      <c r="B1500" t="s">
        <v>3288</v>
      </c>
      <c r="C1500" s="23" t="s">
        <v>309</v>
      </c>
      <c r="D1500" t="s">
        <v>250</v>
      </c>
      <c r="E1500" t="s">
        <v>251</v>
      </c>
      <c r="L1500" t="s">
        <v>3289</v>
      </c>
      <c r="M1500" s="19">
        <v>45231</v>
      </c>
      <c r="N1500" s="20"/>
      <c r="O1500" s="20"/>
    </row>
    <row r="1501" ht="15" customHeight="1">
      <c r="A1501" t="s">
        <v>3290</v>
      </c>
      <c r="B1501" t="s">
        <v>3291</v>
      </c>
      <c r="C1501" s="21" t="s">
        <v>227</v>
      </c>
      <c r="D1501" t="s">
        <v>232</v>
      </c>
      <c r="E1501" t="s">
        <v>233</v>
      </c>
      <c r="M1501" s="19">
        <v>45231</v>
      </c>
      <c r="N1501" s="20"/>
      <c r="O1501" s="20"/>
    </row>
    <row r="1502" ht="15" customHeight="1">
      <c r="A1502" t="s">
        <v>3292</v>
      </c>
      <c r="B1502" t="s">
        <v>3293</v>
      </c>
      <c r="C1502" t="s">
        <v>1470</v>
      </c>
      <c r="D1502" t="s">
        <v>232</v>
      </c>
      <c r="E1502" t="s">
        <v>233</v>
      </c>
      <c r="M1502" s="19">
        <v>45231</v>
      </c>
      <c r="N1502" s="20"/>
      <c r="O1502" s="20"/>
    </row>
    <row r="1503" ht="15" customHeight="1">
      <c r="A1503" t="s">
        <v>3294</v>
      </c>
      <c r="B1503" t="s">
        <v>3295</v>
      </c>
      <c r="C1503" s="21" t="s">
        <v>227</v>
      </c>
      <c r="D1503" t="s">
        <v>813</v>
      </c>
      <c r="E1503" t="s">
        <v>814</v>
      </c>
      <c r="K1503" t="s">
        <v>2934</v>
      </c>
      <c r="M1503" s="19">
        <v>45230</v>
      </c>
      <c r="N1503" s="20"/>
      <c r="O1503" s="20"/>
    </row>
    <row r="1504" ht="15" customHeight="1">
      <c r="A1504" t="s">
        <v>3296</v>
      </c>
      <c r="B1504" t="s">
        <v>3297</v>
      </c>
      <c r="C1504" s="21" t="s">
        <v>227</v>
      </c>
      <c r="D1504" t="s">
        <v>813</v>
      </c>
      <c r="E1504" t="s">
        <v>814</v>
      </c>
      <c r="K1504" t="s">
        <v>2934</v>
      </c>
      <c r="M1504" s="19">
        <v>45230</v>
      </c>
      <c r="N1504" s="20"/>
      <c r="O1504" s="20"/>
    </row>
    <row r="1505" ht="15" customHeight="1">
      <c r="A1505" t="s">
        <v>3298</v>
      </c>
      <c r="B1505" t="s">
        <v>3299</v>
      </c>
      <c r="C1505" s="21" t="s">
        <v>227</v>
      </c>
      <c r="D1505" t="s">
        <v>813</v>
      </c>
      <c r="E1505" t="s">
        <v>814</v>
      </c>
      <c r="K1505" t="s">
        <v>2934</v>
      </c>
      <c r="M1505" s="19">
        <v>45230</v>
      </c>
      <c r="N1505" s="20"/>
      <c r="O1505" s="20"/>
    </row>
    <row r="1506" ht="15" customHeight="1">
      <c r="A1506" t="s">
        <v>3300</v>
      </c>
      <c r="B1506" t="s">
        <v>3301</v>
      </c>
      <c r="C1506" s="21" t="s">
        <v>227</v>
      </c>
      <c r="D1506" t="s">
        <v>813</v>
      </c>
      <c r="E1506" t="s">
        <v>814</v>
      </c>
      <c r="K1506" t="s">
        <v>2934</v>
      </c>
      <c r="M1506" s="19">
        <v>45230</v>
      </c>
      <c r="N1506" s="20"/>
      <c r="O1506" s="20"/>
    </row>
    <row r="1507" ht="15" customHeight="1">
      <c r="A1507" t="s">
        <v>3302</v>
      </c>
      <c r="B1507" t="s">
        <v>3303</v>
      </c>
      <c r="C1507" s="21" t="s">
        <v>227</v>
      </c>
      <c r="D1507" t="s">
        <v>813</v>
      </c>
      <c r="E1507" t="s">
        <v>814</v>
      </c>
      <c r="K1507" t="s">
        <v>2934</v>
      </c>
      <c r="M1507" s="19">
        <v>45230</v>
      </c>
      <c r="N1507" s="20"/>
      <c r="O1507" s="20"/>
    </row>
    <row r="1508" ht="15" customHeight="1">
      <c r="A1508" t="s">
        <v>3304</v>
      </c>
      <c r="B1508" t="s">
        <v>3305</v>
      </c>
      <c r="C1508" s="21" t="s">
        <v>227</v>
      </c>
      <c r="D1508" t="s">
        <v>813</v>
      </c>
      <c r="E1508" t="s">
        <v>814</v>
      </c>
      <c r="K1508" t="s">
        <v>2934</v>
      </c>
      <c r="M1508" s="19">
        <v>45230</v>
      </c>
      <c r="N1508" s="20"/>
      <c r="O1508" s="20"/>
    </row>
    <row r="1509" ht="15" customHeight="1">
      <c r="A1509" t="s">
        <v>3306</v>
      </c>
      <c r="B1509" t="s">
        <v>3307</v>
      </c>
      <c r="C1509" s="21" t="s">
        <v>227</v>
      </c>
      <c r="D1509" t="s">
        <v>813</v>
      </c>
      <c r="E1509" t="s">
        <v>814</v>
      </c>
      <c r="H1509">
        <v>3</v>
      </c>
      <c r="K1509" t="s">
        <v>2927</v>
      </c>
      <c r="M1509" s="19">
        <v>45230</v>
      </c>
      <c r="N1509" s="20"/>
      <c r="O1509" s="20"/>
    </row>
    <row r="1510" ht="15" customHeight="1">
      <c r="A1510" t="s">
        <v>3308</v>
      </c>
      <c r="B1510" t="s">
        <v>3309</v>
      </c>
      <c r="C1510" s="21" t="s">
        <v>227</v>
      </c>
      <c r="D1510" t="s">
        <v>813</v>
      </c>
      <c r="E1510" t="s">
        <v>814</v>
      </c>
      <c r="K1510" t="s">
        <v>815</v>
      </c>
      <c r="M1510" s="19">
        <v>45230</v>
      </c>
      <c r="N1510" s="20"/>
      <c r="O1510" s="20"/>
    </row>
    <row r="1511" ht="15" customHeight="1">
      <c r="A1511" t="s">
        <v>3310</v>
      </c>
      <c r="B1511" t="s">
        <v>3311</v>
      </c>
      <c r="C1511" t="s">
        <v>1470</v>
      </c>
      <c r="D1511" t="s">
        <v>232</v>
      </c>
      <c r="E1511" t="s">
        <v>233</v>
      </c>
      <c r="M1511" s="19">
        <v>45230</v>
      </c>
      <c r="N1511" s="20"/>
      <c r="O1511" s="20"/>
    </row>
    <row r="1512" ht="15" customHeight="1">
      <c r="A1512" t="s">
        <v>3312</v>
      </c>
      <c r="B1512" t="s">
        <v>3313</v>
      </c>
      <c r="C1512" s="23" t="s">
        <v>309</v>
      </c>
      <c r="D1512" t="s">
        <v>232</v>
      </c>
      <c r="E1512" t="s">
        <v>233</v>
      </c>
      <c r="H1512">
        <v>1</v>
      </c>
      <c r="K1512" t="s">
        <v>3314</v>
      </c>
      <c r="M1512" s="19">
        <v>45230</v>
      </c>
      <c r="N1512" s="20"/>
      <c r="O1512" s="20"/>
    </row>
    <row r="1513" ht="15" customHeight="1">
      <c r="A1513" t="s">
        <v>3315</v>
      </c>
      <c r="B1513" t="s">
        <v>3316</v>
      </c>
      <c r="C1513" s="23" t="s">
        <v>309</v>
      </c>
      <c r="D1513" t="s">
        <v>223</v>
      </c>
      <c r="E1513" t="s">
        <v>224</v>
      </c>
      <c r="M1513" s="19">
        <v>45230</v>
      </c>
      <c r="N1513" s="20"/>
      <c r="O1513" s="20"/>
    </row>
    <row r="1514" ht="15" customHeight="1">
      <c r="A1514" t="s">
        <v>3317</v>
      </c>
      <c r="B1514" t="s">
        <v>3318</v>
      </c>
      <c r="C1514" s="25" t="s">
        <v>1627</v>
      </c>
      <c r="D1514" t="s">
        <v>223</v>
      </c>
      <c r="E1514" t="s">
        <v>224</v>
      </c>
      <c r="M1514" s="19">
        <v>45230</v>
      </c>
      <c r="N1514" s="20"/>
      <c r="O1514" s="20"/>
    </row>
    <row r="1515" ht="15" customHeight="1">
      <c r="A1515" t="s">
        <v>3319</v>
      </c>
      <c r="B1515" t="s">
        <v>3320</v>
      </c>
      <c r="C1515" s="25" t="s">
        <v>1627</v>
      </c>
      <c r="D1515" t="s">
        <v>223</v>
      </c>
      <c r="E1515" t="s">
        <v>224</v>
      </c>
      <c r="M1515" s="19">
        <v>45230</v>
      </c>
      <c r="N1515" s="20"/>
      <c r="O1515" s="20"/>
    </row>
    <row r="1516" ht="15" customHeight="1">
      <c r="A1516" t="s">
        <v>3321</v>
      </c>
      <c r="B1516" t="s">
        <v>3322</v>
      </c>
      <c r="C1516" t="s">
        <v>1470</v>
      </c>
      <c r="D1516" t="s">
        <v>232</v>
      </c>
      <c r="E1516" t="s">
        <v>233</v>
      </c>
      <c r="M1516" s="19">
        <v>45226</v>
      </c>
      <c r="N1516" s="20"/>
      <c r="O1516" s="20"/>
    </row>
    <row r="1517" ht="15" customHeight="1">
      <c r="A1517" t="s">
        <v>3323</v>
      </c>
      <c r="B1517" t="s">
        <v>3324</v>
      </c>
      <c r="C1517" s="23" t="s">
        <v>309</v>
      </c>
      <c r="D1517" t="s">
        <v>250</v>
      </c>
      <c r="E1517" t="s">
        <v>251</v>
      </c>
      <c r="M1517" s="19">
        <v>45226</v>
      </c>
      <c r="N1517" s="20"/>
      <c r="O1517" s="20"/>
    </row>
    <row r="1518" ht="15" customHeight="1">
      <c r="A1518" t="s">
        <v>3325</v>
      </c>
      <c r="B1518" t="s">
        <v>3326</v>
      </c>
      <c r="C1518" s="23" t="s">
        <v>309</v>
      </c>
      <c r="D1518" t="s">
        <v>250</v>
      </c>
      <c r="E1518" t="s">
        <v>251</v>
      </c>
      <c r="M1518" s="19">
        <v>45226</v>
      </c>
      <c r="N1518" s="20"/>
      <c r="O1518" s="20"/>
    </row>
    <row r="1519" ht="15" customHeight="1">
      <c r="A1519" t="s">
        <v>3327</v>
      </c>
      <c r="B1519" t="s">
        <v>3328</v>
      </c>
      <c r="C1519" s="23" t="s">
        <v>309</v>
      </c>
      <c r="D1519" t="s">
        <v>250</v>
      </c>
      <c r="E1519" t="s">
        <v>251</v>
      </c>
      <c r="M1519" s="19">
        <v>45226</v>
      </c>
      <c r="N1519" s="20"/>
      <c r="O1519" s="20"/>
    </row>
    <row r="1520" ht="15" customHeight="1">
      <c r="A1520" t="s">
        <v>3329</v>
      </c>
      <c r="B1520" t="s">
        <v>3330</v>
      </c>
      <c r="C1520" s="23" t="s">
        <v>309</v>
      </c>
      <c r="D1520" t="s">
        <v>232</v>
      </c>
      <c r="E1520" t="s">
        <v>233</v>
      </c>
      <c r="K1520" t="s">
        <v>2978</v>
      </c>
      <c r="M1520" s="19">
        <v>45226</v>
      </c>
      <c r="N1520" s="20"/>
      <c r="O1520" s="20"/>
    </row>
    <row r="1521" ht="15" customHeight="1">
      <c r="A1521" t="s">
        <v>3331</v>
      </c>
      <c r="B1521" t="s">
        <v>3332</v>
      </c>
      <c r="C1521" s="23" t="s">
        <v>309</v>
      </c>
      <c r="D1521" t="s">
        <v>232</v>
      </c>
      <c r="E1521" t="s">
        <v>233</v>
      </c>
      <c r="K1521" t="s">
        <v>2978</v>
      </c>
      <c r="M1521" s="19">
        <v>45226</v>
      </c>
      <c r="N1521" s="20"/>
      <c r="O1521" s="20"/>
    </row>
    <row r="1522" ht="15" customHeight="1">
      <c r="A1522" t="s">
        <v>3333</v>
      </c>
      <c r="B1522" t="s">
        <v>3334</v>
      </c>
      <c r="C1522" s="23" t="s">
        <v>309</v>
      </c>
      <c r="D1522" t="s">
        <v>232</v>
      </c>
      <c r="E1522" t="s">
        <v>233</v>
      </c>
      <c r="H1522">
        <v>0.5</v>
      </c>
      <c r="K1522" t="s">
        <v>2920</v>
      </c>
      <c r="M1522" s="19">
        <v>45226</v>
      </c>
      <c r="N1522" s="20"/>
      <c r="O1522" s="20"/>
    </row>
    <row r="1523" ht="15" customHeight="1">
      <c r="A1523" t="s">
        <v>3335</v>
      </c>
      <c r="B1523" t="s">
        <v>3336</v>
      </c>
      <c r="C1523" s="23" t="s">
        <v>309</v>
      </c>
      <c r="D1523" t="s">
        <v>228</v>
      </c>
      <c r="E1523" t="s">
        <v>229</v>
      </c>
      <c r="M1523" s="19">
        <v>45225</v>
      </c>
      <c r="N1523" s="20"/>
      <c r="O1523" s="20"/>
    </row>
    <row r="1524" ht="15" customHeight="1">
      <c r="A1524" t="s">
        <v>3337</v>
      </c>
      <c r="B1524" t="s">
        <v>3338</v>
      </c>
      <c r="C1524" s="23" t="s">
        <v>309</v>
      </c>
      <c r="D1524" t="s">
        <v>232</v>
      </c>
      <c r="E1524" t="s">
        <v>233</v>
      </c>
      <c r="M1524" s="19">
        <v>45225</v>
      </c>
      <c r="N1524" s="19">
        <v>45414</v>
      </c>
      <c r="O1524" s="19">
        <v>45751</v>
      </c>
    </row>
    <row r="1525" ht="15" customHeight="1">
      <c r="A1525" t="s">
        <v>3339</v>
      </c>
      <c r="B1525" t="s">
        <v>3340</v>
      </c>
      <c r="C1525" s="23" t="s">
        <v>309</v>
      </c>
      <c r="D1525" t="s">
        <v>250</v>
      </c>
      <c r="E1525" t="s">
        <v>251</v>
      </c>
      <c r="M1525" s="19">
        <v>45224</v>
      </c>
      <c r="N1525" s="20"/>
      <c r="O1525" s="20"/>
    </row>
    <row r="1526" ht="15" customHeight="1">
      <c r="A1526" t="s">
        <v>3341</v>
      </c>
      <c r="B1526" t="s">
        <v>3342</v>
      </c>
      <c r="C1526" s="21" t="s">
        <v>227</v>
      </c>
      <c r="D1526" t="s">
        <v>250</v>
      </c>
      <c r="E1526" t="s">
        <v>251</v>
      </c>
      <c r="H1526">
        <v>5</v>
      </c>
      <c r="L1526" t="s">
        <v>3289</v>
      </c>
      <c r="M1526" s="19">
        <v>45224</v>
      </c>
      <c r="N1526" s="20"/>
      <c r="O1526" s="20"/>
    </row>
    <row r="1527" ht="15" customHeight="1">
      <c r="A1527" t="s">
        <v>3343</v>
      </c>
      <c r="B1527" t="s">
        <v>3344</v>
      </c>
      <c r="C1527" t="s">
        <v>1470</v>
      </c>
      <c r="D1527" t="s">
        <v>232</v>
      </c>
      <c r="E1527" t="s">
        <v>233</v>
      </c>
      <c r="M1527" s="19">
        <v>45224</v>
      </c>
      <c r="N1527" s="20"/>
      <c r="O1527" s="20"/>
    </row>
    <row r="1528" ht="15" customHeight="1">
      <c r="A1528" t="s">
        <v>3345</v>
      </c>
      <c r="B1528" t="s">
        <v>3346</v>
      </c>
      <c r="C1528" s="21" t="s">
        <v>227</v>
      </c>
      <c r="D1528" t="s">
        <v>250</v>
      </c>
      <c r="E1528" t="s">
        <v>251</v>
      </c>
      <c r="M1528" s="19">
        <v>45223</v>
      </c>
      <c r="N1528" s="20"/>
      <c r="O1528" s="20"/>
    </row>
    <row r="1529" ht="15" customHeight="1">
      <c r="A1529" t="s">
        <v>3347</v>
      </c>
      <c r="B1529" t="s">
        <v>3348</v>
      </c>
      <c r="C1529" s="21" t="s">
        <v>227</v>
      </c>
      <c r="D1529" t="s">
        <v>250</v>
      </c>
      <c r="E1529" t="s">
        <v>251</v>
      </c>
      <c r="M1529" s="19">
        <v>45223</v>
      </c>
      <c r="N1529" s="20"/>
      <c r="O1529" s="20"/>
    </row>
    <row r="1530" ht="15" customHeight="1">
      <c r="A1530" t="s">
        <v>3349</v>
      </c>
      <c r="B1530" t="s">
        <v>3350</v>
      </c>
      <c r="C1530" s="21" t="s">
        <v>227</v>
      </c>
      <c r="D1530" t="s">
        <v>250</v>
      </c>
      <c r="E1530" t="s">
        <v>251</v>
      </c>
      <c r="H1530">
        <v>5</v>
      </c>
      <c r="M1530" s="19">
        <v>45223</v>
      </c>
      <c r="N1530" s="20"/>
      <c r="O1530" s="20"/>
    </row>
    <row r="1531" ht="15" customHeight="1">
      <c r="A1531" t="s">
        <v>3351</v>
      </c>
      <c r="B1531" t="s">
        <v>3352</v>
      </c>
      <c r="C1531" s="23" t="s">
        <v>309</v>
      </c>
      <c r="D1531" t="s">
        <v>232</v>
      </c>
      <c r="E1531" t="s">
        <v>233</v>
      </c>
      <c r="K1531" t="s">
        <v>286</v>
      </c>
      <c r="M1531" s="19">
        <v>45223</v>
      </c>
      <c r="N1531" s="20"/>
      <c r="O1531" s="20"/>
    </row>
    <row r="1532" ht="15" customHeight="1">
      <c r="A1532" t="s">
        <v>3353</v>
      </c>
      <c r="B1532" t="s">
        <v>3354</v>
      </c>
      <c r="C1532" s="23" t="s">
        <v>309</v>
      </c>
      <c r="D1532" t="s">
        <v>232</v>
      </c>
      <c r="E1532" t="s">
        <v>233</v>
      </c>
      <c r="K1532" t="s">
        <v>2920</v>
      </c>
      <c r="M1532" s="19">
        <v>45223</v>
      </c>
      <c r="N1532" s="20"/>
      <c r="O1532" s="20"/>
    </row>
    <row r="1533" ht="15" customHeight="1">
      <c r="A1533" t="s">
        <v>3355</v>
      </c>
      <c r="B1533" t="s">
        <v>3356</v>
      </c>
      <c r="C1533" t="s">
        <v>1470</v>
      </c>
      <c r="D1533" t="s">
        <v>232</v>
      </c>
      <c r="E1533" t="s">
        <v>233</v>
      </c>
      <c r="M1533" s="19">
        <v>45222</v>
      </c>
      <c r="N1533" s="20"/>
      <c r="O1533" s="20"/>
    </row>
    <row r="1534" ht="15" customHeight="1">
      <c r="A1534" t="s">
        <v>3357</v>
      </c>
      <c r="B1534" t="s">
        <v>3358</v>
      </c>
      <c r="C1534" s="23" t="s">
        <v>309</v>
      </c>
      <c r="D1534" t="s">
        <v>232</v>
      </c>
      <c r="E1534" t="s">
        <v>233</v>
      </c>
      <c r="H1534">
        <v>3</v>
      </c>
      <c r="K1534" t="s">
        <v>3359</v>
      </c>
      <c r="M1534" s="19">
        <v>45222</v>
      </c>
      <c r="N1534" s="20"/>
      <c r="O1534" s="20"/>
    </row>
    <row r="1535" ht="15" customHeight="1">
      <c r="A1535" t="s">
        <v>3360</v>
      </c>
      <c r="B1535" t="s">
        <v>3361</v>
      </c>
      <c r="C1535" s="23" t="s">
        <v>309</v>
      </c>
      <c r="D1535" t="s">
        <v>250</v>
      </c>
      <c r="E1535" t="s">
        <v>251</v>
      </c>
      <c r="M1535" s="19">
        <v>45222</v>
      </c>
      <c r="N1535" s="20"/>
      <c r="O1535" s="20"/>
    </row>
    <row r="1536" ht="15" customHeight="1">
      <c r="A1536" t="s">
        <v>3362</v>
      </c>
      <c r="B1536" t="s">
        <v>3363</v>
      </c>
      <c r="C1536" s="21" t="s">
        <v>227</v>
      </c>
      <c r="D1536" t="s">
        <v>250</v>
      </c>
      <c r="E1536" t="s">
        <v>251</v>
      </c>
      <c r="M1536" s="19">
        <v>45222</v>
      </c>
      <c r="N1536" s="20"/>
      <c r="O1536" s="20"/>
    </row>
    <row r="1537" ht="15" customHeight="1">
      <c r="A1537" t="s">
        <v>3364</v>
      </c>
      <c r="B1537" t="s">
        <v>3365</v>
      </c>
      <c r="C1537" s="23" t="s">
        <v>309</v>
      </c>
      <c r="D1537" t="s">
        <v>232</v>
      </c>
      <c r="E1537" t="s">
        <v>233</v>
      </c>
      <c r="H1537">
        <v>3</v>
      </c>
      <c r="M1537" s="19">
        <v>45222</v>
      </c>
      <c r="N1537" s="20"/>
      <c r="O1537" s="20"/>
    </row>
    <row r="1538" ht="15" customHeight="1">
      <c r="A1538" t="s">
        <v>3366</v>
      </c>
      <c r="B1538" t="s">
        <v>3367</v>
      </c>
      <c r="C1538" s="25" t="s">
        <v>1627</v>
      </c>
      <c r="D1538" t="s">
        <v>223</v>
      </c>
      <c r="E1538" t="s">
        <v>224</v>
      </c>
      <c r="M1538" s="19">
        <v>45222</v>
      </c>
      <c r="N1538" s="19">
        <v>45289</v>
      </c>
      <c r="O1538" s="20"/>
    </row>
    <row r="1539" ht="15" customHeight="1">
      <c r="A1539" t="s">
        <v>3368</v>
      </c>
      <c r="B1539" t="s">
        <v>3369</v>
      </c>
      <c r="C1539" s="21" t="s">
        <v>227</v>
      </c>
      <c r="D1539" t="s">
        <v>813</v>
      </c>
      <c r="E1539" t="s">
        <v>814</v>
      </c>
      <c r="K1539" t="s">
        <v>2927</v>
      </c>
      <c r="M1539" s="19">
        <v>45222</v>
      </c>
      <c r="N1539" s="20"/>
      <c r="O1539" s="20"/>
    </row>
    <row r="1540" ht="15" customHeight="1">
      <c r="A1540" t="s">
        <v>3370</v>
      </c>
      <c r="B1540" t="s">
        <v>3371</v>
      </c>
      <c r="C1540" s="23" t="s">
        <v>309</v>
      </c>
      <c r="D1540" t="s">
        <v>232</v>
      </c>
      <c r="E1540" t="s">
        <v>233</v>
      </c>
      <c r="K1540" t="s">
        <v>2920</v>
      </c>
      <c r="M1540" s="19">
        <v>45222</v>
      </c>
      <c r="N1540" s="20"/>
      <c r="O1540" s="20"/>
    </row>
    <row r="1541" ht="15" customHeight="1">
      <c r="A1541" t="s">
        <v>3372</v>
      </c>
      <c r="B1541" t="s">
        <v>3373</v>
      </c>
      <c r="C1541" s="23" t="s">
        <v>309</v>
      </c>
      <c r="D1541" t="s">
        <v>232</v>
      </c>
      <c r="E1541" t="s">
        <v>233</v>
      </c>
      <c r="K1541" t="s">
        <v>2978</v>
      </c>
      <c r="M1541" s="19">
        <v>45218</v>
      </c>
      <c r="N1541" s="20"/>
      <c r="O1541" s="20"/>
    </row>
    <row r="1542" ht="15" customHeight="1">
      <c r="A1542" t="s">
        <v>3374</v>
      </c>
      <c r="B1542" t="s">
        <v>3375</v>
      </c>
      <c r="C1542" t="s">
        <v>1470</v>
      </c>
      <c r="D1542" t="s">
        <v>232</v>
      </c>
      <c r="E1542" t="s">
        <v>233</v>
      </c>
      <c r="M1542" s="19">
        <v>45218</v>
      </c>
      <c r="N1542" s="20"/>
      <c r="O1542" s="20"/>
    </row>
    <row r="1543" ht="15" customHeight="1">
      <c r="A1543" t="s">
        <v>3376</v>
      </c>
      <c r="B1543" t="s">
        <v>3377</v>
      </c>
      <c r="C1543" s="21" t="s">
        <v>227</v>
      </c>
      <c r="D1543" t="s">
        <v>250</v>
      </c>
      <c r="E1543" t="s">
        <v>251</v>
      </c>
      <c r="M1543" s="19">
        <v>45218</v>
      </c>
      <c r="N1543" s="20"/>
      <c r="O1543" s="20"/>
    </row>
    <row r="1544" ht="15" customHeight="1">
      <c r="A1544" t="s">
        <v>3378</v>
      </c>
      <c r="B1544" t="s">
        <v>3379</v>
      </c>
      <c r="C1544" s="21" t="s">
        <v>227</v>
      </c>
      <c r="D1544" t="s">
        <v>813</v>
      </c>
      <c r="E1544" t="s">
        <v>814</v>
      </c>
      <c r="K1544" t="s">
        <v>2927</v>
      </c>
      <c r="M1544" s="19">
        <v>45218</v>
      </c>
      <c r="N1544" s="20"/>
      <c r="O1544" s="20"/>
    </row>
    <row r="1545" ht="15" customHeight="1">
      <c r="A1545" t="s">
        <v>3380</v>
      </c>
      <c r="B1545" t="s">
        <v>3381</v>
      </c>
      <c r="C1545" t="s">
        <v>1470</v>
      </c>
      <c r="D1545" t="s">
        <v>232</v>
      </c>
      <c r="E1545" t="s">
        <v>233</v>
      </c>
      <c r="M1545" s="19">
        <v>45218</v>
      </c>
      <c r="N1545" s="20"/>
      <c r="O1545" s="20"/>
    </row>
    <row r="1546" ht="15" customHeight="1">
      <c r="A1546" t="s">
        <v>3382</v>
      </c>
      <c r="B1546" t="s">
        <v>3383</v>
      </c>
      <c r="C1546" t="s">
        <v>1057</v>
      </c>
      <c r="D1546" t="s">
        <v>223</v>
      </c>
      <c r="E1546" t="s">
        <v>224</v>
      </c>
      <c r="M1546" s="19">
        <v>45217</v>
      </c>
      <c r="N1546" s="20"/>
      <c r="O1546" s="20"/>
    </row>
    <row r="1547" ht="15" customHeight="1">
      <c r="A1547" t="s">
        <v>3384</v>
      </c>
      <c r="B1547" t="s">
        <v>3385</v>
      </c>
      <c r="C1547" t="s">
        <v>1470</v>
      </c>
      <c r="D1547" t="s">
        <v>232</v>
      </c>
      <c r="E1547" t="s">
        <v>233</v>
      </c>
      <c r="M1547" s="19">
        <v>45217</v>
      </c>
      <c r="N1547" s="20"/>
      <c r="O1547" s="20"/>
    </row>
    <row r="1548" ht="15" customHeight="1">
      <c r="A1548" t="s">
        <v>3386</v>
      </c>
      <c r="B1548" t="s">
        <v>3387</v>
      </c>
      <c r="C1548" t="s">
        <v>1470</v>
      </c>
      <c r="D1548" t="s">
        <v>232</v>
      </c>
      <c r="E1548" t="s">
        <v>233</v>
      </c>
      <c r="M1548" s="19">
        <v>45217</v>
      </c>
      <c r="N1548" s="20"/>
      <c r="O1548" s="20"/>
    </row>
    <row r="1549" ht="15" customHeight="1">
      <c r="A1549" t="s">
        <v>3388</v>
      </c>
      <c r="B1549" t="s">
        <v>3389</v>
      </c>
      <c r="C1549" t="s">
        <v>1470</v>
      </c>
      <c r="D1549" t="s">
        <v>232</v>
      </c>
      <c r="E1549" t="s">
        <v>233</v>
      </c>
      <c r="M1549" s="19">
        <v>45217</v>
      </c>
      <c r="N1549" s="20"/>
      <c r="O1549" s="20"/>
    </row>
    <row r="1550" ht="15" customHeight="1">
      <c r="A1550" t="s">
        <v>3390</v>
      </c>
      <c r="B1550" t="s">
        <v>3391</v>
      </c>
      <c r="C1550" t="s">
        <v>1470</v>
      </c>
      <c r="D1550" t="s">
        <v>232</v>
      </c>
      <c r="E1550" t="s">
        <v>233</v>
      </c>
      <c r="M1550" s="19">
        <v>45217</v>
      </c>
      <c r="N1550" s="20"/>
      <c r="O1550" s="20"/>
    </row>
    <row r="1551" ht="15" customHeight="1">
      <c r="A1551" t="s">
        <v>3392</v>
      </c>
      <c r="B1551" t="s">
        <v>3393</v>
      </c>
      <c r="C1551" s="23" t="s">
        <v>309</v>
      </c>
      <c r="D1551" t="s">
        <v>232</v>
      </c>
      <c r="E1551" t="s">
        <v>233</v>
      </c>
      <c r="H1551">
        <v>3</v>
      </c>
      <c r="M1551" s="19">
        <v>45217</v>
      </c>
      <c r="N1551" s="20"/>
      <c r="O1551" s="20"/>
    </row>
    <row r="1552" ht="15" customHeight="1">
      <c r="A1552" t="s">
        <v>3394</v>
      </c>
      <c r="B1552" t="s">
        <v>3395</v>
      </c>
      <c r="C1552" t="s">
        <v>1470</v>
      </c>
      <c r="D1552" t="s">
        <v>232</v>
      </c>
      <c r="E1552" t="s">
        <v>233</v>
      </c>
      <c r="M1552" s="19">
        <v>45217</v>
      </c>
      <c r="N1552" s="20"/>
      <c r="O1552" s="20"/>
    </row>
    <row r="1553" ht="15" customHeight="1">
      <c r="A1553" t="s">
        <v>3396</v>
      </c>
      <c r="B1553" t="s">
        <v>3397</v>
      </c>
      <c r="C1553" t="s">
        <v>1470</v>
      </c>
      <c r="D1553" t="s">
        <v>232</v>
      </c>
      <c r="E1553" t="s">
        <v>233</v>
      </c>
      <c r="M1553" s="19">
        <v>45217</v>
      </c>
      <c r="N1553" s="20"/>
      <c r="O1553" s="20"/>
    </row>
    <row r="1554" ht="15" customHeight="1">
      <c r="A1554" t="s">
        <v>3398</v>
      </c>
      <c r="B1554" t="s">
        <v>3399</v>
      </c>
      <c r="C1554" s="23" t="s">
        <v>309</v>
      </c>
      <c r="D1554" t="s">
        <v>250</v>
      </c>
      <c r="E1554" t="s">
        <v>251</v>
      </c>
      <c r="K1554" t="s">
        <v>2133</v>
      </c>
      <c r="L1554" t="s">
        <v>3400</v>
      </c>
      <c r="M1554" s="19">
        <v>45217</v>
      </c>
      <c r="N1554" s="20"/>
      <c r="O1554" s="20"/>
    </row>
    <row r="1555" ht="15" customHeight="1">
      <c r="A1555" t="s">
        <v>3401</v>
      </c>
      <c r="B1555" t="s">
        <v>3402</v>
      </c>
      <c r="C1555" s="23" t="s">
        <v>309</v>
      </c>
      <c r="D1555" t="s">
        <v>232</v>
      </c>
      <c r="E1555" t="s">
        <v>233</v>
      </c>
      <c r="K1555" t="s">
        <v>2978</v>
      </c>
      <c r="M1555" s="19">
        <v>45217</v>
      </c>
      <c r="N1555" s="20"/>
      <c r="O1555" s="20"/>
    </row>
    <row r="1556" ht="15" customHeight="1">
      <c r="A1556" t="s">
        <v>3403</v>
      </c>
      <c r="B1556" t="s">
        <v>3404</v>
      </c>
      <c r="C1556" s="23" t="s">
        <v>309</v>
      </c>
      <c r="D1556" t="s">
        <v>232</v>
      </c>
      <c r="E1556" t="s">
        <v>233</v>
      </c>
      <c r="M1556" s="19">
        <v>45217</v>
      </c>
      <c r="N1556" s="20"/>
      <c r="O1556" s="20"/>
    </row>
    <row r="1557" ht="15" customHeight="1">
      <c r="A1557" t="s">
        <v>3405</v>
      </c>
      <c r="B1557" t="s">
        <v>3406</v>
      </c>
      <c r="C1557" s="23" t="s">
        <v>309</v>
      </c>
      <c r="D1557" t="s">
        <v>232</v>
      </c>
      <c r="E1557" t="s">
        <v>233</v>
      </c>
      <c r="K1557" t="s">
        <v>866</v>
      </c>
      <c r="M1557" s="19">
        <v>45217</v>
      </c>
      <c r="N1557" s="20"/>
      <c r="O1557" s="20"/>
    </row>
    <row r="1558" ht="15" customHeight="1">
      <c r="A1558" t="s">
        <v>3407</v>
      </c>
      <c r="B1558" t="s">
        <v>3408</v>
      </c>
      <c r="C1558" s="23" t="s">
        <v>309</v>
      </c>
      <c r="D1558" t="s">
        <v>232</v>
      </c>
      <c r="E1558" t="s">
        <v>233</v>
      </c>
      <c r="K1558" t="s">
        <v>815</v>
      </c>
      <c r="M1558" s="19">
        <v>45217</v>
      </c>
      <c r="N1558" s="20"/>
      <c r="O1558" s="20"/>
    </row>
    <row r="1559" ht="15" customHeight="1">
      <c r="A1559" t="s">
        <v>3409</v>
      </c>
      <c r="B1559" t="s">
        <v>3410</v>
      </c>
      <c r="C1559" s="23" t="s">
        <v>309</v>
      </c>
      <c r="D1559" t="s">
        <v>232</v>
      </c>
      <c r="E1559" t="s">
        <v>233</v>
      </c>
      <c r="K1559" t="s">
        <v>2920</v>
      </c>
      <c r="M1559" s="19">
        <v>45217</v>
      </c>
      <c r="N1559" s="20"/>
      <c r="O1559" s="20"/>
    </row>
    <row r="1560" ht="15" customHeight="1">
      <c r="A1560" t="s">
        <v>3411</v>
      </c>
      <c r="B1560" t="s">
        <v>3412</v>
      </c>
      <c r="C1560" s="21" t="s">
        <v>227</v>
      </c>
      <c r="D1560" t="s">
        <v>250</v>
      </c>
      <c r="E1560" t="s">
        <v>251</v>
      </c>
      <c r="M1560" s="19">
        <v>45216</v>
      </c>
      <c r="N1560" s="20"/>
      <c r="O1560" s="20"/>
    </row>
    <row r="1561" ht="15" customHeight="1">
      <c r="A1561" t="s">
        <v>3413</v>
      </c>
      <c r="B1561" t="s">
        <v>3414</v>
      </c>
      <c r="C1561" s="23" t="s">
        <v>309</v>
      </c>
      <c r="D1561" t="s">
        <v>250</v>
      </c>
      <c r="E1561" t="s">
        <v>251</v>
      </c>
      <c r="H1561">
        <v>8</v>
      </c>
      <c r="K1561" t="s">
        <v>3415</v>
      </c>
      <c r="L1561" t="s">
        <v>3289</v>
      </c>
      <c r="M1561" s="19">
        <v>45216</v>
      </c>
      <c r="N1561" s="20"/>
      <c r="O1561" s="20"/>
    </row>
    <row r="1562" ht="15" customHeight="1">
      <c r="A1562" t="s">
        <v>3416</v>
      </c>
      <c r="B1562" t="s">
        <v>3417</v>
      </c>
      <c r="C1562" s="23" t="s">
        <v>309</v>
      </c>
      <c r="D1562" t="s">
        <v>250</v>
      </c>
      <c r="E1562" t="s">
        <v>251</v>
      </c>
      <c r="H1562">
        <v>3</v>
      </c>
      <c r="M1562" s="19">
        <v>45216</v>
      </c>
      <c r="N1562" s="20"/>
      <c r="O1562" s="20"/>
    </row>
    <row r="1563" ht="15" customHeight="1">
      <c r="A1563" t="s">
        <v>3418</v>
      </c>
      <c r="B1563" t="s">
        <v>3419</v>
      </c>
      <c r="C1563" s="23" t="s">
        <v>309</v>
      </c>
      <c r="D1563" t="s">
        <v>228</v>
      </c>
      <c r="E1563" t="s">
        <v>229</v>
      </c>
      <c r="H1563">
        <v>1</v>
      </c>
      <c r="L1563" t="s">
        <v>3420</v>
      </c>
      <c r="M1563" s="19">
        <v>45216</v>
      </c>
      <c r="N1563" s="19">
        <v>45232</v>
      </c>
      <c r="O1563" s="20"/>
    </row>
    <row r="1564" ht="15" customHeight="1">
      <c r="A1564" t="s">
        <v>3421</v>
      </c>
      <c r="B1564" t="s">
        <v>3422</v>
      </c>
      <c r="C1564" s="21" t="s">
        <v>227</v>
      </c>
      <c r="D1564" t="s">
        <v>250</v>
      </c>
      <c r="E1564" t="s">
        <v>251</v>
      </c>
      <c r="M1564" s="19">
        <v>45216</v>
      </c>
      <c r="N1564" s="20"/>
      <c r="O1564" s="20"/>
    </row>
    <row r="1565" ht="15" customHeight="1">
      <c r="A1565" t="s">
        <v>3423</v>
      </c>
      <c r="B1565" t="s">
        <v>3424</v>
      </c>
      <c r="C1565" s="23" t="s">
        <v>309</v>
      </c>
      <c r="D1565" t="s">
        <v>232</v>
      </c>
      <c r="E1565" t="s">
        <v>233</v>
      </c>
      <c r="H1565">
        <v>2</v>
      </c>
      <c r="M1565" s="19">
        <v>45216</v>
      </c>
      <c r="N1565" s="19">
        <v>45414</v>
      </c>
      <c r="O1565" s="20"/>
    </row>
    <row r="1566" ht="15" customHeight="1">
      <c r="A1566" t="s">
        <v>3425</v>
      </c>
      <c r="B1566" t="s">
        <v>3426</v>
      </c>
      <c r="C1566" t="s">
        <v>1470</v>
      </c>
      <c r="D1566" t="s">
        <v>232</v>
      </c>
      <c r="E1566" t="s">
        <v>233</v>
      </c>
      <c r="H1566">
        <v>2</v>
      </c>
      <c r="M1566" s="19">
        <v>45216</v>
      </c>
      <c r="N1566" s="19">
        <v>45414</v>
      </c>
      <c r="O1566" s="20"/>
    </row>
    <row r="1567" ht="15" customHeight="1">
      <c r="A1567" t="s">
        <v>3427</v>
      </c>
      <c r="B1567" t="s">
        <v>3428</v>
      </c>
      <c r="C1567" s="21" t="s">
        <v>227</v>
      </c>
      <c r="D1567" t="s">
        <v>250</v>
      </c>
      <c r="E1567" t="s">
        <v>251</v>
      </c>
      <c r="M1567" s="19">
        <v>45215</v>
      </c>
      <c r="N1567" s="20"/>
      <c r="O1567" s="20"/>
    </row>
    <row r="1568" ht="15" customHeight="1">
      <c r="A1568" t="s">
        <v>3429</v>
      </c>
      <c r="B1568" t="s">
        <v>3430</v>
      </c>
      <c r="C1568" s="21" t="s">
        <v>227</v>
      </c>
      <c r="D1568" t="s">
        <v>250</v>
      </c>
      <c r="E1568" t="s">
        <v>251</v>
      </c>
      <c r="M1568" s="19">
        <v>45215</v>
      </c>
      <c r="N1568" s="20"/>
      <c r="O1568" s="20"/>
    </row>
    <row r="1569" ht="15" customHeight="1">
      <c r="A1569" t="s">
        <v>3431</v>
      </c>
      <c r="B1569" t="s">
        <v>3432</v>
      </c>
      <c r="C1569" s="21" t="s">
        <v>227</v>
      </c>
      <c r="D1569" t="s">
        <v>250</v>
      </c>
      <c r="E1569" t="s">
        <v>251</v>
      </c>
      <c r="M1569" s="19">
        <v>45215</v>
      </c>
      <c r="N1569" s="20"/>
      <c r="O1569" s="20"/>
    </row>
    <row r="1570" ht="15" customHeight="1">
      <c r="A1570" t="s">
        <v>3433</v>
      </c>
      <c r="B1570" t="s">
        <v>3434</v>
      </c>
      <c r="C1570" s="21" t="s">
        <v>227</v>
      </c>
      <c r="D1570" t="s">
        <v>250</v>
      </c>
      <c r="E1570" t="s">
        <v>251</v>
      </c>
      <c r="M1570" s="19">
        <v>45215</v>
      </c>
      <c r="N1570" s="20"/>
      <c r="O1570" s="20"/>
    </row>
    <row r="1571" ht="15" customHeight="1">
      <c r="A1571" t="s">
        <v>3435</v>
      </c>
      <c r="B1571" t="s">
        <v>3436</v>
      </c>
      <c r="C1571" s="21" t="s">
        <v>227</v>
      </c>
      <c r="D1571" t="s">
        <v>250</v>
      </c>
      <c r="E1571" t="s">
        <v>251</v>
      </c>
      <c r="M1571" s="19">
        <v>45215</v>
      </c>
      <c r="N1571" s="20"/>
      <c r="O1571" s="20"/>
    </row>
    <row r="1572" ht="15" customHeight="1">
      <c r="A1572" t="s">
        <v>3437</v>
      </c>
      <c r="B1572" t="s">
        <v>3438</v>
      </c>
      <c r="C1572" s="21" t="s">
        <v>227</v>
      </c>
      <c r="D1572" t="s">
        <v>250</v>
      </c>
      <c r="E1572" t="s">
        <v>251</v>
      </c>
      <c r="M1572" s="19">
        <v>45215</v>
      </c>
      <c r="N1572" s="20"/>
      <c r="O1572" s="20"/>
    </row>
    <row r="1573" ht="15" customHeight="1">
      <c r="A1573" t="s">
        <v>3439</v>
      </c>
      <c r="B1573" t="s">
        <v>3440</v>
      </c>
      <c r="C1573" s="21" t="s">
        <v>227</v>
      </c>
      <c r="D1573" t="s">
        <v>250</v>
      </c>
      <c r="E1573" t="s">
        <v>251</v>
      </c>
      <c r="M1573" s="19">
        <v>45215</v>
      </c>
      <c r="N1573" s="20"/>
      <c r="O1573" s="20"/>
    </row>
    <row r="1574" ht="15" customHeight="1">
      <c r="A1574" t="s">
        <v>3441</v>
      </c>
      <c r="B1574" t="s">
        <v>3442</v>
      </c>
      <c r="C1574" s="21" t="s">
        <v>227</v>
      </c>
      <c r="D1574" t="s">
        <v>250</v>
      </c>
      <c r="E1574" t="s">
        <v>251</v>
      </c>
      <c r="M1574" s="19">
        <v>45215</v>
      </c>
      <c r="N1574" s="20"/>
      <c r="O1574" s="20"/>
    </row>
    <row r="1575" ht="15" customHeight="1">
      <c r="A1575" t="s">
        <v>3443</v>
      </c>
      <c r="B1575" t="s">
        <v>3444</v>
      </c>
      <c r="C1575" s="21" t="s">
        <v>227</v>
      </c>
      <c r="D1575" t="s">
        <v>250</v>
      </c>
      <c r="E1575" t="s">
        <v>251</v>
      </c>
      <c r="M1575" s="19">
        <v>45215</v>
      </c>
      <c r="N1575" s="20"/>
      <c r="O1575" s="20"/>
    </row>
    <row r="1576" ht="15" customHeight="1">
      <c r="A1576" t="s">
        <v>3445</v>
      </c>
      <c r="B1576" t="s">
        <v>3446</v>
      </c>
      <c r="C1576" s="21" t="s">
        <v>227</v>
      </c>
      <c r="D1576" t="s">
        <v>250</v>
      </c>
      <c r="E1576" t="s">
        <v>251</v>
      </c>
      <c r="H1576">
        <v>2</v>
      </c>
      <c r="L1576" t="s">
        <v>3276</v>
      </c>
      <c r="M1576" s="19">
        <v>45215</v>
      </c>
      <c r="N1576" s="20"/>
      <c r="O1576" s="20"/>
    </row>
    <row r="1577" ht="15" customHeight="1">
      <c r="A1577" t="s">
        <v>3447</v>
      </c>
      <c r="B1577" t="s">
        <v>3448</v>
      </c>
      <c r="C1577" s="21" t="s">
        <v>227</v>
      </c>
      <c r="D1577" t="s">
        <v>250</v>
      </c>
      <c r="E1577" t="s">
        <v>251</v>
      </c>
      <c r="M1577" s="19">
        <v>45215</v>
      </c>
      <c r="N1577" s="20"/>
      <c r="O1577" s="20"/>
    </row>
    <row r="1578" ht="15" customHeight="1">
      <c r="A1578" t="s">
        <v>3449</v>
      </c>
      <c r="B1578" t="s">
        <v>3450</v>
      </c>
      <c r="C1578" s="21" t="s">
        <v>227</v>
      </c>
      <c r="D1578" t="s">
        <v>250</v>
      </c>
      <c r="E1578" t="s">
        <v>251</v>
      </c>
      <c r="M1578" s="19">
        <v>45215</v>
      </c>
      <c r="N1578" s="20"/>
      <c r="O1578" s="20"/>
    </row>
    <row r="1579" ht="15" customHeight="1">
      <c r="A1579" t="s">
        <v>3451</v>
      </c>
      <c r="B1579" t="s">
        <v>3452</v>
      </c>
      <c r="C1579" s="23" t="s">
        <v>309</v>
      </c>
      <c r="D1579" t="s">
        <v>232</v>
      </c>
      <c r="E1579" t="s">
        <v>233</v>
      </c>
      <c r="M1579" s="19">
        <v>45215</v>
      </c>
      <c r="N1579" s="20"/>
      <c r="O1579" s="20"/>
    </row>
    <row r="1580" ht="15" customHeight="1">
      <c r="A1580" t="s">
        <v>3453</v>
      </c>
      <c r="B1580" t="s">
        <v>3454</v>
      </c>
      <c r="C1580" s="25" t="s">
        <v>1627</v>
      </c>
      <c r="D1580" t="s">
        <v>223</v>
      </c>
      <c r="E1580" t="s">
        <v>224</v>
      </c>
      <c r="M1580" s="19">
        <v>45215</v>
      </c>
      <c r="N1580" s="19">
        <v>45273</v>
      </c>
      <c r="O1580" s="20"/>
    </row>
    <row r="1581" ht="15" customHeight="1">
      <c r="A1581" t="s">
        <v>3455</v>
      </c>
      <c r="B1581" t="s">
        <v>3456</v>
      </c>
      <c r="C1581" s="23" t="s">
        <v>309</v>
      </c>
      <c r="D1581" t="s">
        <v>250</v>
      </c>
      <c r="E1581" t="s">
        <v>251</v>
      </c>
      <c r="M1581" s="19">
        <v>45212</v>
      </c>
      <c r="N1581" s="20"/>
      <c r="O1581" s="20"/>
    </row>
    <row r="1582" ht="15" customHeight="1">
      <c r="A1582" t="s">
        <v>3457</v>
      </c>
      <c r="B1582" t="s">
        <v>3458</v>
      </c>
      <c r="C1582" t="s">
        <v>1470</v>
      </c>
      <c r="D1582" t="s">
        <v>228</v>
      </c>
      <c r="E1582" t="s">
        <v>229</v>
      </c>
      <c r="H1582">
        <v>2</v>
      </c>
      <c r="M1582" s="19">
        <v>45212</v>
      </c>
      <c r="N1582" s="20"/>
      <c r="O1582" s="20"/>
    </row>
    <row r="1583" ht="15" customHeight="1">
      <c r="A1583" t="s">
        <v>3459</v>
      </c>
      <c r="B1583" t="s">
        <v>3460</v>
      </c>
      <c r="C1583" t="s">
        <v>1470</v>
      </c>
      <c r="D1583" t="s">
        <v>232</v>
      </c>
      <c r="E1583" t="s">
        <v>233</v>
      </c>
      <c r="H1583">
        <v>2</v>
      </c>
      <c r="M1583" s="19">
        <v>45212</v>
      </c>
      <c r="N1583" s="20"/>
      <c r="O1583" s="20"/>
    </row>
    <row r="1584" ht="15" customHeight="1">
      <c r="A1584" t="s">
        <v>3461</v>
      </c>
      <c r="B1584" t="s">
        <v>3462</v>
      </c>
      <c r="C1584" t="s">
        <v>1470</v>
      </c>
      <c r="D1584" t="s">
        <v>228</v>
      </c>
      <c r="E1584" t="s">
        <v>229</v>
      </c>
      <c r="H1584">
        <v>2</v>
      </c>
      <c r="M1584" s="19">
        <v>45212</v>
      </c>
      <c r="N1584" s="20"/>
      <c r="O1584" s="20"/>
    </row>
    <row r="1585" ht="15" customHeight="1">
      <c r="A1585" t="s">
        <v>3463</v>
      </c>
      <c r="B1585" t="s">
        <v>3464</v>
      </c>
      <c r="C1585" t="s">
        <v>1470</v>
      </c>
      <c r="D1585" t="s">
        <v>232</v>
      </c>
      <c r="E1585" t="s">
        <v>233</v>
      </c>
      <c r="H1585">
        <v>5</v>
      </c>
      <c r="M1585" s="19">
        <v>45212</v>
      </c>
      <c r="N1585" s="20"/>
      <c r="O1585" s="20"/>
    </row>
    <row r="1586" ht="15" customHeight="1">
      <c r="A1586" t="s">
        <v>3465</v>
      </c>
      <c r="B1586" t="s">
        <v>3466</v>
      </c>
      <c r="C1586" s="21" t="s">
        <v>227</v>
      </c>
      <c r="D1586" t="s">
        <v>250</v>
      </c>
      <c r="E1586" t="s">
        <v>251</v>
      </c>
      <c r="M1586" s="19">
        <v>45211</v>
      </c>
      <c r="N1586" s="20"/>
      <c r="O1586" s="20"/>
    </row>
    <row r="1587" ht="15" customHeight="1">
      <c r="A1587" t="s">
        <v>3467</v>
      </c>
      <c r="B1587" t="s">
        <v>3468</v>
      </c>
      <c r="C1587" t="s">
        <v>1470</v>
      </c>
      <c r="D1587" t="s">
        <v>813</v>
      </c>
      <c r="E1587" t="s">
        <v>814</v>
      </c>
      <c r="M1587" s="19">
        <v>45211</v>
      </c>
      <c r="N1587" s="20"/>
      <c r="O1587" s="20"/>
    </row>
    <row r="1588" ht="15" customHeight="1">
      <c r="A1588" t="s">
        <v>3469</v>
      </c>
      <c r="B1588" t="s">
        <v>3470</v>
      </c>
      <c r="C1588" t="s">
        <v>259</v>
      </c>
      <c r="D1588" t="s">
        <v>223</v>
      </c>
      <c r="E1588" t="s">
        <v>224</v>
      </c>
      <c r="M1588" s="19">
        <v>45211</v>
      </c>
      <c r="N1588" s="20"/>
      <c r="O1588" s="20"/>
    </row>
    <row r="1589" ht="15" customHeight="1">
      <c r="A1589" t="s">
        <v>3471</v>
      </c>
      <c r="B1589" t="s">
        <v>3472</v>
      </c>
      <c r="C1589" t="s">
        <v>1470</v>
      </c>
      <c r="D1589" t="s">
        <v>232</v>
      </c>
      <c r="E1589" t="s">
        <v>233</v>
      </c>
      <c r="H1589">
        <v>5</v>
      </c>
      <c r="M1589" s="19">
        <v>45211</v>
      </c>
      <c r="N1589" s="20"/>
      <c r="O1589" s="20"/>
    </row>
    <row r="1590" ht="15" customHeight="1">
      <c r="A1590" t="s">
        <v>3473</v>
      </c>
      <c r="B1590" t="s">
        <v>3474</v>
      </c>
      <c r="C1590" s="23" t="s">
        <v>309</v>
      </c>
      <c r="D1590" t="s">
        <v>223</v>
      </c>
      <c r="E1590" t="s">
        <v>224</v>
      </c>
      <c r="M1590" s="19">
        <v>45211</v>
      </c>
      <c r="N1590" s="19">
        <v>45273</v>
      </c>
      <c r="O1590" s="20"/>
    </row>
    <row r="1591" ht="15" customHeight="1">
      <c r="A1591" t="s">
        <v>3475</v>
      </c>
      <c r="B1591" t="s">
        <v>3476</v>
      </c>
      <c r="C1591" s="23" t="s">
        <v>309</v>
      </c>
      <c r="D1591" t="s">
        <v>223</v>
      </c>
      <c r="E1591" t="s">
        <v>224</v>
      </c>
      <c r="M1591" s="19">
        <v>45211</v>
      </c>
      <c r="N1591" s="19">
        <v>45273</v>
      </c>
      <c r="O1591" s="20"/>
    </row>
    <row r="1592" ht="15" customHeight="1">
      <c r="A1592" t="s">
        <v>3477</v>
      </c>
      <c r="B1592" t="s">
        <v>3478</v>
      </c>
      <c r="C1592" s="25" t="s">
        <v>1627</v>
      </c>
      <c r="D1592" t="s">
        <v>223</v>
      </c>
      <c r="E1592" t="s">
        <v>224</v>
      </c>
      <c r="M1592" s="19">
        <v>45210</v>
      </c>
      <c r="N1592" s="20"/>
      <c r="O1592" s="20"/>
    </row>
    <row r="1593" ht="15" customHeight="1">
      <c r="A1593" t="s">
        <v>3479</v>
      </c>
      <c r="B1593" t="s">
        <v>2190</v>
      </c>
      <c r="C1593" s="23" t="s">
        <v>309</v>
      </c>
      <c r="D1593" t="s">
        <v>232</v>
      </c>
      <c r="E1593" t="s">
        <v>233</v>
      </c>
      <c r="H1593">
        <v>3</v>
      </c>
      <c r="M1593" s="19">
        <v>45210</v>
      </c>
      <c r="N1593" s="20"/>
      <c r="O1593" s="20"/>
    </row>
    <row r="1594" ht="15" customHeight="1">
      <c r="A1594" t="s">
        <v>3480</v>
      </c>
      <c r="B1594" t="s">
        <v>3481</v>
      </c>
      <c r="C1594" s="25" t="s">
        <v>1627</v>
      </c>
      <c r="D1594" t="s">
        <v>223</v>
      </c>
      <c r="E1594" t="s">
        <v>224</v>
      </c>
      <c r="M1594" s="19">
        <v>45210</v>
      </c>
      <c r="N1594" s="19">
        <v>45322</v>
      </c>
      <c r="O1594" s="20"/>
    </row>
    <row r="1595" ht="15" customHeight="1">
      <c r="A1595" t="s">
        <v>3482</v>
      </c>
      <c r="B1595" t="s">
        <v>3483</v>
      </c>
      <c r="C1595" t="s">
        <v>1470</v>
      </c>
      <c r="D1595" t="s">
        <v>232</v>
      </c>
      <c r="E1595" t="s">
        <v>233</v>
      </c>
      <c r="M1595" s="19">
        <v>45210</v>
      </c>
      <c r="N1595" s="20"/>
      <c r="O1595" s="20"/>
    </row>
    <row r="1596" ht="15" customHeight="1">
      <c r="A1596" t="s">
        <v>3484</v>
      </c>
      <c r="B1596" t="s">
        <v>3485</v>
      </c>
      <c r="C1596" s="23" t="s">
        <v>309</v>
      </c>
      <c r="D1596" t="s">
        <v>228</v>
      </c>
      <c r="E1596" t="s">
        <v>229</v>
      </c>
      <c r="K1596" t="s">
        <v>2920</v>
      </c>
      <c r="M1596" s="19">
        <v>45210</v>
      </c>
      <c r="N1596" s="20"/>
      <c r="O1596" s="20"/>
    </row>
    <row r="1597" ht="15" customHeight="1">
      <c r="A1597" t="s">
        <v>3486</v>
      </c>
      <c r="B1597" t="s">
        <v>3487</v>
      </c>
      <c r="C1597" s="25" t="s">
        <v>1627</v>
      </c>
      <c r="D1597" t="s">
        <v>223</v>
      </c>
      <c r="E1597" t="s">
        <v>224</v>
      </c>
      <c r="M1597" s="19">
        <v>45210</v>
      </c>
      <c r="N1597" s="19">
        <v>45289</v>
      </c>
      <c r="O1597" s="20"/>
    </row>
    <row r="1598" ht="15" customHeight="1">
      <c r="A1598" t="s">
        <v>3488</v>
      </c>
      <c r="B1598" t="s">
        <v>3489</v>
      </c>
      <c r="C1598" s="25" t="s">
        <v>1627</v>
      </c>
      <c r="D1598" t="s">
        <v>223</v>
      </c>
      <c r="E1598" t="s">
        <v>224</v>
      </c>
      <c r="M1598" s="19">
        <v>45210</v>
      </c>
      <c r="N1598" s="19">
        <v>45289</v>
      </c>
      <c r="O1598" s="20"/>
    </row>
    <row r="1599" ht="15" customHeight="1">
      <c r="A1599" t="s">
        <v>3490</v>
      </c>
      <c r="B1599" t="s">
        <v>3491</v>
      </c>
      <c r="C1599" s="25" t="s">
        <v>1627</v>
      </c>
      <c r="D1599" t="s">
        <v>223</v>
      </c>
      <c r="E1599" t="s">
        <v>224</v>
      </c>
      <c r="M1599" s="19">
        <v>45210</v>
      </c>
      <c r="N1599" s="19">
        <v>45289</v>
      </c>
      <c r="O1599" s="20"/>
    </row>
    <row r="1600" ht="15" customHeight="1">
      <c r="A1600" t="s">
        <v>3492</v>
      </c>
      <c r="B1600" t="s">
        <v>3493</v>
      </c>
      <c r="C1600" s="25" t="s">
        <v>1627</v>
      </c>
      <c r="D1600" t="s">
        <v>223</v>
      </c>
      <c r="E1600" t="s">
        <v>224</v>
      </c>
      <c r="M1600" s="19">
        <v>45210</v>
      </c>
      <c r="N1600" s="19">
        <v>45289</v>
      </c>
      <c r="O1600" s="20"/>
    </row>
    <row r="1601" ht="15" customHeight="1">
      <c r="A1601" t="s">
        <v>3494</v>
      </c>
      <c r="B1601" t="s">
        <v>3495</v>
      </c>
      <c r="C1601" s="25" t="s">
        <v>1627</v>
      </c>
      <c r="D1601" t="s">
        <v>223</v>
      </c>
      <c r="E1601" t="s">
        <v>224</v>
      </c>
      <c r="M1601" s="19">
        <v>45210</v>
      </c>
      <c r="N1601" s="19">
        <v>45273</v>
      </c>
      <c r="O1601" s="20"/>
    </row>
    <row r="1602" ht="15" customHeight="1">
      <c r="A1602" t="s">
        <v>3496</v>
      </c>
      <c r="B1602" t="s">
        <v>3497</v>
      </c>
      <c r="C1602" s="23" t="s">
        <v>309</v>
      </c>
      <c r="D1602" t="s">
        <v>232</v>
      </c>
      <c r="E1602" t="s">
        <v>233</v>
      </c>
      <c r="K1602" t="s">
        <v>2920</v>
      </c>
      <c r="M1602" s="19">
        <v>45210</v>
      </c>
      <c r="N1602" s="20"/>
      <c r="O1602" s="20"/>
    </row>
    <row r="1603" ht="15" customHeight="1">
      <c r="A1603" t="s">
        <v>3498</v>
      </c>
      <c r="B1603" t="s">
        <v>3499</v>
      </c>
      <c r="C1603" s="25" t="s">
        <v>1627</v>
      </c>
      <c r="D1603" t="s">
        <v>223</v>
      </c>
      <c r="E1603" t="s">
        <v>224</v>
      </c>
      <c r="M1603" s="19">
        <v>45210</v>
      </c>
      <c r="N1603" s="19">
        <v>45240</v>
      </c>
      <c r="O1603" s="20"/>
    </row>
    <row r="1604" ht="15" customHeight="1">
      <c r="A1604" t="s">
        <v>3500</v>
      </c>
      <c r="B1604" t="s">
        <v>3501</v>
      </c>
      <c r="C1604" s="25" t="s">
        <v>1627</v>
      </c>
      <c r="D1604" t="s">
        <v>223</v>
      </c>
      <c r="E1604" t="s">
        <v>224</v>
      </c>
      <c r="M1604" s="19">
        <v>45210</v>
      </c>
      <c r="N1604" s="19">
        <v>45289</v>
      </c>
      <c r="O1604" s="20"/>
    </row>
    <row r="1605" ht="15" customHeight="1">
      <c r="A1605" t="s">
        <v>3502</v>
      </c>
      <c r="B1605" t="s">
        <v>3503</v>
      </c>
      <c r="C1605" s="25" t="s">
        <v>1627</v>
      </c>
      <c r="D1605" t="s">
        <v>223</v>
      </c>
      <c r="E1605" t="s">
        <v>224</v>
      </c>
      <c r="M1605" s="19">
        <v>45210</v>
      </c>
      <c r="N1605" s="20"/>
      <c r="O1605" s="20"/>
    </row>
    <row r="1606" ht="15" customHeight="1">
      <c r="A1606" t="s">
        <v>3504</v>
      </c>
      <c r="B1606" t="s">
        <v>3505</v>
      </c>
      <c r="C1606" s="23" t="s">
        <v>309</v>
      </c>
      <c r="D1606" t="s">
        <v>223</v>
      </c>
      <c r="E1606" t="s">
        <v>224</v>
      </c>
      <c r="M1606" s="19">
        <v>45210</v>
      </c>
      <c r="N1606" s="20"/>
      <c r="O1606" s="20"/>
    </row>
    <row r="1607" ht="15" customHeight="1">
      <c r="A1607" t="s">
        <v>3506</v>
      </c>
      <c r="B1607" t="s">
        <v>3507</v>
      </c>
      <c r="C1607" s="25" t="s">
        <v>1627</v>
      </c>
      <c r="D1607" t="s">
        <v>223</v>
      </c>
      <c r="E1607" t="s">
        <v>224</v>
      </c>
      <c r="M1607" s="19">
        <v>45210</v>
      </c>
      <c r="N1607" s="20"/>
      <c r="O1607" s="20"/>
    </row>
    <row r="1608" ht="15" customHeight="1">
      <c r="A1608" t="s">
        <v>3508</v>
      </c>
      <c r="B1608" t="s">
        <v>3509</v>
      </c>
      <c r="C1608" s="23" t="s">
        <v>309</v>
      </c>
      <c r="D1608" t="s">
        <v>223</v>
      </c>
      <c r="E1608" t="s">
        <v>224</v>
      </c>
      <c r="M1608" s="19">
        <v>45210</v>
      </c>
      <c r="N1608" s="20"/>
      <c r="O1608" s="20"/>
    </row>
    <row r="1609" ht="15" customHeight="1">
      <c r="A1609" t="s">
        <v>3510</v>
      </c>
      <c r="B1609" t="s">
        <v>3511</v>
      </c>
      <c r="C1609" s="23" t="s">
        <v>309</v>
      </c>
      <c r="D1609" t="s">
        <v>223</v>
      </c>
      <c r="E1609" t="s">
        <v>224</v>
      </c>
      <c r="M1609" s="19">
        <v>45210</v>
      </c>
      <c r="N1609" s="20"/>
      <c r="O1609" s="20"/>
    </row>
    <row r="1610" ht="15" customHeight="1">
      <c r="A1610" t="s">
        <v>3512</v>
      </c>
      <c r="B1610" t="s">
        <v>3513</v>
      </c>
      <c r="C1610" s="23" t="s">
        <v>309</v>
      </c>
      <c r="D1610" t="s">
        <v>223</v>
      </c>
      <c r="E1610" t="s">
        <v>224</v>
      </c>
      <c r="M1610" s="19">
        <v>45210</v>
      </c>
      <c r="N1610" s="20"/>
      <c r="O1610" s="20"/>
    </row>
    <row r="1611" ht="15" customHeight="1">
      <c r="A1611" t="s">
        <v>3514</v>
      </c>
      <c r="B1611" t="s">
        <v>3513</v>
      </c>
      <c r="C1611" t="s">
        <v>1057</v>
      </c>
      <c r="D1611" t="s">
        <v>223</v>
      </c>
      <c r="E1611" t="s">
        <v>224</v>
      </c>
      <c r="M1611" s="19">
        <v>45210</v>
      </c>
      <c r="N1611" s="20"/>
      <c r="O1611" s="20"/>
    </row>
    <row r="1612" ht="15" customHeight="1">
      <c r="A1612" t="s">
        <v>3515</v>
      </c>
      <c r="B1612" t="s">
        <v>3516</v>
      </c>
      <c r="C1612" s="23" t="s">
        <v>309</v>
      </c>
      <c r="D1612" t="s">
        <v>223</v>
      </c>
      <c r="E1612" t="s">
        <v>224</v>
      </c>
      <c r="M1612" s="19">
        <v>45210</v>
      </c>
      <c r="N1612" s="20"/>
      <c r="O1612" s="20"/>
    </row>
    <row r="1613" ht="15" customHeight="1">
      <c r="A1613" t="s">
        <v>3517</v>
      </c>
      <c r="B1613" t="s">
        <v>3518</v>
      </c>
      <c r="C1613" s="25" t="s">
        <v>1627</v>
      </c>
      <c r="D1613" t="s">
        <v>223</v>
      </c>
      <c r="E1613" t="s">
        <v>224</v>
      </c>
      <c r="M1613" s="19">
        <v>45210</v>
      </c>
      <c r="N1613" s="19">
        <v>45273</v>
      </c>
      <c r="O1613" s="20"/>
    </row>
    <row r="1614" ht="15" customHeight="1">
      <c r="A1614" t="s">
        <v>3519</v>
      </c>
      <c r="B1614" t="s">
        <v>3520</v>
      </c>
      <c r="C1614" s="25" t="s">
        <v>1627</v>
      </c>
      <c r="D1614" t="s">
        <v>223</v>
      </c>
      <c r="E1614" t="s">
        <v>224</v>
      </c>
      <c r="M1614" s="19">
        <v>45210</v>
      </c>
      <c r="N1614" s="19">
        <v>45246</v>
      </c>
      <c r="O1614" s="20"/>
    </row>
    <row r="1615" ht="15" customHeight="1">
      <c r="A1615" t="s">
        <v>3521</v>
      </c>
      <c r="B1615" t="s">
        <v>3522</v>
      </c>
      <c r="C1615" s="25" t="s">
        <v>1627</v>
      </c>
      <c r="D1615" t="s">
        <v>223</v>
      </c>
      <c r="E1615" t="s">
        <v>224</v>
      </c>
      <c r="M1615" s="19">
        <v>45210</v>
      </c>
      <c r="N1615" s="19">
        <v>45245</v>
      </c>
      <c r="O1615" s="20"/>
    </row>
    <row r="1616" ht="15" customHeight="1">
      <c r="A1616" t="s">
        <v>3523</v>
      </c>
      <c r="B1616" t="s">
        <v>3524</v>
      </c>
      <c r="C1616" s="25" t="s">
        <v>1627</v>
      </c>
      <c r="D1616" t="s">
        <v>223</v>
      </c>
      <c r="E1616" t="s">
        <v>224</v>
      </c>
      <c r="M1616" s="19">
        <v>45210</v>
      </c>
      <c r="N1616" s="19">
        <v>45246</v>
      </c>
      <c r="O1616" s="20"/>
    </row>
    <row r="1617" ht="15" customHeight="1">
      <c r="A1617" t="s">
        <v>3525</v>
      </c>
      <c r="B1617" t="s">
        <v>3526</v>
      </c>
      <c r="C1617" s="25" t="s">
        <v>1627</v>
      </c>
      <c r="D1617" t="s">
        <v>223</v>
      </c>
      <c r="E1617" t="s">
        <v>224</v>
      </c>
      <c r="M1617" s="19">
        <v>45210</v>
      </c>
      <c r="N1617" s="19">
        <v>45322</v>
      </c>
      <c r="O1617" s="20"/>
    </row>
    <row r="1618" ht="15" customHeight="1">
      <c r="A1618" t="s">
        <v>3527</v>
      </c>
      <c r="B1618" t="s">
        <v>1057</v>
      </c>
      <c r="C1618" s="23" t="s">
        <v>309</v>
      </c>
      <c r="D1618" t="s">
        <v>223</v>
      </c>
      <c r="E1618" t="s">
        <v>224</v>
      </c>
      <c r="M1618" s="19">
        <v>45210</v>
      </c>
      <c r="N1618" s="20"/>
      <c r="O1618" s="20"/>
    </row>
    <row r="1619" ht="15" customHeight="1">
      <c r="A1619" t="s">
        <v>3528</v>
      </c>
      <c r="B1619" t="s">
        <v>3529</v>
      </c>
      <c r="C1619" s="21" t="s">
        <v>227</v>
      </c>
      <c r="D1619" t="s">
        <v>813</v>
      </c>
      <c r="E1619" t="s">
        <v>814</v>
      </c>
      <c r="K1619" t="s">
        <v>2934</v>
      </c>
      <c r="M1619" s="19">
        <v>45209</v>
      </c>
      <c r="N1619" s="20"/>
      <c r="O1619" s="20"/>
    </row>
    <row r="1620" ht="15" customHeight="1">
      <c r="A1620" t="s">
        <v>3530</v>
      </c>
      <c r="B1620" t="s">
        <v>3531</v>
      </c>
      <c r="C1620" s="21" t="s">
        <v>227</v>
      </c>
      <c r="D1620" t="s">
        <v>813</v>
      </c>
      <c r="E1620" t="s">
        <v>814</v>
      </c>
      <c r="K1620" t="s">
        <v>2934</v>
      </c>
      <c r="M1620" s="19">
        <v>45209</v>
      </c>
      <c r="N1620" s="20"/>
      <c r="O1620" s="20"/>
    </row>
    <row r="1621" ht="15" customHeight="1">
      <c r="A1621" t="s">
        <v>3532</v>
      </c>
      <c r="B1621" t="s">
        <v>3533</v>
      </c>
      <c r="C1621" s="23" t="s">
        <v>309</v>
      </c>
      <c r="D1621" t="s">
        <v>232</v>
      </c>
      <c r="E1621" t="s">
        <v>233</v>
      </c>
      <c r="H1621">
        <v>5</v>
      </c>
      <c r="L1621" t="s">
        <v>1365</v>
      </c>
      <c r="M1621" s="19">
        <v>45209</v>
      </c>
      <c r="N1621" s="20"/>
      <c r="O1621" s="20"/>
    </row>
    <row r="1622" ht="15" customHeight="1">
      <c r="A1622" t="s">
        <v>3534</v>
      </c>
      <c r="B1622" t="s">
        <v>3535</v>
      </c>
      <c r="C1622" t="s">
        <v>1470</v>
      </c>
      <c r="D1622" t="s">
        <v>232</v>
      </c>
      <c r="E1622" t="s">
        <v>233</v>
      </c>
      <c r="H1622">
        <v>3</v>
      </c>
      <c r="M1622" s="19">
        <v>45209</v>
      </c>
      <c r="N1622" s="20"/>
      <c r="O1622" s="20"/>
    </row>
    <row r="1623" ht="15" customHeight="1">
      <c r="A1623" t="s">
        <v>3536</v>
      </c>
      <c r="B1623" t="s">
        <v>3537</v>
      </c>
      <c r="C1623" s="23" t="s">
        <v>309</v>
      </c>
      <c r="D1623" t="s">
        <v>232</v>
      </c>
      <c r="E1623" t="s">
        <v>233</v>
      </c>
      <c r="M1623" s="19">
        <v>45209</v>
      </c>
      <c r="N1623" s="20"/>
      <c r="O1623" s="20"/>
    </row>
    <row r="1624" ht="15" customHeight="1">
      <c r="A1624" t="s">
        <v>3538</v>
      </c>
      <c r="B1624" t="s">
        <v>3539</v>
      </c>
      <c r="C1624" t="s">
        <v>1470</v>
      </c>
      <c r="D1624" t="s">
        <v>232</v>
      </c>
      <c r="E1624" t="s">
        <v>233</v>
      </c>
      <c r="M1624" s="19">
        <v>45205</v>
      </c>
      <c r="N1624" s="20"/>
      <c r="O1624" s="20"/>
    </row>
    <row r="1625" ht="15" customHeight="1">
      <c r="A1625" t="s">
        <v>3540</v>
      </c>
      <c r="B1625" t="s">
        <v>3541</v>
      </c>
      <c r="C1625" s="23" t="s">
        <v>309</v>
      </c>
      <c r="D1625" t="s">
        <v>250</v>
      </c>
      <c r="E1625" t="s">
        <v>251</v>
      </c>
      <c r="M1625" s="19">
        <v>45205</v>
      </c>
      <c r="N1625" s="20"/>
      <c r="O1625" s="20"/>
    </row>
    <row r="1626" ht="15" customHeight="1">
      <c r="A1626" t="s">
        <v>3542</v>
      </c>
      <c r="B1626" t="s">
        <v>3543</v>
      </c>
      <c r="C1626" s="23" t="s">
        <v>309</v>
      </c>
      <c r="D1626" t="s">
        <v>223</v>
      </c>
      <c r="E1626" t="s">
        <v>224</v>
      </c>
      <c r="M1626" s="19">
        <v>45205</v>
      </c>
      <c r="N1626" s="19">
        <v>45289</v>
      </c>
      <c r="O1626" s="20"/>
    </row>
    <row r="1627" ht="15" customHeight="1">
      <c r="A1627" t="s">
        <v>3544</v>
      </c>
      <c r="B1627" t="s">
        <v>3545</v>
      </c>
      <c r="C1627" t="s">
        <v>1685</v>
      </c>
      <c r="D1627" t="s">
        <v>223</v>
      </c>
      <c r="E1627" t="s">
        <v>224</v>
      </c>
      <c r="M1627" s="19">
        <v>45205</v>
      </c>
      <c r="N1627" s="19">
        <v>45289</v>
      </c>
      <c r="O1627" s="20"/>
    </row>
    <row r="1628" ht="15" customHeight="1">
      <c r="A1628" t="s">
        <v>3546</v>
      </c>
      <c r="B1628" t="s">
        <v>3547</v>
      </c>
      <c r="C1628" s="21" t="s">
        <v>227</v>
      </c>
      <c r="D1628" t="s">
        <v>250</v>
      </c>
      <c r="E1628" t="s">
        <v>251</v>
      </c>
      <c r="M1628" s="19">
        <v>45205</v>
      </c>
      <c r="N1628" s="20"/>
      <c r="O1628" s="20"/>
    </row>
    <row r="1629" ht="15" customHeight="1">
      <c r="A1629" t="s">
        <v>3548</v>
      </c>
      <c r="B1629" t="s">
        <v>3549</v>
      </c>
      <c r="C1629" t="s">
        <v>1470</v>
      </c>
      <c r="D1629" t="s">
        <v>232</v>
      </c>
      <c r="E1629" t="s">
        <v>233</v>
      </c>
      <c r="M1629" s="19">
        <v>45205</v>
      </c>
      <c r="N1629" s="20"/>
      <c r="O1629" s="20"/>
    </row>
    <row r="1630" ht="15" customHeight="1">
      <c r="A1630" t="s">
        <v>3550</v>
      </c>
      <c r="B1630" t="s">
        <v>3551</v>
      </c>
      <c r="C1630" s="23" t="s">
        <v>309</v>
      </c>
      <c r="D1630" t="s">
        <v>232</v>
      </c>
      <c r="E1630" t="s">
        <v>233</v>
      </c>
      <c r="M1630" s="19">
        <v>45205</v>
      </c>
      <c r="N1630" s="20"/>
      <c r="O1630" s="20"/>
    </row>
    <row r="1631" ht="15" customHeight="1">
      <c r="A1631" t="s">
        <v>3552</v>
      </c>
      <c r="B1631" t="s">
        <v>3553</v>
      </c>
      <c r="C1631" s="21" t="s">
        <v>227</v>
      </c>
      <c r="D1631" t="s">
        <v>813</v>
      </c>
      <c r="E1631" t="s">
        <v>814</v>
      </c>
      <c r="K1631" t="s">
        <v>2934</v>
      </c>
      <c r="M1631" s="19">
        <v>45204</v>
      </c>
      <c r="N1631" s="20"/>
      <c r="O1631" s="20"/>
    </row>
    <row r="1632" ht="15" customHeight="1">
      <c r="A1632" t="s">
        <v>3554</v>
      </c>
      <c r="B1632" t="s">
        <v>3555</v>
      </c>
      <c r="C1632" s="23" t="s">
        <v>309</v>
      </c>
      <c r="D1632" t="s">
        <v>228</v>
      </c>
      <c r="E1632" t="s">
        <v>229</v>
      </c>
      <c r="M1632" s="19">
        <v>45204</v>
      </c>
      <c r="N1632" s="20"/>
      <c r="O1632" s="20"/>
    </row>
    <row r="1633" ht="15" customHeight="1">
      <c r="A1633" t="s">
        <v>3556</v>
      </c>
      <c r="B1633" t="s">
        <v>3557</v>
      </c>
      <c r="C1633" s="25" t="s">
        <v>1627</v>
      </c>
      <c r="D1633" t="s">
        <v>223</v>
      </c>
      <c r="E1633" t="s">
        <v>224</v>
      </c>
      <c r="M1633" s="19">
        <v>45204</v>
      </c>
      <c r="N1633" s="19">
        <v>45289</v>
      </c>
      <c r="O1633" s="20"/>
    </row>
    <row r="1634" ht="15" customHeight="1">
      <c r="A1634" t="s">
        <v>3558</v>
      </c>
      <c r="B1634" t="s">
        <v>3559</v>
      </c>
      <c r="C1634" s="25" t="s">
        <v>1627</v>
      </c>
      <c r="D1634" t="s">
        <v>223</v>
      </c>
      <c r="E1634" t="s">
        <v>224</v>
      </c>
      <c r="M1634" s="19">
        <v>45204</v>
      </c>
      <c r="N1634" s="20"/>
      <c r="O1634" s="20"/>
    </row>
    <row r="1635" ht="15" customHeight="1">
      <c r="A1635" t="s">
        <v>3560</v>
      </c>
      <c r="B1635" t="s">
        <v>3561</v>
      </c>
      <c r="C1635" s="25" t="s">
        <v>1627</v>
      </c>
      <c r="D1635" t="s">
        <v>223</v>
      </c>
      <c r="E1635" t="s">
        <v>224</v>
      </c>
      <c r="M1635" s="19">
        <v>45204</v>
      </c>
      <c r="N1635" s="20"/>
      <c r="O1635" s="20"/>
    </row>
    <row r="1636" ht="15" customHeight="1">
      <c r="A1636" t="s">
        <v>3562</v>
      </c>
      <c r="B1636" t="s">
        <v>3563</v>
      </c>
      <c r="C1636" s="25" t="s">
        <v>1627</v>
      </c>
      <c r="D1636" t="s">
        <v>223</v>
      </c>
      <c r="E1636" t="s">
        <v>224</v>
      </c>
      <c r="M1636" s="19">
        <v>45204</v>
      </c>
      <c r="N1636" s="20"/>
      <c r="O1636" s="20"/>
    </row>
    <row r="1637" ht="15" customHeight="1">
      <c r="A1637" t="s">
        <v>3564</v>
      </c>
      <c r="B1637" t="s">
        <v>3565</v>
      </c>
      <c r="C1637" s="25" t="s">
        <v>1627</v>
      </c>
      <c r="D1637" t="s">
        <v>223</v>
      </c>
      <c r="E1637" t="s">
        <v>224</v>
      </c>
      <c r="M1637" s="19">
        <v>45204</v>
      </c>
      <c r="N1637" s="20"/>
      <c r="O1637" s="20"/>
    </row>
    <row r="1638" ht="15" customHeight="1">
      <c r="A1638" t="s">
        <v>3566</v>
      </c>
      <c r="B1638" t="s">
        <v>3567</v>
      </c>
      <c r="C1638" s="25" t="s">
        <v>1627</v>
      </c>
      <c r="D1638" t="s">
        <v>223</v>
      </c>
      <c r="E1638" t="s">
        <v>224</v>
      </c>
      <c r="M1638" s="19">
        <v>45204</v>
      </c>
      <c r="N1638" s="20"/>
      <c r="O1638" s="20"/>
    </row>
    <row r="1639" ht="15" customHeight="1">
      <c r="A1639" t="s">
        <v>3568</v>
      </c>
      <c r="B1639" t="s">
        <v>3569</v>
      </c>
      <c r="C1639" s="25" t="s">
        <v>1627</v>
      </c>
      <c r="D1639" t="s">
        <v>223</v>
      </c>
      <c r="E1639" t="s">
        <v>224</v>
      </c>
      <c r="M1639" s="19">
        <v>45204</v>
      </c>
      <c r="N1639" s="20"/>
      <c r="O1639" s="20"/>
    </row>
    <row r="1640" ht="15" customHeight="1">
      <c r="A1640" t="s">
        <v>3570</v>
      </c>
      <c r="B1640" t="s">
        <v>3571</v>
      </c>
      <c r="C1640" s="25" t="s">
        <v>1627</v>
      </c>
      <c r="D1640" t="s">
        <v>223</v>
      </c>
      <c r="E1640" t="s">
        <v>224</v>
      </c>
      <c r="M1640" s="19">
        <v>45204</v>
      </c>
      <c r="N1640" s="20"/>
      <c r="O1640" s="20"/>
    </row>
    <row r="1641" ht="15" customHeight="1">
      <c r="A1641" t="s">
        <v>3572</v>
      </c>
      <c r="B1641" t="s">
        <v>3573</v>
      </c>
      <c r="C1641" s="25" t="s">
        <v>1627</v>
      </c>
      <c r="D1641" t="s">
        <v>223</v>
      </c>
      <c r="E1641" t="s">
        <v>224</v>
      </c>
      <c r="M1641" s="19">
        <v>45204</v>
      </c>
      <c r="N1641" s="20"/>
      <c r="O1641" s="20"/>
    </row>
    <row r="1642" ht="15" customHeight="1">
      <c r="A1642" t="s">
        <v>3574</v>
      </c>
      <c r="B1642" t="s">
        <v>3575</v>
      </c>
      <c r="C1642" s="25" t="s">
        <v>1627</v>
      </c>
      <c r="D1642" t="s">
        <v>223</v>
      </c>
      <c r="E1642" t="s">
        <v>224</v>
      </c>
      <c r="M1642" s="19">
        <v>45204</v>
      </c>
      <c r="N1642" s="20"/>
      <c r="O1642" s="20"/>
    </row>
    <row r="1643" ht="15" customHeight="1">
      <c r="A1643" t="s">
        <v>3576</v>
      </c>
      <c r="B1643" t="s">
        <v>3577</v>
      </c>
      <c r="C1643" s="23" t="s">
        <v>309</v>
      </c>
      <c r="D1643" t="s">
        <v>813</v>
      </c>
      <c r="E1643" t="s">
        <v>814</v>
      </c>
      <c r="K1643" t="s">
        <v>2934</v>
      </c>
      <c r="M1643" s="19">
        <v>45203</v>
      </c>
      <c r="N1643" s="20"/>
      <c r="O1643" s="20"/>
    </row>
    <row r="1644" ht="15" customHeight="1">
      <c r="A1644" t="s">
        <v>3578</v>
      </c>
      <c r="B1644" t="s">
        <v>3579</v>
      </c>
      <c r="C1644" s="21" t="s">
        <v>227</v>
      </c>
      <c r="D1644" t="s">
        <v>813</v>
      </c>
      <c r="E1644" t="s">
        <v>814</v>
      </c>
      <c r="K1644" t="s">
        <v>2934</v>
      </c>
      <c r="M1644" s="19">
        <v>45203</v>
      </c>
      <c r="N1644" s="20"/>
      <c r="O1644" s="20"/>
    </row>
    <row r="1645" ht="15" customHeight="1">
      <c r="A1645" t="s">
        <v>3580</v>
      </c>
      <c r="B1645" t="s">
        <v>3581</v>
      </c>
      <c r="C1645" s="21" t="s">
        <v>227</v>
      </c>
      <c r="D1645" t="s">
        <v>813</v>
      </c>
      <c r="E1645" t="s">
        <v>814</v>
      </c>
      <c r="K1645" t="s">
        <v>2934</v>
      </c>
      <c r="M1645" s="19">
        <v>45203</v>
      </c>
      <c r="N1645" s="20"/>
      <c r="O1645" s="20"/>
    </row>
    <row r="1646" ht="15" customHeight="1">
      <c r="A1646" t="s">
        <v>3582</v>
      </c>
      <c r="B1646" t="s">
        <v>3583</v>
      </c>
      <c r="C1646" s="21" t="s">
        <v>227</v>
      </c>
      <c r="D1646" t="s">
        <v>813</v>
      </c>
      <c r="E1646" t="s">
        <v>814</v>
      </c>
      <c r="K1646" t="s">
        <v>2934</v>
      </c>
      <c r="M1646" s="19">
        <v>45203</v>
      </c>
      <c r="N1646" s="20"/>
      <c r="O1646" s="20"/>
    </row>
    <row r="1647" ht="15" customHeight="1">
      <c r="A1647" t="s">
        <v>3584</v>
      </c>
      <c r="B1647" t="s">
        <v>3585</v>
      </c>
      <c r="C1647" s="21" t="s">
        <v>227</v>
      </c>
      <c r="D1647" t="s">
        <v>813</v>
      </c>
      <c r="E1647" t="s">
        <v>814</v>
      </c>
      <c r="H1647">
        <v>2</v>
      </c>
      <c r="K1647" t="s">
        <v>2934</v>
      </c>
      <c r="M1647" s="19">
        <v>45203</v>
      </c>
      <c r="N1647" s="20"/>
      <c r="O1647" s="20"/>
    </row>
    <row r="1648" ht="15" customHeight="1">
      <c r="A1648" t="s">
        <v>3586</v>
      </c>
      <c r="B1648" t="s">
        <v>3587</v>
      </c>
      <c r="C1648" t="s">
        <v>1057</v>
      </c>
      <c r="D1648" t="s">
        <v>223</v>
      </c>
      <c r="E1648" t="s">
        <v>224</v>
      </c>
      <c r="M1648" s="19">
        <v>45203</v>
      </c>
      <c r="N1648" s="20"/>
      <c r="O1648" s="20"/>
    </row>
    <row r="1649" ht="15" customHeight="1">
      <c r="A1649" t="s">
        <v>3588</v>
      </c>
      <c r="B1649" t="s">
        <v>3589</v>
      </c>
      <c r="C1649" s="24" t="s">
        <v>1338</v>
      </c>
      <c r="D1649" t="s">
        <v>223</v>
      </c>
      <c r="E1649" t="s">
        <v>224</v>
      </c>
      <c r="M1649" s="19">
        <v>45203</v>
      </c>
      <c r="N1649" s="19">
        <v>45289</v>
      </c>
      <c r="O1649" s="20"/>
    </row>
    <row r="1650" ht="15" customHeight="1">
      <c r="A1650" t="s">
        <v>3590</v>
      </c>
      <c r="B1650" t="s">
        <v>3591</v>
      </c>
      <c r="C1650" s="24" t="s">
        <v>1338</v>
      </c>
      <c r="D1650" t="s">
        <v>223</v>
      </c>
      <c r="E1650" t="s">
        <v>224</v>
      </c>
      <c r="M1650" s="19">
        <v>45203</v>
      </c>
      <c r="N1650" s="19">
        <v>45289</v>
      </c>
      <c r="O1650" s="20"/>
    </row>
    <row r="1651" ht="15" customHeight="1">
      <c r="A1651" t="s">
        <v>3592</v>
      </c>
      <c r="B1651" t="s">
        <v>3593</v>
      </c>
      <c r="C1651" s="23" t="s">
        <v>309</v>
      </c>
      <c r="D1651" t="s">
        <v>223</v>
      </c>
      <c r="E1651" t="s">
        <v>224</v>
      </c>
      <c r="M1651" s="19">
        <v>45203</v>
      </c>
      <c r="N1651" s="20"/>
      <c r="O1651" s="20"/>
    </row>
    <row r="1652" ht="15" customHeight="1">
      <c r="A1652" t="s">
        <v>3594</v>
      </c>
      <c r="B1652" t="s">
        <v>3595</v>
      </c>
      <c r="C1652" s="24" t="s">
        <v>1338</v>
      </c>
      <c r="D1652" t="s">
        <v>223</v>
      </c>
      <c r="E1652" t="s">
        <v>224</v>
      </c>
      <c r="M1652" s="19">
        <v>45203</v>
      </c>
      <c r="N1652" s="19">
        <v>45289</v>
      </c>
      <c r="O1652" s="20"/>
    </row>
    <row r="1653" ht="15" customHeight="1">
      <c r="A1653" t="s">
        <v>3596</v>
      </c>
      <c r="B1653" t="s">
        <v>3597</v>
      </c>
      <c r="C1653" s="24" t="s">
        <v>1338</v>
      </c>
      <c r="D1653" t="s">
        <v>223</v>
      </c>
      <c r="E1653" t="s">
        <v>224</v>
      </c>
      <c r="M1653" s="19">
        <v>45203</v>
      </c>
      <c r="N1653" s="19">
        <v>45289</v>
      </c>
      <c r="O1653" s="20"/>
    </row>
    <row r="1654" ht="15" customHeight="1">
      <c r="A1654" t="s">
        <v>3598</v>
      </c>
      <c r="B1654" t="s">
        <v>3599</v>
      </c>
      <c r="C1654" t="s">
        <v>259</v>
      </c>
      <c r="D1654" t="s">
        <v>223</v>
      </c>
      <c r="E1654" t="s">
        <v>224</v>
      </c>
      <c r="M1654" s="19">
        <v>45203</v>
      </c>
      <c r="N1654" s="19">
        <v>45289</v>
      </c>
      <c r="O1654" s="20"/>
    </row>
    <row r="1655" ht="15" customHeight="1">
      <c r="A1655" t="s">
        <v>3600</v>
      </c>
      <c r="B1655" t="s">
        <v>3601</v>
      </c>
      <c r="C1655" t="s">
        <v>1685</v>
      </c>
      <c r="D1655" t="s">
        <v>223</v>
      </c>
      <c r="E1655" t="s">
        <v>224</v>
      </c>
      <c r="M1655" s="19">
        <v>45203</v>
      </c>
      <c r="N1655" s="19">
        <v>45289</v>
      </c>
      <c r="O1655" s="20"/>
    </row>
    <row r="1656" ht="15" customHeight="1">
      <c r="A1656" t="s">
        <v>3602</v>
      </c>
      <c r="B1656" t="s">
        <v>3603</v>
      </c>
      <c r="C1656" t="s">
        <v>259</v>
      </c>
      <c r="D1656" t="s">
        <v>223</v>
      </c>
      <c r="E1656" t="s">
        <v>224</v>
      </c>
      <c r="M1656" s="19">
        <v>45203</v>
      </c>
      <c r="N1656" s="20"/>
      <c r="O1656" s="20"/>
    </row>
    <row r="1657" ht="15" customHeight="1">
      <c r="A1657" t="s">
        <v>3604</v>
      </c>
      <c r="B1657" t="s">
        <v>3605</v>
      </c>
      <c r="C1657" t="s">
        <v>1685</v>
      </c>
      <c r="D1657" t="s">
        <v>223</v>
      </c>
      <c r="E1657" t="s">
        <v>224</v>
      </c>
      <c r="M1657" s="19">
        <v>45203</v>
      </c>
      <c r="N1657" s="19">
        <v>45289</v>
      </c>
      <c r="O1657" s="20"/>
    </row>
    <row r="1658" ht="15" customHeight="1">
      <c r="A1658" t="s">
        <v>3606</v>
      </c>
      <c r="B1658" t="s">
        <v>3607</v>
      </c>
      <c r="C1658" s="25" t="s">
        <v>1627</v>
      </c>
      <c r="D1658" t="s">
        <v>223</v>
      </c>
      <c r="E1658" t="s">
        <v>224</v>
      </c>
      <c r="M1658" s="19">
        <v>45203</v>
      </c>
      <c r="N1658" s="19">
        <v>45289</v>
      </c>
      <c r="O1658" s="20"/>
    </row>
    <row r="1659" ht="15" customHeight="1">
      <c r="A1659" t="s">
        <v>3608</v>
      </c>
      <c r="B1659" t="s">
        <v>3609</v>
      </c>
      <c r="C1659" t="s">
        <v>1685</v>
      </c>
      <c r="D1659" t="s">
        <v>223</v>
      </c>
      <c r="E1659" t="s">
        <v>224</v>
      </c>
      <c r="M1659" s="19">
        <v>45203</v>
      </c>
      <c r="N1659" s="20"/>
      <c r="O1659" s="20"/>
    </row>
    <row r="1660" ht="15" customHeight="1">
      <c r="A1660" t="s">
        <v>3610</v>
      </c>
      <c r="B1660" t="s">
        <v>3611</v>
      </c>
      <c r="C1660" s="23" t="s">
        <v>309</v>
      </c>
      <c r="D1660" t="s">
        <v>232</v>
      </c>
      <c r="E1660" t="s">
        <v>233</v>
      </c>
      <c r="M1660" s="19">
        <v>45203</v>
      </c>
      <c r="N1660" s="19">
        <v>45414</v>
      </c>
      <c r="O1660" s="20"/>
    </row>
    <row r="1661" ht="15" customHeight="1">
      <c r="A1661" t="s">
        <v>3612</v>
      </c>
      <c r="B1661" t="s">
        <v>3613</v>
      </c>
      <c r="C1661" s="23" t="s">
        <v>309</v>
      </c>
      <c r="D1661" t="s">
        <v>232</v>
      </c>
      <c r="E1661" t="s">
        <v>233</v>
      </c>
      <c r="H1661">
        <v>2</v>
      </c>
      <c r="K1661" t="s">
        <v>866</v>
      </c>
      <c r="L1661" t="s">
        <v>3614</v>
      </c>
      <c r="M1661" s="19">
        <v>45203</v>
      </c>
      <c r="N1661" s="19">
        <v>45288</v>
      </c>
      <c r="O1661" s="20"/>
    </row>
    <row r="1662" ht="15" customHeight="1">
      <c r="A1662" t="s">
        <v>3615</v>
      </c>
      <c r="B1662" t="s">
        <v>3616</v>
      </c>
      <c r="C1662" s="23" t="s">
        <v>309</v>
      </c>
      <c r="D1662" t="s">
        <v>813</v>
      </c>
      <c r="E1662" t="s">
        <v>814</v>
      </c>
      <c r="H1662">
        <v>1</v>
      </c>
      <c r="L1662" t="s">
        <v>3614</v>
      </c>
      <c r="M1662" s="19">
        <v>45203</v>
      </c>
      <c r="N1662" s="19">
        <v>45288</v>
      </c>
      <c r="O1662" s="20"/>
    </row>
    <row r="1663" ht="15" customHeight="1">
      <c r="A1663" t="s">
        <v>3617</v>
      </c>
      <c r="B1663" t="s">
        <v>3618</v>
      </c>
      <c r="C1663" s="23" t="s">
        <v>309</v>
      </c>
      <c r="D1663" t="s">
        <v>232</v>
      </c>
      <c r="E1663" t="s">
        <v>233</v>
      </c>
      <c r="H1663">
        <v>1</v>
      </c>
      <c r="K1663" t="s">
        <v>2920</v>
      </c>
      <c r="M1663" s="19">
        <v>45203</v>
      </c>
      <c r="N1663" s="20"/>
      <c r="O1663" s="20"/>
    </row>
    <row r="1664" ht="15" customHeight="1">
      <c r="A1664" t="s">
        <v>3619</v>
      </c>
      <c r="B1664" t="s">
        <v>3620</v>
      </c>
      <c r="C1664" s="23" t="s">
        <v>309</v>
      </c>
      <c r="D1664" t="s">
        <v>232</v>
      </c>
      <c r="E1664" t="s">
        <v>233</v>
      </c>
      <c r="H1664">
        <v>1</v>
      </c>
      <c r="K1664" t="s">
        <v>2920</v>
      </c>
      <c r="M1664" s="19">
        <v>45203</v>
      </c>
      <c r="N1664" s="20"/>
      <c r="O1664" s="20"/>
    </row>
    <row r="1665" ht="15" customHeight="1">
      <c r="A1665" t="s">
        <v>3621</v>
      </c>
      <c r="B1665" t="s">
        <v>3622</v>
      </c>
      <c r="C1665" s="23" t="s">
        <v>309</v>
      </c>
      <c r="D1665" t="s">
        <v>232</v>
      </c>
      <c r="E1665" t="s">
        <v>233</v>
      </c>
      <c r="H1665">
        <v>2</v>
      </c>
      <c r="K1665" t="s">
        <v>2920</v>
      </c>
      <c r="M1665" s="19">
        <v>45203</v>
      </c>
      <c r="N1665" s="20"/>
      <c r="O1665" s="20"/>
    </row>
    <row r="1666" ht="15" customHeight="1">
      <c r="A1666" t="s">
        <v>3623</v>
      </c>
      <c r="B1666" t="s">
        <v>3624</v>
      </c>
      <c r="C1666" s="25" t="s">
        <v>1627</v>
      </c>
      <c r="D1666" t="s">
        <v>223</v>
      </c>
      <c r="E1666" t="s">
        <v>224</v>
      </c>
      <c r="M1666" s="19">
        <v>45202</v>
      </c>
      <c r="N1666" s="19">
        <v>45260</v>
      </c>
      <c r="O1666" s="20"/>
    </row>
    <row r="1667" ht="15" customHeight="1">
      <c r="A1667" t="s">
        <v>3625</v>
      </c>
      <c r="B1667" t="s">
        <v>3626</v>
      </c>
      <c r="C1667" t="s">
        <v>1470</v>
      </c>
      <c r="D1667" t="s">
        <v>232</v>
      </c>
      <c r="E1667" t="s">
        <v>233</v>
      </c>
      <c r="K1667" t="s">
        <v>994</v>
      </c>
      <c r="M1667" s="19">
        <v>45202</v>
      </c>
      <c r="N1667" s="20"/>
      <c r="O1667" s="20"/>
    </row>
    <row r="1668" ht="15" customHeight="1">
      <c r="A1668" t="s">
        <v>3627</v>
      </c>
      <c r="B1668" t="s">
        <v>3628</v>
      </c>
      <c r="C1668" s="22" t="s">
        <v>55</v>
      </c>
      <c r="D1668" t="s">
        <v>813</v>
      </c>
      <c r="E1668" t="s">
        <v>814</v>
      </c>
      <c r="H1668">
        <v>76</v>
      </c>
      <c r="M1668" s="19">
        <v>45202</v>
      </c>
      <c r="N1668" s="20"/>
      <c r="O1668" s="20"/>
    </row>
    <row r="1669" ht="15" customHeight="1">
      <c r="A1669" t="s">
        <v>3629</v>
      </c>
      <c r="B1669" t="s">
        <v>3630</v>
      </c>
      <c r="C1669" s="23" t="s">
        <v>309</v>
      </c>
      <c r="D1669" t="s">
        <v>232</v>
      </c>
      <c r="E1669" t="s">
        <v>233</v>
      </c>
      <c r="H1669">
        <v>2</v>
      </c>
      <c r="K1669" t="s">
        <v>2920</v>
      </c>
      <c r="M1669" s="19">
        <v>45201</v>
      </c>
      <c r="N1669" s="20"/>
      <c r="O1669" s="20"/>
    </row>
    <row r="1670" ht="15" customHeight="1">
      <c r="A1670" t="s">
        <v>3631</v>
      </c>
      <c r="B1670" t="s">
        <v>3632</v>
      </c>
      <c r="C1670" s="21" t="s">
        <v>227</v>
      </c>
      <c r="D1670" t="s">
        <v>813</v>
      </c>
      <c r="E1670" t="s">
        <v>814</v>
      </c>
      <c r="M1670" s="19">
        <v>45197</v>
      </c>
      <c r="N1670" s="20"/>
      <c r="O1670" s="20"/>
    </row>
    <row r="1671" ht="15" customHeight="1">
      <c r="A1671" t="s">
        <v>3633</v>
      </c>
      <c r="B1671" t="s">
        <v>3634</v>
      </c>
      <c r="C1671" t="s">
        <v>1470</v>
      </c>
      <c r="D1671" t="s">
        <v>232</v>
      </c>
      <c r="E1671" t="s">
        <v>233</v>
      </c>
      <c r="H1671">
        <v>8</v>
      </c>
      <c r="M1671" s="19">
        <v>45196</v>
      </c>
      <c r="N1671" s="19">
        <v>45218</v>
      </c>
      <c r="O1671" s="20"/>
    </row>
    <row r="1672" ht="15" customHeight="1">
      <c r="A1672" t="s">
        <v>3635</v>
      </c>
      <c r="B1672" t="s">
        <v>3636</v>
      </c>
      <c r="C1672" s="23" t="s">
        <v>309</v>
      </c>
      <c r="D1672" t="s">
        <v>232</v>
      </c>
      <c r="E1672" t="s">
        <v>233</v>
      </c>
      <c r="H1672">
        <v>7</v>
      </c>
      <c r="M1672" s="19">
        <v>45195</v>
      </c>
      <c r="N1672" s="20"/>
      <c r="O1672" s="20"/>
    </row>
    <row r="1673" ht="15" customHeight="1">
      <c r="A1673" t="s">
        <v>3637</v>
      </c>
      <c r="B1673" t="s">
        <v>3638</v>
      </c>
      <c r="C1673" s="21" t="s">
        <v>227</v>
      </c>
      <c r="D1673" t="s">
        <v>232</v>
      </c>
      <c r="E1673" t="s">
        <v>233</v>
      </c>
      <c r="M1673" s="19">
        <v>45194</v>
      </c>
      <c r="N1673" s="20"/>
      <c r="O1673" s="20"/>
    </row>
    <row r="1674" ht="15" customHeight="1">
      <c r="A1674" t="s">
        <v>3639</v>
      </c>
      <c r="B1674" t="s">
        <v>3640</v>
      </c>
      <c r="C1674" s="21" t="s">
        <v>227</v>
      </c>
      <c r="D1674" t="s">
        <v>228</v>
      </c>
      <c r="E1674" t="s">
        <v>229</v>
      </c>
      <c r="G1674" t="s">
        <v>1053</v>
      </c>
      <c r="M1674" s="19">
        <v>45194</v>
      </c>
      <c r="N1674" s="20"/>
      <c r="O1674" s="20"/>
    </row>
    <row r="1675" ht="15" customHeight="1">
      <c r="A1675" t="s">
        <v>3641</v>
      </c>
      <c r="B1675" t="s">
        <v>3642</v>
      </c>
      <c r="C1675" s="21" t="s">
        <v>227</v>
      </c>
      <c r="D1675" t="s">
        <v>232</v>
      </c>
      <c r="E1675" t="s">
        <v>233</v>
      </c>
      <c r="G1675" t="s">
        <v>1053</v>
      </c>
      <c r="M1675" s="19">
        <v>45194</v>
      </c>
      <c r="N1675" s="20"/>
      <c r="O1675" s="20"/>
    </row>
    <row r="1676" ht="15" customHeight="1">
      <c r="A1676" t="s">
        <v>3643</v>
      </c>
      <c r="B1676" t="s">
        <v>3644</v>
      </c>
      <c r="C1676" s="21" t="s">
        <v>227</v>
      </c>
      <c r="D1676" t="s">
        <v>232</v>
      </c>
      <c r="E1676" t="s">
        <v>233</v>
      </c>
      <c r="G1676" t="s">
        <v>1053</v>
      </c>
      <c r="M1676" s="19">
        <v>45194</v>
      </c>
      <c r="N1676" s="20"/>
      <c r="O1676" s="20"/>
    </row>
    <row r="1677" ht="15" customHeight="1">
      <c r="A1677" t="s">
        <v>3645</v>
      </c>
      <c r="B1677" t="s">
        <v>3646</v>
      </c>
      <c r="C1677" s="21" t="s">
        <v>227</v>
      </c>
      <c r="D1677" t="s">
        <v>232</v>
      </c>
      <c r="E1677" t="s">
        <v>233</v>
      </c>
      <c r="M1677" s="19">
        <v>45194</v>
      </c>
      <c r="N1677" s="20"/>
      <c r="O1677" s="20"/>
    </row>
    <row r="1678" ht="15" customHeight="1">
      <c r="A1678" t="s">
        <v>3647</v>
      </c>
      <c r="B1678" t="s">
        <v>3648</v>
      </c>
      <c r="C1678" s="21" t="s">
        <v>227</v>
      </c>
      <c r="D1678" t="s">
        <v>232</v>
      </c>
      <c r="E1678" t="s">
        <v>233</v>
      </c>
      <c r="M1678" s="19">
        <v>45194</v>
      </c>
      <c r="N1678" s="20"/>
      <c r="O1678" s="20"/>
    </row>
    <row r="1679" ht="15" customHeight="1">
      <c r="A1679" t="s">
        <v>3649</v>
      </c>
      <c r="B1679" t="s">
        <v>3650</v>
      </c>
      <c r="C1679" s="21" t="s">
        <v>227</v>
      </c>
      <c r="D1679" t="s">
        <v>232</v>
      </c>
      <c r="E1679" t="s">
        <v>233</v>
      </c>
      <c r="M1679" s="19">
        <v>45194</v>
      </c>
      <c r="N1679" s="20"/>
      <c r="O1679" s="20"/>
    </row>
    <row r="1680" ht="15" customHeight="1">
      <c r="A1680" t="s">
        <v>3651</v>
      </c>
      <c r="B1680" t="s">
        <v>3652</v>
      </c>
      <c r="C1680" s="21" t="s">
        <v>227</v>
      </c>
      <c r="D1680" t="s">
        <v>232</v>
      </c>
      <c r="E1680" t="s">
        <v>233</v>
      </c>
      <c r="M1680" s="19">
        <v>45194</v>
      </c>
      <c r="N1680" s="20"/>
      <c r="O1680" s="20"/>
    </row>
    <row r="1681" ht="15" customHeight="1">
      <c r="A1681" t="s">
        <v>3653</v>
      </c>
      <c r="B1681" t="s">
        <v>3654</v>
      </c>
      <c r="C1681" s="21" t="s">
        <v>227</v>
      </c>
      <c r="D1681" t="s">
        <v>232</v>
      </c>
      <c r="E1681" t="s">
        <v>233</v>
      </c>
      <c r="M1681" s="19">
        <v>45194</v>
      </c>
      <c r="N1681" s="20"/>
      <c r="O1681" s="20"/>
    </row>
    <row r="1682" ht="15" customHeight="1">
      <c r="A1682" t="s">
        <v>3655</v>
      </c>
      <c r="B1682" t="s">
        <v>3656</v>
      </c>
      <c r="C1682" s="21" t="s">
        <v>227</v>
      </c>
      <c r="D1682" t="s">
        <v>232</v>
      </c>
      <c r="E1682" t="s">
        <v>233</v>
      </c>
      <c r="M1682" s="19">
        <v>45194</v>
      </c>
      <c r="N1682" s="20"/>
      <c r="O1682" s="20"/>
    </row>
    <row r="1683" ht="15" customHeight="1">
      <c r="A1683" t="s">
        <v>3657</v>
      </c>
      <c r="B1683" t="s">
        <v>3658</v>
      </c>
      <c r="C1683" s="21" t="s">
        <v>227</v>
      </c>
      <c r="D1683" t="s">
        <v>232</v>
      </c>
      <c r="E1683" t="s">
        <v>233</v>
      </c>
      <c r="M1683" s="19">
        <v>45194</v>
      </c>
      <c r="N1683" s="20"/>
      <c r="O1683" s="20"/>
    </row>
    <row r="1684" ht="15" customHeight="1">
      <c r="A1684" t="s">
        <v>3659</v>
      </c>
      <c r="B1684" t="s">
        <v>3660</v>
      </c>
      <c r="C1684" s="21" t="s">
        <v>227</v>
      </c>
      <c r="D1684" t="s">
        <v>232</v>
      </c>
      <c r="E1684" t="s">
        <v>233</v>
      </c>
      <c r="M1684" s="19">
        <v>45194</v>
      </c>
      <c r="N1684" s="20"/>
      <c r="O1684" s="20"/>
    </row>
    <row r="1685" ht="15" customHeight="1">
      <c r="A1685" t="s">
        <v>3661</v>
      </c>
      <c r="B1685" t="s">
        <v>3662</v>
      </c>
      <c r="C1685" s="23" t="s">
        <v>309</v>
      </c>
      <c r="D1685" t="s">
        <v>813</v>
      </c>
      <c r="E1685" t="s">
        <v>814</v>
      </c>
      <c r="H1685">
        <v>2</v>
      </c>
      <c r="K1685" t="s">
        <v>2927</v>
      </c>
      <c r="L1685" t="s">
        <v>3663</v>
      </c>
      <c r="M1685" s="19">
        <v>45194</v>
      </c>
      <c r="N1685" s="19">
        <v>45217</v>
      </c>
      <c r="O1685" s="20"/>
    </row>
    <row r="1686" ht="15" customHeight="1">
      <c r="A1686" t="s">
        <v>3664</v>
      </c>
      <c r="B1686" t="s">
        <v>3665</v>
      </c>
      <c r="C1686" s="21" t="s">
        <v>227</v>
      </c>
      <c r="D1686" t="s">
        <v>232</v>
      </c>
      <c r="E1686" t="s">
        <v>233</v>
      </c>
      <c r="G1686" t="s">
        <v>1053</v>
      </c>
      <c r="M1686" s="19">
        <v>45194</v>
      </c>
      <c r="N1686" s="20"/>
      <c r="O1686" s="20"/>
    </row>
    <row r="1687" ht="15" customHeight="1">
      <c r="A1687" t="s">
        <v>3666</v>
      </c>
      <c r="B1687" t="s">
        <v>3667</v>
      </c>
      <c r="C1687" s="23" t="s">
        <v>309</v>
      </c>
      <c r="D1687" t="s">
        <v>232</v>
      </c>
      <c r="E1687" t="s">
        <v>233</v>
      </c>
      <c r="M1687" s="19">
        <v>45191</v>
      </c>
      <c r="N1687" s="20"/>
      <c r="O1687" s="20"/>
    </row>
    <row r="1688" ht="15" customHeight="1">
      <c r="A1688" t="s">
        <v>3668</v>
      </c>
      <c r="B1688" t="s">
        <v>3669</v>
      </c>
      <c r="C1688" s="23" t="s">
        <v>309</v>
      </c>
      <c r="D1688" t="s">
        <v>232</v>
      </c>
      <c r="E1688" t="s">
        <v>233</v>
      </c>
      <c r="M1688" s="19">
        <v>45191</v>
      </c>
      <c r="N1688" s="20"/>
      <c r="O1688" s="20"/>
    </row>
    <row r="1689" ht="15" customHeight="1">
      <c r="A1689" t="s">
        <v>3670</v>
      </c>
      <c r="B1689" t="s">
        <v>3671</v>
      </c>
      <c r="C1689" t="s">
        <v>1057</v>
      </c>
      <c r="D1689" t="s">
        <v>223</v>
      </c>
      <c r="E1689" t="s">
        <v>224</v>
      </c>
      <c r="M1689" s="19">
        <v>45190</v>
      </c>
      <c r="N1689" s="20"/>
      <c r="O1689" s="20"/>
    </row>
    <row r="1690" ht="15" customHeight="1">
      <c r="A1690" t="s">
        <v>3672</v>
      </c>
      <c r="B1690" t="s">
        <v>3673</v>
      </c>
      <c r="C1690" t="s">
        <v>1057</v>
      </c>
      <c r="D1690" t="s">
        <v>223</v>
      </c>
      <c r="E1690" t="s">
        <v>224</v>
      </c>
      <c r="M1690" s="19">
        <v>45190</v>
      </c>
      <c r="N1690" s="20"/>
      <c r="O1690" s="20"/>
    </row>
    <row r="1691" ht="15" customHeight="1">
      <c r="A1691" t="s">
        <v>3674</v>
      </c>
      <c r="B1691" t="s">
        <v>3675</v>
      </c>
      <c r="C1691" t="s">
        <v>1470</v>
      </c>
      <c r="D1691" t="s">
        <v>232</v>
      </c>
      <c r="E1691" t="s">
        <v>233</v>
      </c>
      <c r="M1691" s="19">
        <v>45190</v>
      </c>
      <c r="N1691" s="20"/>
      <c r="O1691" s="20"/>
    </row>
    <row r="1692" ht="15" customHeight="1">
      <c r="A1692" t="s">
        <v>3676</v>
      </c>
      <c r="B1692" t="s">
        <v>3677</v>
      </c>
      <c r="C1692" t="s">
        <v>1057</v>
      </c>
      <c r="D1692" t="s">
        <v>223</v>
      </c>
      <c r="E1692" t="s">
        <v>224</v>
      </c>
      <c r="M1692" s="19">
        <v>45190</v>
      </c>
      <c r="N1692" s="20"/>
      <c r="O1692" s="20"/>
    </row>
    <row r="1693" ht="15" customHeight="1">
      <c r="A1693" t="s">
        <v>3678</v>
      </c>
      <c r="B1693" t="s">
        <v>3679</v>
      </c>
      <c r="C1693" t="s">
        <v>222</v>
      </c>
      <c r="D1693" t="s">
        <v>223</v>
      </c>
      <c r="E1693" t="s">
        <v>224</v>
      </c>
      <c r="M1693" s="19">
        <v>45190</v>
      </c>
      <c r="N1693" s="20"/>
      <c r="O1693" s="20"/>
    </row>
    <row r="1694" ht="15" customHeight="1">
      <c r="A1694" t="s">
        <v>3680</v>
      </c>
      <c r="B1694" t="s">
        <v>3681</v>
      </c>
      <c r="C1694" t="s">
        <v>222</v>
      </c>
      <c r="D1694" t="s">
        <v>223</v>
      </c>
      <c r="E1694" t="s">
        <v>224</v>
      </c>
      <c r="M1694" s="19">
        <v>45190</v>
      </c>
      <c r="N1694" s="20"/>
      <c r="O1694" s="20"/>
    </row>
    <row r="1695" ht="15" customHeight="1">
      <c r="A1695" t="s">
        <v>3682</v>
      </c>
      <c r="B1695" t="s">
        <v>3683</v>
      </c>
      <c r="C1695" t="s">
        <v>222</v>
      </c>
      <c r="D1695" t="s">
        <v>223</v>
      </c>
      <c r="E1695" t="s">
        <v>224</v>
      </c>
      <c r="M1695" s="19">
        <v>45190</v>
      </c>
      <c r="N1695" s="20"/>
      <c r="O1695" s="20"/>
    </row>
    <row r="1696" ht="15" customHeight="1">
      <c r="A1696" t="s">
        <v>3684</v>
      </c>
      <c r="B1696" t="s">
        <v>3685</v>
      </c>
      <c r="C1696" s="23" t="s">
        <v>309</v>
      </c>
      <c r="D1696" t="s">
        <v>232</v>
      </c>
      <c r="E1696" t="s">
        <v>233</v>
      </c>
      <c r="M1696" s="19">
        <v>45190</v>
      </c>
      <c r="N1696" s="20"/>
      <c r="O1696" s="20"/>
    </row>
    <row r="1697" ht="15" customHeight="1">
      <c r="A1697" t="s">
        <v>3686</v>
      </c>
      <c r="B1697" t="s">
        <v>3687</v>
      </c>
      <c r="C1697" s="21" t="s">
        <v>227</v>
      </c>
      <c r="D1697" t="s">
        <v>228</v>
      </c>
      <c r="E1697" t="s">
        <v>229</v>
      </c>
      <c r="G1697" t="s">
        <v>1053</v>
      </c>
      <c r="M1697" s="19">
        <v>45189</v>
      </c>
      <c r="N1697" s="20"/>
      <c r="O1697" s="20"/>
    </row>
    <row r="1698" ht="15" customHeight="1">
      <c r="A1698" t="s">
        <v>3688</v>
      </c>
      <c r="B1698" t="s">
        <v>3689</v>
      </c>
      <c r="C1698" s="21" t="s">
        <v>227</v>
      </c>
      <c r="D1698" t="s">
        <v>232</v>
      </c>
      <c r="E1698" t="s">
        <v>233</v>
      </c>
      <c r="G1698" t="s">
        <v>844</v>
      </c>
      <c r="M1698" s="19">
        <v>45189</v>
      </c>
      <c r="N1698" s="19">
        <v>45262</v>
      </c>
      <c r="O1698" s="20"/>
    </row>
    <row r="1699" ht="15" customHeight="1">
      <c r="A1699" t="s">
        <v>3690</v>
      </c>
      <c r="B1699" t="s">
        <v>3691</v>
      </c>
      <c r="C1699" s="23" t="s">
        <v>309</v>
      </c>
      <c r="D1699" t="s">
        <v>232</v>
      </c>
      <c r="E1699" t="s">
        <v>233</v>
      </c>
      <c r="M1699" s="19">
        <v>45189</v>
      </c>
      <c r="N1699" s="20"/>
      <c r="O1699" s="20"/>
    </row>
    <row r="1700" ht="15" customHeight="1">
      <c r="A1700" t="s">
        <v>3692</v>
      </c>
      <c r="B1700" t="s">
        <v>3693</v>
      </c>
      <c r="C1700" s="21" t="s">
        <v>227</v>
      </c>
      <c r="D1700" t="s">
        <v>232</v>
      </c>
      <c r="E1700" t="s">
        <v>233</v>
      </c>
      <c r="G1700" t="s">
        <v>144</v>
      </c>
      <c r="M1700" s="19">
        <v>45189</v>
      </c>
      <c r="N1700" s="20"/>
      <c r="O1700" s="20"/>
    </row>
    <row r="1701" ht="15" customHeight="1">
      <c r="A1701" t="s">
        <v>3694</v>
      </c>
      <c r="B1701" t="s">
        <v>3679</v>
      </c>
      <c r="C1701" t="s">
        <v>1057</v>
      </c>
      <c r="D1701" t="s">
        <v>223</v>
      </c>
      <c r="E1701" t="s">
        <v>224</v>
      </c>
      <c r="M1701" s="19">
        <v>45189</v>
      </c>
      <c r="N1701" s="20"/>
      <c r="O1701" s="20"/>
    </row>
    <row r="1702" ht="15" customHeight="1">
      <c r="A1702" t="s">
        <v>3695</v>
      </c>
      <c r="B1702" t="s">
        <v>3696</v>
      </c>
      <c r="C1702" s="23" t="s">
        <v>309</v>
      </c>
      <c r="D1702" t="s">
        <v>232</v>
      </c>
      <c r="E1702" t="s">
        <v>233</v>
      </c>
      <c r="M1702" s="19">
        <v>45189</v>
      </c>
      <c r="N1702" s="20"/>
      <c r="O1702" s="20"/>
    </row>
    <row r="1703" ht="15" customHeight="1">
      <c r="A1703" t="s">
        <v>3697</v>
      </c>
      <c r="B1703" t="s">
        <v>3698</v>
      </c>
      <c r="C1703" s="23" t="s">
        <v>309</v>
      </c>
      <c r="D1703" t="s">
        <v>232</v>
      </c>
      <c r="E1703" t="s">
        <v>233</v>
      </c>
      <c r="M1703" s="19">
        <v>45189</v>
      </c>
      <c r="N1703" s="20"/>
      <c r="O1703" s="20"/>
    </row>
    <row r="1704" ht="15" customHeight="1">
      <c r="A1704" t="s">
        <v>3699</v>
      </c>
      <c r="B1704" t="s">
        <v>3700</v>
      </c>
      <c r="C1704" s="23" t="s">
        <v>309</v>
      </c>
      <c r="D1704" t="s">
        <v>232</v>
      </c>
      <c r="E1704" t="s">
        <v>233</v>
      </c>
      <c r="M1704" s="19">
        <v>45189</v>
      </c>
      <c r="N1704" s="20"/>
      <c r="O1704" s="20"/>
    </row>
    <row r="1705" ht="15" customHeight="1">
      <c r="A1705" t="s">
        <v>3701</v>
      </c>
      <c r="B1705" t="s">
        <v>3702</v>
      </c>
      <c r="C1705" s="23" t="s">
        <v>309</v>
      </c>
      <c r="D1705" t="s">
        <v>228</v>
      </c>
      <c r="E1705" t="s">
        <v>229</v>
      </c>
      <c r="M1705" s="19">
        <v>45189</v>
      </c>
      <c r="N1705" s="20"/>
      <c r="O1705" s="20"/>
    </row>
    <row r="1706" ht="15" customHeight="1">
      <c r="A1706" t="s">
        <v>3703</v>
      </c>
      <c r="B1706" t="s">
        <v>3704</v>
      </c>
      <c r="C1706" s="23" t="s">
        <v>309</v>
      </c>
      <c r="D1706" t="s">
        <v>232</v>
      </c>
      <c r="E1706" t="s">
        <v>233</v>
      </c>
      <c r="M1706" s="19">
        <v>45189</v>
      </c>
      <c r="N1706" s="20"/>
      <c r="O1706" s="20"/>
    </row>
    <row r="1707" ht="15" customHeight="1">
      <c r="A1707" t="s">
        <v>3705</v>
      </c>
      <c r="B1707" t="s">
        <v>3706</v>
      </c>
      <c r="C1707" s="23" t="s">
        <v>309</v>
      </c>
      <c r="D1707" t="s">
        <v>232</v>
      </c>
      <c r="E1707" t="s">
        <v>233</v>
      </c>
      <c r="M1707" s="19">
        <v>45189</v>
      </c>
      <c r="N1707" s="20"/>
      <c r="O1707" s="20"/>
    </row>
    <row r="1708" ht="15" customHeight="1">
      <c r="A1708" t="s">
        <v>3707</v>
      </c>
      <c r="B1708" t="s">
        <v>3708</v>
      </c>
      <c r="C1708" t="s">
        <v>1470</v>
      </c>
      <c r="D1708" t="s">
        <v>228</v>
      </c>
      <c r="E1708" t="s">
        <v>229</v>
      </c>
      <c r="H1708">
        <v>2</v>
      </c>
      <c r="M1708" s="19">
        <v>45189</v>
      </c>
      <c r="N1708" s="20"/>
      <c r="O1708" s="20"/>
    </row>
    <row r="1709" ht="15" customHeight="1">
      <c r="A1709" t="s">
        <v>3709</v>
      </c>
      <c r="B1709" t="s">
        <v>3710</v>
      </c>
      <c r="C1709" s="23" t="s">
        <v>309</v>
      </c>
      <c r="D1709" t="s">
        <v>232</v>
      </c>
      <c r="E1709" t="s">
        <v>233</v>
      </c>
      <c r="K1709" t="s">
        <v>815</v>
      </c>
      <c r="M1709" s="19">
        <v>45188</v>
      </c>
      <c r="N1709" s="20"/>
      <c r="O1709" s="20"/>
    </row>
    <row r="1710" ht="15" customHeight="1">
      <c r="A1710" t="s">
        <v>3711</v>
      </c>
      <c r="B1710" t="s">
        <v>3712</v>
      </c>
      <c r="C1710" s="23" t="s">
        <v>309</v>
      </c>
      <c r="D1710" t="s">
        <v>250</v>
      </c>
      <c r="E1710" t="s">
        <v>251</v>
      </c>
      <c r="M1710" s="19">
        <v>45187</v>
      </c>
      <c r="N1710" s="19">
        <v>45210</v>
      </c>
      <c r="O1710" s="20"/>
    </row>
    <row r="1711" ht="15" customHeight="1">
      <c r="A1711" t="s">
        <v>3713</v>
      </c>
      <c r="B1711" t="s">
        <v>3714</v>
      </c>
      <c r="C1711" s="21" t="s">
        <v>227</v>
      </c>
      <c r="D1711" t="s">
        <v>813</v>
      </c>
      <c r="E1711" t="s">
        <v>814</v>
      </c>
      <c r="M1711" s="19">
        <v>45187</v>
      </c>
      <c r="N1711" s="20"/>
      <c r="O1711" s="20"/>
    </row>
    <row r="1712" ht="15" customHeight="1">
      <c r="A1712" t="s">
        <v>3715</v>
      </c>
      <c r="B1712" t="s">
        <v>3716</v>
      </c>
      <c r="C1712" s="23" t="s">
        <v>309</v>
      </c>
      <c r="D1712" t="s">
        <v>228</v>
      </c>
      <c r="E1712" t="s">
        <v>229</v>
      </c>
      <c r="M1712" s="19">
        <v>45187</v>
      </c>
      <c r="N1712" s="20"/>
      <c r="O1712" s="20"/>
    </row>
    <row r="1713" ht="15" customHeight="1">
      <c r="A1713" t="s">
        <v>3717</v>
      </c>
      <c r="B1713" t="s">
        <v>3718</v>
      </c>
      <c r="C1713" t="s">
        <v>1470</v>
      </c>
      <c r="D1713" t="s">
        <v>228</v>
      </c>
      <c r="E1713" t="s">
        <v>229</v>
      </c>
      <c r="M1713" s="19">
        <v>45187</v>
      </c>
      <c r="N1713" s="20"/>
      <c r="O1713" s="20"/>
    </row>
    <row r="1714" ht="15" customHeight="1">
      <c r="A1714" t="s">
        <v>3719</v>
      </c>
      <c r="B1714" t="s">
        <v>3720</v>
      </c>
      <c r="C1714" t="s">
        <v>1470</v>
      </c>
      <c r="D1714" t="s">
        <v>232</v>
      </c>
      <c r="E1714" t="s">
        <v>233</v>
      </c>
      <c r="H1714">
        <v>2</v>
      </c>
      <c r="M1714" s="19">
        <v>45187</v>
      </c>
      <c r="N1714" s="20"/>
      <c r="O1714" s="20"/>
    </row>
    <row r="1715" ht="15" customHeight="1">
      <c r="A1715" t="s">
        <v>3721</v>
      </c>
      <c r="B1715" t="s">
        <v>3722</v>
      </c>
      <c r="C1715" t="s">
        <v>1470</v>
      </c>
      <c r="D1715" t="s">
        <v>232</v>
      </c>
      <c r="E1715" t="s">
        <v>233</v>
      </c>
      <c r="M1715" s="19">
        <v>45184</v>
      </c>
      <c r="N1715" s="20"/>
      <c r="O1715" s="20"/>
    </row>
    <row r="1716" ht="15" customHeight="1">
      <c r="A1716" t="s">
        <v>3723</v>
      </c>
      <c r="B1716" t="s">
        <v>3724</v>
      </c>
      <c r="C1716" s="23" t="s">
        <v>309</v>
      </c>
      <c r="D1716" t="s">
        <v>228</v>
      </c>
      <c r="E1716" t="s">
        <v>229</v>
      </c>
      <c r="M1716" s="19">
        <v>45184</v>
      </c>
      <c r="N1716" s="20"/>
      <c r="O1716" s="20"/>
    </row>
    <row r="1717" ht="15" customHeight="1">
      <c r="A1717" t="s">
        <v>3725</v>
      </c>
      <c r="B1717" t="s">
        <v>3726</v>
      </c>
      <c r="C1717" s="21" t="s">
        <v>227</v>
      </c>
      <c r="D1717" t="s">
        <v>813</v>
      </c>
      <c r="E1717" t="s">
        <v>814</v>
      </c>
      <c r="M1717" s="19">
        <v>45182</v>
      </c>
      <c r="N1717" s="20"/>
      <c r="O1717" s="20"/>
    </row>
    <row r="1718" ht="15" customHeight="1">
      <c r="A1718" t="s">
        <v>3727</v>
      </c>
      <c r="B1718" t="s">
        <v>3728</v>
      </c>
      <c r="C1718" t="s">
        <v>1470</v>
      </c>
      <c r="D1718" t="s">
        <v>232</v>
      </c>
      <c r="E1718" t="s">
        <v>233</v>
      </c>
      <c r="M1718" s="19">
        <v>45182</v>
      </c>
      <c r="N1718" s="20"/>
      <c r="O1718" s="20"/>
    </row>
    <row r="1719" ht="15" customHeight="1">
      <c r="A1719" t="s">
        <v>3729</v>
      </c>
      <c r="B1719" t="s">
        <v>3730</v>
      </c>
      <c r="C1719" s="21" t="s">
        <v>227</v>
      </c>
      <c r="D1719" t="s">
        <v>813</v>
      </c>
      <c r="E1719" t="s">
        <v>814</v>
      </c>
      <c r="M1719" s="19">
        <v>45182</v>
      </c>
      <c r="N1719" s="20"/>
      <c r="O1719" s="20"/>
    </row>
    <row r="1720" ht="15" customHeight="1">
      <c r="A1720" t="s">
        <v>3731</v>
      </c>
      <c r="B1720" t="s">
        <v>3732</v>
      </c>
      <c r="C1720" s="21" t="s">
        <v>227</v>
      </c>
      <c r="D1720" t="s">
        <v>250</v>
      </c>
      <c r="E1720" t="s">
        <v>251</v>
      </c>
      <c r="M1720" s="19">
        <v>45181</v>
      </c>
      <c r="N1720" s="20"/>
      <c r="O1720" s="20"/>
    </row>
    <row r="1721" ht="15" customHeight="1">
      <c r="A1721" t="s">
        <v>3733</v>
      </c>
      <c r="B1721" t="s">
        <v>3734</v>
      </c>
      <c r="C1721" s="23" t="s">
        <v>309</v>
      </c>
      <c r="D1721" t="s">
        <v>813</v>
      </c>
      <c r="E1721" t="s">
        <v>814</v>
      </c>
      <c r="K1721" t="s">
        <v>2927</v>
      </c>
      <c r="L1721" t="s">
        <v>3663</v>
      </c>
      <c r="M1721" s="19">
        <v>45181</v>
      </c>
      <c r="N1721" s="19">
        <v>45189</v>
      </c>
      <c r="O1721" s="20"/>
    </row>
    <row r="1722" ht="15" customHeight="1">
      <c r="A1722" t="s">
        <v>3735</v>
      </c>
      <c r="B1722" t="s">
        <v>3736</v>
      </c>
      <c r="C1722" t="s">
        <v>1470</v>
      </c>
      <c r="D1722" t="s">
        <v>232</v>
      </c>
      <c r="E1722" t="s">
        <v>233</v>
      </c>
      <c r="H1722">
        <v>5</v>
      </c>
      <c r="M1722" s="19">
        <v>45180</v>
      </c>
      <c r="N1722" s="19">
        <v>45218</v>
      </c>
      <c r="O1722" s="20"/>
    </row>
    <row r="1723" ht="15" customHeight="1">
      <c r="A1723" t="s">
        <v>3737</v>
      </c>
      <c r="B1723" t="s">
        <v>3738</v>
      </c>
      <c r="C1723" s="22" t="s">
        <v>55</v>
      </c>
      <c r="D1723" t="s">
        <v>223</v>
      </c>
      <c r="E1723" t="s">
        <v>224</v>
      </c>
      <c r="M1723" s="19">
        <v>45176</v>
      </c>
      <c r="N1723" s="20"/>
      <c r="O1723" s="20"/>
    </row>
    <row r="1724" ht="15" customHeight="1">
      <c r="A1724" t="s">
        <v>3739</v>
      </c>
      <c r="B1724" t="s">
        <v>3740</v>
      </c>
      <c r="C1724" s="22" t="s">
        <v>55</v>
      </c>
      <c r="D1724" t="s">
        <v>223</v>
      </c>
      <c r="E1724" t="s">
        <v>224</v>
      </c>
      <c r="M1724" s="19">
        <v>45176</v>
      </c>
      <c r="N1724" s="20"/>
      <c r="O1724" s="20"/>
    </row>
    <row r="1725" ht="15" customHeight="1">
      <c r="A1725" t="s">
        <v>3741</v>
      </c>
      <c r="B1725" t="s">
        <v>3603</v>
      </c>
      <c r="C1725" t="s">
        <v>1057</v>
      </c>
      <c r="D1725" t="s">
        <v>223</v>
      </c>
      <c r="E1725" t="s">
        <v>224</v>
      </c>
      <c r="M1725" s="19">
        <v>45176</v>
      </c>
      <c r="N1725" s="20"/>
      <c r="O1725" s="20"/>
    </row>
    <row r="1726" ht="15" customHeight="1">
      <c r="A1726" t="s">
        <v>3742</v>
      </c>
      <c r="B1726" t="s">
        <v>3743</v>
      </c>
      <c r="C1726" s="23" t="s">
        <v>309</v>
      </c>
      <c r="D1726" t="s">
        <v>232</v>
      </c>
      <c r="E1726" t="s">
        <v>233</v>
      </c>
      <c r="M1726" s="19">
        <v>45175</v>
      </c>
      <c r="N1726" s="20"/>
      <c r="O1726" s="20"/>
    </row>
    <row r="1727" ht="15" customHeight="1">
      <c r="A1727" t="s">
        <v>3744</v>
      </c>
      <c r="B1727" t="s">
        <v>3745</v>
      </c>
      <c r="C1727" s="23" t="s">
        <v>309</v>
      </c>
      <c r="D1727" t="s">
        <v>232</v>
      </c>
      <c r="E1727" t="s">
        <v>233</v>
      </c>
      <c r="H1727">
        <v>3</v>
      </c>
      <c r="K1727" t="s">
        <v>3314</v>
      </c>
      <c r="M1727" s="19">
        <v>45175</v>
      </c>
      <c r="N1727" s="20"/>
      <c r="O1727" s="20"/>
    </row>
    <row r="1728" ht="15" customHeight="1">
      <c r="A1728" t="s">
        <v>3746</v>
      </c>
      <c r="B1728" t="s">
        <v>3747</v>
      </c>
      <c r="C1728" s="23" t="s">
        <v>309</v>
      </c>
      <c r="D1728" t="s">
        <v>813</v>
      </c>
      <c r="E1728" t="s">
        <v>814</v>
      </c>
      <c r="H1728">
        <v>3</v>
      </c>
      <c r="K1728" t="s">
        <v>815</v>
      </c>
      <c r="M1728" s="19">
        <v>45175</v>
      </c>
      <c r="N1728" s="20"/>
      <c r="O1728" s="20"/>
    </row>
    <row r="1729" ht="15" customHeight="1">
      <c r="A1729" t="s">
        <v>3748</v>
      </c>
      <c r="B1729" t="s">
        <v>3749</v>
      </c>
      <c r="C1729" s="21" t="s">
        <v>227</v>
      </c>
      <c r="D1729" t="s">
        <v>813</v>
      </c>
      <c r="E1729" t="s">
        <v>814</v>
      </c>
      <c r="M1729" s="19">
        <v>45174</v>
      </c>
      <c r="N1729" s="20"/>
      <c r="O1729" s="20"/>
    </row>
    <row r="1730" ht="15" customHeight="1">
      <c r="A1730" t="s">
        <v>3750</v>
      </c>
      <c r="B1730" t="s">
        <v>3751</v>
      </c>
      <c r="C1730" s="23" t="s">
        <v>309</v>
      </c>
      <c r="D1730" t="s">
        <v>232</v>
      </c>
      <c r="E1730" t="s">
        <v>233</v>
      </c>
      <c r="M1730" s="19">
        <v>45174</v>
      </c>
      <c r="N1730" s="19">
        <v>45218</v>
      </c>
      <c r="O1730" s="20"/>
    </row>
    <row r="1731" ht="15" customHeight="1">
      <c r="A1731" t="s">
        <v>3752</v>
      </c>
      <c r="B1731" t="s">
        <v>3753</v>
      </c>
      <c r="C1731" s="23" t="s">
        <v>309</v>
      </c>
      <c r="D1731" t="s">
        <v>232</v>
      </c>
      <c r="E1731" t="s">
        <v>233</v>
      </c>
      <c r="M1731" s="19">
        <v>45174</v>
      </c>
      <c r="N1731" s="19">
        <v>45218</v>
      </c>
      <c r="O1731" s="20"/>
    </row>
    <row r="1732" ht="15" customHeight="1">
      <c r="A1732" t="s">
        <v>3754</v>
      </c>
      <c r="B1732" t="s">
        <v>3755</v>
      </c>
      <c r="C1732" s="23" t="s">
        <v>309</v>
      </c>
      <c r="D1732" t="s">
        <v>232</v>
      </c>
      <c r="E1732" t="s">
        <v>233</v>
      </c>
      <c r="M1732" s="19">
        <v>45174</v>
      </c>
      <c r="N1732" s="19">
        <v>45218</v>
      </c>
      <c r="O1732" s="20"/>
    </row>
    <row r="1733" ht="15" customHeight="1">
      <c r="A1733" t="s">
        <v>3756</v>
      </c>
      <c r="B1733" t="s">
        <v>3757</v>
      </c>
      <c r="C1733" s="23" t="s">
        <v>309</v>
      </c>
      <c r="D1733" t="s">
        <v>232</v>
      </c>
      <c r="E1733" t="s">
        <v>233</v>
      </c>
      <c r="M1733" s="19">
        <v>45174</v>
      </c>
      <c r="N1733" s="20"/>
      <c r="O1733" s="20"/>
    </row>
    <row r="1734" ht="15" customHeight="1">
      <c r="A1734" t="s">
        <v>3758</v>
      </c>
      <c r="B1734" t="s">
        <v>3759</v>
      </c>
      <c r="C1734" t="s">
        <v>1470</v>
      </c>
      <c r="D1734" t="s">
        <v>232</v>
      </c>
      <c r="E1734" t="s">
        <v>233</v>
      </c>
      <c r="M1734" s="19">
        <v>45169</v>
      </c>
      <c r="N1734" s="20"/>
      <c r="O1734" s="20"/>
    </row>
    <row r="1735" ht="15" customHeight="1">
      <c r="A1735" t="s">
        <v>3760</v>
      </c>
      <c r="B1735" t="s">
        <v>3761</v>
      </c>
      <c r="C1735" t="s">
        <v>1057</v>
      </c>
      <c r="D1735" t="s">
        <v>223</v>
      </c>
      <c r="E1735" t="s">
        <v>224</v>
      </c>
      <c r="L1735" t="s">
        <v>3149</v>
      </c>
      <c r="M1735" s="19">
        <v>45168</v>
      </c>
      <c r="N1735" s="20"/>
      <c r="O1735" s="20"/>
    </row>
    <row r="1736" ht="15" customHeight="1">
      <c r="A1736" t="s">
        <v>3762</v>
      </c>
      <c r="B1736" t="s">
        <v>3763</v>
      </c>
      <c r="C1736" t="s">
        <v>1470</v>
      </c>
      <c r="D1736" t="s">
        <v>232</v>
      </c>
      <c r="E1736" t="s">
        <v>233</v>
      </c>
      <c r="H1736">
        <v>3</v>
      </c>
      <c r="L1736" t="s">
        <v>3764</v>
      </c>
      <c r="M1736" s="19">
        <v>45167</v>
      </c>
      <c r="N1736" s="19">
        <v>45190</v>
      </c>
      <c r="O1736" s="20"/>
    </row>
    <row r="1737" ht="15" customHeight="1">
      <c r="A1737" t="s">
        <v>3765</v>
      </c>
      <c r="B1737" t="s">
        <v>3766</v>
      </c>
      <c r="C1737" s="23" t="s">
        <v>309</v>
      </c>
      <c r="D1737" t="s">
        <v>232</v>
      </c>
      <c r="E1737" t="s">
        <v>233</v>
      </c>
      <c r="H1737">
        <v>3</v>
      </c>
      <c r="K1737" t="s">
        <v>3359</v>
      </c>
      <c r="M1737" s="19">
        <v>45163</v>
      </c>
      <c r="N1737" s="20"/>
      <c r="O1737" s="20"/>
    </row>
    <row r="1738" ht="15" customHeight="1">
      <c r="A1738" t="s">
        <v>3767</v>
      </c>
      <c r="B1738" t="s">
        <v>3768</v>
      </c>
      <c r="C1738" t="s">
        <v>1057</v>
      </c>
      <c r="D1738" t="s">
        <v>223</v>
      </c>
      <c r="E1738" t="s">
        <v>224</v>
      </c>
      <c r="L1738" t="s">
        <v>3149</v>
      </c>
      <c r="M1738" s="19">
        <v>45163</v>
      </c>
      <c r="N1738" s="20"/>
      <c r="O1738" s="20"/>
    </row>
    <row r="1739" ht="15" customHeight="1">
      <c r="A1739" t="s">
        <v>3769</v>
      </c>
      <c r="B1739" t="s">
        <v>3770</v>
      </c>
      <c r="C1739" s="23" t="s">
        <v>309</v>
      </c>
      <c r="D1739" t="s">
        <v>232</v>
      </c>
      <c r="E1739" t="s">
        <v>233</v>
      </c>
      <c r="M1739" s="19">
        <v>45162</v>
      </c>
      <c r="N1739" s="20"/>
      <c r="O1739" s="20"/>
    </row>
    <row r="1740" ht="15" customHeight="1">
      <c r="A1740" t="s">
        <v>3771</v>
      </c>
      <c r="B1740" t="s">
        <v>3772</v>
      </c>
      <c r="C1740" s="23" t="s">
        <v>309</v>
      </c>
      <c r="D1740" t="s">
        <v>813</v>
      </c>
      <c r="E1740" t="s">
        <v>814</v>
      </c>
      <c r="H1740">
        <v>1</v>
      </c>
      <c r="K1740" t="s">
        <v>3773</v>
      </c>
      <c r="L1740" t="s">
        <v>3663</v>
      </c>
      <c r="M1740" s="19">
        <v>45161</v>
      </c>
      <c r="N1740" s="19">
        <v>45189</v>
      </c>
      <c r="O1740" s="20"/>
    </row>
    <row r="1741" ht="15" customHeight="1">
      <c r="A1741" t="s">
        <v>3774</v>
      </c>
      <c r="B1741" t="s">
        <v>3775</v>
      </c>
      <c r="C1741" s="23" t="s">
        <v>309</v>
      </c>
      <c r="D1741" t="s">
        <v>250</v>
      </c>
      <c r="E1741" t="s">
        <v>251</v>
      </c>
      <c r="M1741" s="19">
        <v>45161</v>
      </c>
      <c r="N1741" s="19">
        <v>45196</v>
      </c>
      <c r="O1741" s="19">
        <v>45280</v>
      </c>
    </row>
    <row r="1742" ht="15" customHeight="1">
      <c r="A1742" t="s">
        <v>3776</v>
      </c>
      <c r="B1742" t="s">
        <v>3777</v>
      </c>
      <c r="C1742" t="s">
        <v>1057</v>
      </c>
      <c r="D1742" t="s">
        <v>223</v>
      </c>
      <c r="E1742" t="s">
        <v>224</v>
      </c>
      <c r="M1742" s="19">
        <v>45160</v>
      </c>
      <c r="N1742" s="20"/>
      <c r="O1742" s="20"/>
    </row>
    <row r="1743" ht="15" customHeight="1">
      <c r="A1743" t="s">
        <v>3778</v>
      </c>
      <c r="B1743" t="s">
        <v>3779</v>
      </c>
      <c r="C1743" t="s">
        <v>1057</v>
      </c>
      <c r="D1743" t="s">
        <v>223</v>
      </c>
      <c r="E1743" t="s">
        <v>224</v>
      </c>
      <c r="L1743" t="s">
        <v>3780</v>
      </c>
      <c r="M1743" s="19">
        <v>45160</v>
      </c>
      <c r="N1743" s="20"/>
      <c r="O1743" s="20"/>
    </row>
    <row r="1744" ht="15" customHeight="1">
      <c r="A1744" t="s">
        <v>3781</v>
      </c>
      <c r="B1744" t="s">
        <v>3782</v>
      </c>
      <c r="C1744" t="s">
        <v>1470</v>
      </c>
      <c r="D1744" t="s">
        <v>232</v>
      </c>
      <c r="E1744" t="s">
        <v>233</v>
      </c>
      <c r="M1744" s="19">
        <v>45159</v>
      </c>
      <c r="N1744" s="20"/>
      <c r="O1744" s="20"/>
    </row>
    <row r="1745" ht="15" customHeight="1">
      <c r="A1745" t="s">
        <v>3783</v>
      </c>
      <c r="B1745" t="s">
        <v>3784</v>
      </c>
      <c r="C1745" s="21" t="s">
        <v>227</v>
      </c>
      <c r="D1745" t="s">
        <v>282</v>
      </c>
      <c r="E1745" t="s">
        <v>283</v>
      </c>
      <c r="K1745" t="s">
        <v>3785</v>
      </c>
      <c r="M1745" s="19">
        <v>45159</v>
      </c>
      <c r="N1745" s="20"/>
      <c r="O1745" s="20"/>
    </row>
    <row r="1746" ht="15" customHeight="1">
      <c r="A1746" t="s">
        <v>3786</v>
      </c>
      <c r="B1746" t="s">
        <v>3787</v>
      </c>
      <c r="C1746" s="23" t="s">
        <v>309</v>
      </c>
      <c r="D1746" t="s">
        <v>232</v>
      </c>
      <c r="E1746" t="s">
        <v>233</v>
      </c>
      <c r="H1746">
        <v>2</v>
      </c>
      <c r="M1746" s="19">
        <v>45156</v>
      </c>
      <c r="N1746" s="20"/>
      <c r="O1746" s="20"/>
    </row>
    <row r="1747" ht="15" customHeight="1">
      <c r="A1747" t="s">
        <v>3788</v>
      </c>
      <c r="B1747" t="s">
        <v>3789</v>
      </c>
      <c r="C1747" s="24" t="s">
        <v>322</v>
      </c>
      <c r="D1747" t="s">
        <v>813</v>
      </c>
      <c r="E1747" t="s">
        <v>814</v>
      </c>
      <c r="K1747" t="s">
        <v>2927</v>
      </c>
      <c r="L1747" t="s">
        <v>3790</v>
      </c>
      <c r="M1747" s="19">
        <v>45155</v>
      </c>
      <c r="N1747" s="19">
        <v>45161</v>
      </c>
      <c r="O1747" s="20"/>
    </row>
    <row r="1748" ht="15" customHeight="1">
      <c r="A1748" t="s">
        <v>3791</v>
      </c>
      <c r="B1748" t="s">
        <v>3792</v>
      </c>
      <c r="C1748" s="23" t="s">
        <v>309</v>
      </c>
      <c r="D1748" t="s">
        <v>250</v>
      </c>
      <c r="E1748" t="s">
        <v>251</v>
      </c>
      <c r="M1748" s="19">
        <v>45155</v>
      </c>
      <c r="N1748" s="19">
        <v>45196</v>
      </c>
      <c r="O1748" s="20"/>
    </row>
    <row r="1749" ht="15" customHeight="1">
      <c r="A1749" t="s">
        <v>3793</v>
      </c>
      <c r="B1749" t="s">
        <v>3794</v>
      </c>
      <c r="C1749" s="21" t="s">
        <v>227</v>
      </c>
      <c r="D1749" t="s">
        <v>250</v>
      </c>
      <c r="E1749" t="s">
        <v>251</v>
      </c>
      <c r="M1749" s="19">
        <v>45155</v>
      </c>
      <c r="N1749" s="20"/>
      <c r="O1749" s="20"/>
    </row>
    <row r="1750" ht="15" customHeight="1">
      <c r="A1750" t="s">
        <v>3795</v>
      </c>
      <c r="B1750" t="s">
        <v>3796</v>
      </c>
      <c r="C1750" t="s">
        <v>1470</v>
      </c>
      <c r="D1750" t="s">
        <v>232</v>
      </c>
      <c r="E1750" t="s">
        <v>233</v>
      </c>
      <c r="M1750" s="19">
        <v>45154</v>
      </c>
      <c r="N1750" s="20"/>
      <c r="O1750" s="20"/>
    </row>
    <row r="1751" ht="15" customHeight="1">
      <c r="A1751" t="s">
        <v>3797</v>
      </c>
      <c r="B1751" t="s">
        <v>3798</v>
      </c>
      <c r="C1751" s="21" t="s">
        <v>227</v>
      </c>
      <c r="D1751" t="s">
        <v>282</v>
      </c>
      <c r="E1751" t="s">
        <v>283</v>
      </c>
      <c r="K1751" t="s">
        <v>3415</v>
      </c>
      <c r="M1751" s="19">
        <v>45154</v>
      </c>
      <c r="N1751" s="20"/>
      <c r="O1751" s="20"/>
    </row>
    <row r="1752" ht="15" customHeight="1">
      <c r="A1752" t="s">
        <v>3799</v>
      </c>
      <c r="B1752" t="s">
        <v>3800</v>
      </c>
      <c r="C1752" s="21" t="s">
        <v>227</v>
      </c>
      <c r="D1752" t="s">
        <v>250</v>
      </c>
      <c r="E1752" t="s">
        <v>251</v>
      </c>
      <c r="M1752" s="19">
        <v>45152</v>
      </c>
      <c r="N1752" s="20"/>
      <c r="O1752" s="20"/>
    </row>
    <row r="1753" ht="15" customHeight="1">
      <c r="A1753" t="s">
        <v>3801</v>
      </c>
      <c r="B1753" t="s">
        <v>3802</v>
      </c>
      <c r="C1753" s="21" t="s">
        <v>227</v>
      </c>
      <c r="D1753" t="s">
        <v>250</v>
      </c>
      <c r="E1753" t="s">
        <v>251</v>
      </c>
      <c r="M1753" s="19">
        <v>45152</v>
      </c>
      <c r="N1753" s="19">
        <v>45168</v>
      </c>
      <c r="O1753" s="20"/>
    </row>
    <row r="1754" ht="15" customHeight="1">
      <c r="A1754" t="s">
        <v>3803</v>
      </c>
      <c r="B1754" t="s">
        <v>3804</v>
      </c>
      <c r="C1754" s="22" t="s">
        <v>55</v>
      </c>
      <c r="D1754" t="s">
        <v>232</v>
      </c>
      <c r="E1754" t="s">
        <v>233</v>
      </c>
      <c r="M1754" s="19">
        <v>45152</v>
      </c>
      <c r="N1754" s="20"/>
      <c r="O1754" s="20"/>
    </row>
    <row r="1755" ht="15" customHeight="1">
      <c r="A1755" t="s">
        <v>3805</v>
      </c>
      <c r="B1755" t="s">
        <v>3806</v>
      </c>
      <c r="C1755" t="s">
        <v>1470</v>
      </c>
      <c r="D1755" t="s">
        <v>232</v>
      </c>
      <c r="E1755" t="s">
        <v>233</v>
      </c>
      <c r="M1755" s="19">
        <v>45149</v>
      </c>
      <c r="N1755" s="19">
        <v>45190</v>
      </c>
      <c r="O1755" s="20"/>
    </row>
    <row r="1756" ht="15" customHeight="1">
      <c r="A1756" t="s">
        <v>3807</v>
      </c>
      <c r="B1756" t="s">
        <v>3808</v>
      </c>
      <c r="C1756" s="22" t="s">
        <v>55</v>
      </c>
      <c r="D1756" t="s">
        <v>228</v>
      </c>
      <c r="E1756" t="s">
        <v>229</v>
      </c>
      <c r="H1756">
        <v>3</v>
      </c>
      <c r="K1756" t="s">
        <v>3809</v>
      </c>
      <c r="M1756" s="19">
        <v>45149</v>
      </c>
      <c r="N1756" s="20"/>
      <c r="O1756" s="20"/>
    </row>
    <row r="1757" ht="15" customHeight="1">
      <c r="A1757" t="s">
        <v>3810</v>
      </c>
      <c r="B1757" t="s">
        <v>3811</v>
      </c>
      <c r="C1757" s="23" t="s">
        <v>309</v>
      </c>
      <c r="D1757" t="s">
        <v>232</v>
      </c>
      <c r="E1757" t="s">
        <v>233</v>
      </c>
      <c r="M1757" s="19">
        <v>45148</v>
      </c>
      <c r="N1757" s="20"/>
      <c r="O1757" s="20"/>
    </row>
    <row r="1758" ht="15" customHeight="1">
      <c r="A1758" t="s">
        <v>3812</v>
      </c>
      <c r="B1758" t="s">
        <v>3813</v>
      </c>
      <c r="C1758" s="21" t="s">
        <v>227</v>
      </c>
      <c r="D1758" t="s">
        <v>250</v>
      </c>
      <c r="E1758" t="s">
        <v>251</v>
      </c>
      <c r="M1758" s="19">
        <v>45148</v>
      </c>
      <c r="N1758" s="20"/>
      <c r="O1758" s="20"/>
    </row>
    <row r="1759" ht="15" customHeight="1">
      <c r="A1759" t="s">
        <v>3814</v>
      </c>
      <c r="B1759" t="s">
        <v>3815</v>
      </c>
      <c r="C1759" s="23" t="s">
        <v>309</v>
      </c>
      <c r="D1759" t="s">
        <v>228</v>
      </c>
      <c r="E1759" t="s">
        <v>229</v>
      </c>
      <c r="H1759">
        <v>2</v>
      </c>
      <c r="K1759" t="s">
        <v>994</v>
      </c>
      <c r="M1759" s="19">
        <v>45147</v>
      </c>
      <c r="N1759" s="20"/>
      <c r="O1759" s="20"/>
    </row>
    <row r="1760" ht="15" customHeight="1">
      <c r="A1760" t="s">
        <v>3816</v>
      </c>
      <c r="B1760" t="s">
        <v>3817</v>
      </c>
      <c r="C1760" s="23" t="s">
        <v>309</v>
      </c>
      <c r="D1760" t="s">
        <v>228</v>
      </c>
      <c r="E1760" t="s">
        <v>229</v>
      </c>
      <c r="H1760">
        <v>5</v>
      </c>
      <c r="M1760" s="19">
        <v>45147</v>
      </c>
      <c r="N1760" s="20"/>
      <c r="O1760" s="20"/>
    </row>
    <row r="1761" ht="15" customHeight="1">
      <c r="A1761" t="s">
        <v>3818</v>
      </c>
      <c r="B1761" t="s">
        <v>3819</v>
      </c>
      <c r="C1761" s="23" t="s">
        <v>309</v>
      </c>
      <c r="D1761" t="s">
        <v>228</v>
      </c>
      <c r="E1761" t="s">
        <v>229</v>
      </c>
      <c r="H1761">
        <v>5</v>
      </c>
      <c r="M1761" s="19">
        <v>45147</v>
      </c>
      <c r="N1761" s="20"/>
      <c r="O1761" s="20"/>
    </row>
    <row r="1762" ht="15" customHeight="1">
      <c r="A1762" t="s">
        <v>3820</v>
      </c>
      <c r="B1762" t="s">
        <v>3821</v>
      </c>
      <c r="C1762" s="23" t="s">
        <v>309</v>
      </c>
      <c r="D1762" t="s">
        <v>228</v>
      </c>
      <c r="E1762" t="s">
        <v>229</v>
      </c>
      <c r="H1762">
        <v>8</v>
      </c>
      <c r="M1762" s="19">
        <v>45147</v>
      </c>
      <c r="N1762" s="20"/>
      <c r="O1762" s="20"/>
    </row>
    <row r="1763" ht="15" customHeight="1">
      <c r="A1763" t="s">
        <v>3822</v>
      </c>
      <c r="B1763" t="s">
        <v>3823</v>
      </c>
      <c r="C1763" s="23" t="s">
        <v>309</v>
      </c>
      <c r="D1763" t="s">
        <v>228</v>
      </c>
      <c r="E1763" t="s">
        <v>229</v>
      </c>
      <c r="H1763">
        <v>5</v>
      </c>
      <c r="M1763" s="19">
        <v>45147</v>
      </c>
      <c r="N1763" s="20"/>
      <c r="O1763" s="20"/>
    </row>
    <row r="1764" ht="15" customHeight="1">
      <c r="A1764" t="s">
        <v>3824</v>
      </c>
      <c r="B1764" t="s">
        <v>3825</v>
      </c>
      <c r="C1764" s="23" t="s">
        <v>309</v>
      </c>
      <c r="D1764" t="s">
        <v>228</v>
      </c>
      <c r="E1764" t="s">
        <v>229</v>
      </c>
      <c r="H1764">
        <v>8</v>
      </c>
      <c r="M1764" s="19">
        <v>45147</v>
      </c>
      <c r="N1764" s="20"/>
      <c r="O1764" s="20"/>
    </row>
    <row r="1765" ht="15" customHeight="1">
      <c r="A1765" t="s">
        <v>3826</v>
      </c>
      <c r="B1765" t="s">
        <v>3827</v>
      </c>
      <c r="C1765" s="24" t="s">
        <v>322</v>
      </c>
      <c r="D1765" t="s">
        <v>813</v>
      </c>
      <c r="E1765" t="s">
        <v>814</v>
      </c>
      <c r="H1765">
        <v>2</v>
      </c>
      <c r="K1765" t="s">
        <v>2927</v>
      </c>
      <c r="L1765" t="s">
        <v>3790</v>
      </c>
      <c r="M1765" s="19">
        <v>45147</v>
      </c>
      <c r="N1765" s="19">
        <v>45161</v>
      </c>
      <c r="O1765" s="20"/>
    </row>
    <row r="1766" ht="15" customHeight="1">
      <c r="A1766" t="s">
        <v>3828</v>
      </c>
      <c r="B1766" t="s">
        <v>3829</v>
      </c>
      <c r="C1766" s="21" t="s">
        <v>227</v>
      </c>
      <c r="D1766" t="s">
        <v>813</v>
      </c>
      <c r="E1766" t="s">
        <v>814</v>
      </c>
      <c r="M1766" s="19">
        <v>45146</v>
      </c>
      <c r="N1766" s="20"/>
      <c r="O1766" s="20"/>
    </row>
    <row r="1767" ht="15" customHeight="1">
      <c r="A1767" t="s">
        <v>3830</v>
      </c>
      <c r="B1767" t="s">
        <v>3831</v>
      </c>
      <c r="C1767" s="21" t="s">
        <v>227</v>
      </c>
      <c r="D1767" t="s">
        <v>813</v>
      </c>
      <c r="E1767" t="s">
        <v>814</v>
      </c>
      <c r="H1767">
        <v>2</v>
      </c>
      <c r="M1767" s="19">
        <v>45146</v>
      </c>
      <c r="N1767" s="20"/>
      <c r="O1767" s="20"/>
    </row>
    <row r="1768" ht="15" customHeight="1">
      <c r="A1768" t="s">
        <v>3832</v>
      </c>
      <c r="B1768" t="s">
        <v>3833</v>
      </c>
      <c r="C1768" s="23" t="s">
        <v>309</v>
      </c>
      <c r="D1768" t="s">
        <v>228</v>
      </c>
      <c r="E1768" t="s">
        <v>229</v>
      </c>
      <c r="M1768" s="19">
        <v>45142</v>
      </c>
      <c r="N1768" s="20"/>
      <c r="O1768" s="20"/>
    </row>
    <row r="1769" ht="15" customHeight="1">
      <c r="A1769" t="s">
        <v>3834</v>
      </c>
      <c r="B1769" t="s">
        <v>3835</v>
      </c>
      <c r="C1769" t="s">
        <v>1470</v>
      </c>
      <c r="D1769" t="s">
        <v>232</v>
      </c>
      <c r="E1769" t="s">
        <v>233</v>
      </c>
      <c r="M1769" s="19">
        <v>45141</v>
      </c>
      <c r="N1769" s="20"/>
      <c r="O1769" s="20"/>
    </row>
    <row r="1770" ht="15" customHeight="1">
      <c r="A1770" t="s">
        <v>3836</v>
      </c>
      <c r="B1770" t="s">
        <v>3837</v>
      </c>
      <c r="C1770" t="s">
        <v>1057</v>
      </c>
      <c r="D1770" t="s">
        <v>223</v>
      </c>
      <c r="E1770" t="s">
        <v>224</v>
      </c>
      <c r="M1770" s="19">
        <v>45140</v>
      </c>
      <c r="N1770" s="20"/>
      <c r="O1770" s="20"/>
    </row>
    <row r="1771" ht="15" customHeight="1">
      <c r="A1771" t="s">
        <v>3838</v>
      </c>
      <c r="B1771" t="s">
        <v>3839</v>
      </c>
      <c r="C1771" t="s">
        <v>1057</v>
      </c>
      <c r="D1771" t="s">
        <v>223</v>
      </c>
      <c r="E1771" t="s">
        <v>224</v>
      </c>
      <c r="M1771" s="19">
        <v>45140</v>
      </c>
      <c r="N1771" s="20"/>
      <c r="O1771" s="20"/>
    </row>
    <row r="1772" ht="15" customHeight="1">
      <c r="A1772" t="s">
        <v>3840</v>
      </c>
      <c r="B1772" t="s">
        <v>3841</v>
      </c>
      <c r="C1772" s="21" t="s">
        <v>227</v>
      </c>
      <c r="D1772" t="s">
        <v>250</v>
      </c>
      <c r="E1772" t="s">
        <v>251</v>
      </c>
      <c r="M1772" s="19">
        <v>45140</v>
      </c>
      <c r="N1772" s="20"/>
      <c r="O1772" s="20"/>
    </row>
    <row r="1773" ht="15" customHeight="1">
      <c r="A1773" t="s">
        <v>3842</v>
      </c>
      <c r="B1773" t="s">
        <v>3843</v>
      </c>
      <c r="C1773" s="21" t="s">
        <v>227</v>
      </c>
      <c r="D1773" t="s">
        <v>250</v>
      </c>
      <c r="E1773" t="s">
        <v>251</v>
      </c>
      <c r="M1773" s="19">
        <v>45140</v>
      </c>
      <c r="N1773" s="20"/>
      <c r="O1773" s="20"/>
    </row>
    <row r="1774" ht="15" customHeight="1">
      <c r="A1774" t="s">
        <v>3844</v>
      </c>
      <c r="B1774" t="s">
        <v>3845</v>
      </c>
      <c r="C1774" s="21" t="s">
        <v>227</v>
      </c>
      <c r="D1774" t="s">
        <v>250</v>
      </c>
      <c r="E1774" t="s">
        <v>251</v>
      </c>
      <c r="M1774" s="19">
        <v>45140</v>
      </c>
      <c r="N1774" s="20"/>
      <c r="O1774" s="20"/>
    </row>
    <row r="1775" ht="15" customHeight="1">
      <c r="A1775" t="s">
        <v>3846</v>
      </c>
      <c r="B1775" t="s">
        <v>3847</v>
      </c>
      <c r="C1775" t="s">
        <v>1470</v>
      </c>
      <c r="D1775" t="s">
        <v>232</v>
      </c>
      <c r="E1775" t="s">
        <v>233</v>
      </c>
      <c r="M1775" s="19">
        <v>45138</v>
      </c>
      <c r="N1775" s="20"/>
      <c r="O1775" s="20"/>
    </row>
    <row r="1776" ht="15" customHeight="1">
      <c r="A1776" t="s">
        <v>3848</v>
      </c>
      <c r="B1776" t="s">
        <v>3849</v>
      </c>
      <c r="C1776" s="21" t="s">
        <v>227</v>
      </c>
      <c r="D1776" t="s">
        <v>250</v>
      </c>
      <c r="E1776" t="s">
        <v>251</v>
      </c>
      <c r="M1776" s="19">
        <v>45135</v>
      </c>
      <c r="N1776" s="20"/>
      <c r="O1776" s="20"/>
    </row>
    <row r="1777" ht="15" customHeight="1">
      <c r="A1777" t="s">
        <v>3850</v>
      </c>
      <c r="B1777" t="s">
        <v>3851</v>
      </c>
      <c r="C1777" t="s">
        <v>1470</v>
      </c>
      <c r="D1777" t="s">
        <v>228</v>
      </c>
      <c r="E1777" t="s">
        <v>229</v>
      </c>
      <c r="M1777" s="19">
        <v>45135</v>
      </c>
      <c r="N1777" s="20"/>
      <c r="O1777" s="20"/>
    </row>
    <row r="1778" ht="15" customHeight="1">
      <c r="A1778" t="s">
        <v>3852</v>
      </c>
      <c r="B1778" t="s">
        <v>3853</v>
      </c>
      <c r="C1778" s="21" t="s">
        <v>227</v>
      </c>
      <c r="D1778" t="s">
        <v>250</v>
      </c>
      <c r="E1778" t="s">
        <v>251</v>
      </c>
      <c r="M1778" s="19">
        <v>45134</v>
      </c>
      <c r="N1778" s="20"/>
      <c r="O1778" s="20"/>
    </row>
    <row r="1779" ht="15" customHeight="1">
      <c r="A1779" t="s">
        <v>3854</v>
      </c>
      <c r="B1779" t="s">
        <v>3855</v>
      </c>
      <c r="C1779" t="s">
        <v>1470</v>
      </c>
      <c r="D1779" t="s">
        <v>232</v>
      </c>
      <c r="E1779" t="s">
        <v>233</v>
      </c>
      <c r="M1779" s="19">
        <v>45134</v>
      </c>
      <c r="N1779" s="19">
        <v>45218</v>
      </c>
      <c r="O1779" s="20"/>
    </row>
    <row r="1780" ht="15" customHeight="1">
      <c r="A1780" t="s">
        <v>3856</v>
      </c>
      <c r="B1780" t="s">
        <v>3857</v>
      </c>
      <c r="C1780" s="21" t="s">
        <v>227</v>
      </c>
      <c r="D1780" t="s">
        <v>250</v>
      </c>
      <c r="E1780" t="s">
        <v>251</v>
      </c>
      <c r="M1780" s="19">
        <v>45134</v>
      </c>
      <c r="N1780" s="19">
        <v>45168</v>
      </c>
      <c r="O1780" s="20"/>
    </row>
    <row r="1781" ht="15" customHeight="1">
      <c r="A1781" t="s">
        <v>3858</v>
      </c>
      <c r="B1781" t="s">
        <v>3859</v>
      </c>
      <c r="C1781" s="21" t="s">
        <v>227</v>
      </c>
      <c r="D1781" t="s">
        <v>250</v>
      </c>
      <c r="E1781" t="s">
        <v>251</v>
      </c>
      <c r="M1781" s="19">
        <v>45134</v>
      </c>
      <c r="N1781" s="19">
        <v>45168</v>
      </c>
      <c r="O1781" s="20"/>
    </row>
    <row r="1782" ht="15" customHeight="1">
      <c r="A1782" t="s">
        <v>3860</v>
      </c>
      <c r="B1782" t="s">
        <v>3861</v>
      </c>
      <c r="C1782" s="21" t="s">
        <v>227</v>
      </c>
      <c r="D1782" t="s">
        <v>250</v>
      </c>
      <c r="E1782" t="s">
        <v>251</v>
      </c>
      <c r="M1782" s="19">
        <v>45134</v>
      </c>
      <c r="N1782" s="20"/>
      <c r="O1782" s="20"/>
    </row>
    <row r="1783" ht="15" customHeight="1">
      <c r="A1783" t="s">
        <v>3862</v>
      </c>
      <c r="B1783" t="s">
        <v>3863</v>
      </c>
      <c r="C1783" s="21" t="s">
        <v>227</v>
      </c>
      <c r="D1783" t="s">
        <v>250</v>
      </c>
      <c r="E1783" t="s">
        <v>251</v>
      </c>
      <c r="M1783" s="19">
        <v>45134</v>
      </c>
      <c r="N1783" s="20"/>
      <c r="O1783" s="20"/>
    </row>
    <row r="1784" ht="15" customHeight="1">
      <c r="A1784" t="s">
        <v>3864</v>
      </c>
      <c r="B1784" t="s">
        <v>3865</v>
      </c>
      <c r="C1784" s="21" t="s">
        <v>227</v>
      </c>
      <c r="D1784" t="s">
        <v>250</v>
      </c>
      <c r="E1784" t="s">
        <v>251</v>
      </c>
      <c r="M1784" s="19">
        <v>45134</v>
      </c>
      <c r="N1784" s="20"/>
      <c r="O1784" s="20"/>
    </row>
    <row r="1785" ht="15" customHeight="1">
      <c r="A1785" t="s">
        <v>3866</v>
      </c>
      <c r="B1785" t="s">
        <v>3867</v>
      </c>
      <c r="C1785" t="s">
        <v>1470</v>
      </c>
      <c r="D1785" t="s">
        <v>228</v>
      </c>
      <c r="E1785" t="s">
        <v>229</v>
      </c>
      <c r="M1785" s="19">
        <v>45133</v>
      </c>
      <c r="N1785" s="20"/>
      <c r="O1785" s="20"/>
    </row>
    <row r="1786" ht="15" customHeight="1">
      <c r="A1786" t="s">
        <v>3868</v>
      </c>
      <c r="B1786" t="s">
        <v>3869</v>
      </c>
      <c r="C1786" s="21" t="s">
        <v>227</v>
      </c>
      <c r="D1786" t="s">
        <v>250</v>
      </c>
      <c r="E1786" t="s">
        <v>251</v>
      </c>
      <c r="M1786" s="19">
        <v>45133</v>
      </c>
      <c r="N1786" s="20"/>
      <c r="O1786" s="20"/>
    </row>
    <row r="1787" ht="15" customHeight="1">
      <c r="A1787" t="s">
        <v>3870</v>
      </c>
      <c r="B1787" t="s">
        <v>3871</v>
      </c>
      <c r="C1787" s="21" t="s">
        <v>227</v>
      </c>
      <c r="D1787" t="s">
        <v>813</v>
      </c>
      <c r="E1787" t="s">
        <v>814</v>
      </c>
      <c r="M1787" s="19">
        <v>45133</v>
      </c>
      <c r="N1787" s="20"/>
      <c r="O1787" s="20"/>
    </row>
    <row r="1788" ht="15" customHeight="1">
      <c r="A1788" t="s">
        <v>3872</v>
      </c>
      <c r="B1788" t="s">
        <v>3873</v>
      </c>
      <c r="C1788" t="s">
        <v>1470</v>
      </c>
      <c r="D1788" t="s">
        <v>232</v>
      </c>
      <c r="E1788" t="s">
        <v>233</v>
      </c>
      <c r="M1788" s="19">
        <v>45133</v>
      </c>
      <c r="N1788" s="20"/>
      <c r="O1788" s="20"/>
    </row>
    <row r="1789" ht="15" customHeight="1">
      <c r="A1789" t="s">
        <v>3874</v>
      </c>
      <c r="B1789" t="s">
        <v>3875</v>
      </c>
      <c r="C1789" s="21" t="s">
        <v>227</v>
      </c>
      <c r="D1789" t="s">
        <v>813</v>
      </c>
      <c r="E1789" t="s">
        <v>814</v>
      </c>
      <c r="M1789" s="19">
        <v>45133</v>
      </c>
      <c r="N1789" s="20"/>
      <c r="O1789" s="20"/>
    </row>
    <row r="1790" ht="15" customHeight="1">
      <c r="A1790" t="s">
        <v>3876</v>
      </c>
      <c r="B1790" t="s">
        <v>3877</v>
      </c>
      <c r="C1790" s="23" t="s">
        <v>309</v>
      </c>
      <c r="D1790" t="s">
        <v>232</v>
      </c>
      <c r="E1790" t="s">
        <v>233</v>
      </c>
      <c r="M1790" s="19">
        <v>45133</v>
      </c>
      <c r="N1790" s="20"/>
      <c r="O1790" s="20"/>
    </row>
    <row r="1791" ht="15" customHeight="1">
      <c r="A1791" t="s">
        <v>3878</v>
      </c>
      <c r="B1791" t="s">
        <v>3879</v>
      </c>
      <c r="C1791" t="s">
        <v>1470</v>
      </c>
      <c r="D1791" t="s">
        <v>232</v>
      </c>
      <c r="E1791" t="s">
        <v>233</v>
      </c>
      <c r="H1791">
        <v>2</v>
      </c>
      <c r="M1791" s="19">
        <v>45132</v>
      </c>
      <c r="N1791" s="20"/>
      <c r="O1791" s="20"/>
    </row>
    <row r="1792" ht="15" customHeight="1">
      <c r="A1792" t="s">
        <v>3880</v>
      </c>
      <c r="B1792" t="s">
        <v>3881</v>
      </c>
      <c r="C1792" s="21" t="s">
        <v>227</v>
      </c>
      <c r="D1792" t="s">
        <v>250</v>
      </c>
      <c r="E1792" t="s">
        <v>251</v>
      </c>
      <c r="M1792" s="19">
        <v>45127</v>
      </c>
      <c r="N1792" s="19">
        <v>45182</v>
      </c>
      <c r="O1792" s="20"/>
    </row>
    <row r="1793" ht="15" customHeight="1">
      <c r="A1793" t="s">
        <v>3882</v>
      </c>
      <c r="B1793" t="s">
        <v>3883</v>
      </c>
      <c r="C1793" s="23" t="s">
        <v>309</v>
      </c>
      <c r="D1793" t="s">
        <v>250</v>
      </c>
      <c r="E1793" t="s">
        <v>251</v>
      </c>
      <c r="M1793" s="19">
        <v>45127</v>
      </c>
      <c r="N1793" s="19">
        <v>45154</v>
      </c>
      <c r="O1793" s="20"/>
    </row>
    <row r="1794" ht="15" customHeight="1">
      <c r="A1794" t="s">
        <v>3884</v>
      </c>
      <c r="B1794" t="s">
        <v>3885</v>
      </c>
      <c r="C1794" s="21" t="s">
        <v>227</v>
      </c>
      <c r="D1794" t="s">
        <v>250</v>
      </c>
      <c r="E1794" t="s">
        <v>251</v>
      </c>
      <c r="M1794" s="19">
        <v>45127</v>
      </c>
      <c r="N1794" s="19">
        <v>45168</v>
      </c>
      <c r="O1794" s="20"/>
    </row>
    <row r="1795" ht="15" customHeight="1">
      <c r="A1795" t="s">
        <v>3886</v>
      </c>
      <c r="B1795" t="s">
        <v>3887</v>
      </c>
      <c r="C1795" t="s">
        <v>1470</v>
      </c>
      <c r="D1795" t="s">
        <v>232</v>
      </c>
      <c r="E1795" t="s">
        <v>233</v>
      </c>
      <c r="H1795">
        <v>5</v>
      </c>
      <c r="M1795" s="19">
        <v>45127</v>
      </c>
      <c r="N1795" s="19">
        <v>45218</v>
      </c>
      <c r="O1795" s="20"/>
    </row>
    <row r="1796" ht="15" customHeight="1">
      <c r="A1796" t="s">
        <v>3888</v>
      </c>
      <c r="B1796" t="s">
        <v>3889</v>
      </c>
      <c r="C1796" s="21" t="s">
        <v>227</v>
      </c>
      <c r="D1796" t="s">
        <v>813</v>
      </c>
      <c r="E1796" t="s">
        <v>814</v>
      </c>
      <c r="K1796" t="s">
        <v>2927</v>
      </c>
      <c r="M1796" s="19">
        <v>45125</v>
      </c>
      <c r="N1796" s="20"/>
      <c r="O1796" s="20"/>
    </row>
    <row r="1797" ht="15" customHeight="1">
      <c r="A1797" t="s">
        <v>3890</v>
      </c>
      <c r="B1797" t="s">
        <v>3891</v>
      </c>
      <c r="C1797" s="21" t="s">
        <v>227</v>
      </c>
      <c r="D1797" t="s">
        <v>282</v>
      </c>
      <c r="E1797" t="s">
        <v>283</v>
      </c>
      <c r="K1797" t="s">
        <v>3415</v>
      </c>
      <c r="M1797" s="19">
        <v>45125</v>
      </c>
      <c r="N1797" s="20"/>
      <c r="O1797" s="20"/>
    </row>
    <row r="1798" ht="15" customHeight="1">
      <c r="A1798" t="s">
        <v>3892</v>
      </c>
      <c r="B1798" t="s">
        <v>3893</v>
      </c>
      <c r="C1798" t="s">
        <v>1470</v>
      </c>
      <c r="D1798" t="s">
        <v>232</v>
      </c>
      <c r="E1798" t="s">
        <v>233</v>
      </c>
      <c r="M1798" s="19">
        <v>45124</v>
      </c>
      <c r="N1798" s="19">
        <v>45162</v>
      </c>
      <c r="O1798" s="20"/>
    </row>
    <row r="1799" ht="15" customHeight="1">
      <c r="A1799" t="s">
        <v>3894</v>
      </c>
      <c r="B1799" t="s">
        <v>3895</v>
      </c>
      <c r="C1799" s="23" t="s">
        <v>309</v>
      </c>
      <c r="D1799" t="s">
        <v>250</v>
      </c>
      <c r="E1799" t="s">
        <v>251</v>
      </c>
      <c r="H1799">
        <v>2</v>
      </c>
      <c r="L1799" t="s">
        <v>3896</v>
      </c>
      <c r="M1799" s="19">
        <v>45124</v>
      </c>
      <c r="N1799" s="19">
        <v>45140</v>
      </c>
      <c r="O1799" s="20"/>
    </row>
    <row r="1800" ht="15" customHeight="1">
      <c r="A1800" t="s">
        <v>3897</v>
      </c>
      <c r="B1800" t="s">
        <v>3898</v>
      </c>
      <c r="C1800" s="21" t="s">
        <v>227</v>
      </c>
      <c r="D1800" t="s">
        <v>250</v>
      </c>
      <c r="E1800" t="s">
        <v>251</v>
      </c>
      <c r="M1800" s="19">
        <v>45124</v>
      </c>
      <c r="N1800" s="20"/>
      <c r="O1800" s="20"/>
    </row>
    <row r="1801" ht="15" customHeight="1">
      <c r="A1801" t="s">
        <v>3899</v>
      </c>
      <c r="B1801" t="s">
        <v>3900</v>
      </c>
      <c r="C1801" t="s">
        <v>1470</v>
      </c>
      <c r="D1801" t="s">
        <v>228</v>
      </c>
      <c r="E1801" t="s">
        <v>229</v>
      </c>
      <c r="H1801">
        <v>1</v>
      </c>
      <c r="M1801" s="19">
        <v>45124</v>
      </c>
      <c r="N1801" s="20"/>
      <c r="O1801" s="20"/>
    </row>
    <row r="1802" ht="15" customHeight="1">
      <c r="A1802" t="s">
        <v>3901</v>
      </c>
      <c r="B1802" t="s">
        <v>3902</v>
      </c>
      <c r="C1802" t="s">
        <v>1470</v>
      </c>
      <c r="D1802" t="s">
        <v>232</v>
      </c>
      <c r="E1802" t="s">
        <v>233</v>
      </c>
      <c r="M1802" s="19">
        <v>45120</v>
      </c>
      <c r="N1802" s="20"/>
      <c r="O1802" s="20"/>
    </row>
    <row r="1803" ht="15" customHeight="1">
      <c r="A1803" t="s">
        <v>3903</v>
      </c>
      <c r="B1803" t="s">
        <v>3904</v>
      </c>
      <c r="C1803" t="s">
        <v>1470</v>
      </c>
      <c r="D1803" t="s">
        <v>232</v>
      </c>
      <c r="E1803" t="s">
        <v>233</v>
      </c>
      <c r="H1803">
        <v>3</v>
      </c>
      <c r="M1803" s="19">
        <v>45120</v>
      </c>
      <c r="N1803" s="20"/>
      <c r="O1803" s="20"/>
    </row>
    <row r="1804" ht="15" customHeight="1">
      <c r="A1804" t="s">
        <v>3905</v>
      </c>
      <c r="B1804" t="s">
        <v>3906</v>
      </c>
      <c r="C1804" s="23" t="s">
        <v>309</v>
      </c>
      <c r="D1804" t="s">
        <v>813</v>
      </c>
      <c r="E1804" t="s">
        <v>814</v>
      </c>
      <c r="L1804" t="s">
        <v>3907</v>
      </c>
      <c r="M1804" s="19">
        <v>45119</v>
      </c>
      <c r="N1804" s="19">
        <v>45133</v>
      </c>
      <c r="O1804" s="20"/>
    </row>
    <row r="1805" ht="15" customHeight="1">
      <c r="A1805" t="s">
        <v>3908</v>
      </c>
      <c r="B1805" t="s">
        <v>3909</v>
      </c>
      <c r="C1805" t="s">
        <v>1470</v>
      </c>
      <c r="D1805" t="s">
        <v>228</v>
      </c>
      <c r="E1805" t="s">
        <v>229</v>
      </c>
      <c r="M1805" s="19">
        <v>45119</v>
      </c>
      <c r="N1805" s="20"/>
      <c r="O1805" s="20"/>
    </row>
    <row r="1806" ht="15" customHeight="1">
      <c r="A1806" t="s">
        <v>3910</v>
      </c>
      <c r="B1806" t="s">
        <v>3911</v>
      </c>
      <c r="C1806" t="s">
        <v>1470</v>
      </c>
      <c r="D1806" t="s">
        <v>232</v>
      </c>
      <c r="E1806" t="s">
        <v>233</v>
      </c>
      <c r="M1806" s="19">
        <v>45119</v>
      </c>
      <c r="N1806" s="20"/>
      <c r="O1806" s="20"/>
    </row>
    <row r="1807" ht="15" customHeight="1">
      <c r="A1807" t="s">
        <v>3912</v>
      </c>
      <c r="B1807" t="s">
        <v>3913</v>
      </c>
      <c r="C1807" t="s">
        <v>1470</v>
      </c>
      <c r="D1807" t="s">
        <v>232</v>
      </c>
      <c r="E1807" t="s">
        <v>233</v>
      </c>
      <c r="H1807">
        <v>5</v>
      </c>
      <c r="L1807" t="s">
        <v>3914</v>
      </c>
      <c r="M1807" s="19">
        <v>45119</v>
      </c>
      <c r="N1807" s="19">
        <v>45162</v>
      </c>
      <c r="O1807" s="20"/>
    </row>
    <row r="1808" ht="15" customHeight="1">
      <c r="A1808" t="s">
        <v>3915</v>
      </c>
      <c r="B1808" t="s">
        <v>3916</v>
      </c>
      <c r="C1808" t="s">
        <v>1057</v>
      </c>
      <c r="D1808" t="s">
        <v>223</v>
      </c>
      <c r="E1808" t="s">
        <v>224</v>
      </c>
      <c r="M1808" s="19">
        <v>45119</v>
      </c>
      <c r="N1808" s="20"/>
      <c r="O1808" s="20"/>
    </row>
    <row r="1809" ht="15" customHeight="1">
      <c r="A1809" t="s">
        <v>3917</v>
      </c>
      <c r="B1809" t="s">
        <v>3918</v>
      </c>
      <c r="C1809" s="21" t="s">
        <v>227</v>
      </c>
      <c r="D1809" t="s">
        <v>250</v>
      </c>
      <c r="E1809" t="s">
        <v>251</v>
      </c>
      <c r="K1809" t="s">
        <v>2133</v>
      </c>
      <c r="M1809" s="19">
        <v>45119</v>
      </c>
      <c r="N1809" s="20"/>
      <c r="O1809" s="20"/>
    </row>
    <row r="1810" ht="15" customHeight="1">
      <c r="A1810" t="s">
        <v>3919</v>
      </c>
      <c r="B1810" t="s">
        <v>3920</v>
      </c>
      <c r="C1810" s="23" t="s">
        <v>309</v>
      </c>
      <c r="D1810" t="s">
        <v>232</v>
      </c>
      <c r="E1810" t="s">
        <v>233</v>
      </c>
      <c r="H1810">
        <v>1</v>
      </c>
      <c r="K1810" t="s">
        <v>3314</v>
      </c>
      <c r="M1810" s="19">
        <v>45119</v>
      </c>
      <c r="N1810" s="20"/>
      <c r="O1810" s="20"/>
    </row>
    <row r="1811" ht="15" customHeight="1">
      <c r="A1811" t="s">
        <v>3921</v>
      </c>
      <c r="B1811" t="s">
        <v>3922</v>
      </c>
      <c r="C1811" s="21" t="s">
        <v>227</v>
      </c>
      <c r="D1811" t="s">
        <v>250</v>
      </c>
      <c r="E1811" t="s">
        <v>251</v>
      </c>
      <c r="M1811" s="19">
        <v>45118</v>
      </c>
      <c r="N1811" s="20"/>
      <c r="O1811" s="20"/>
    </row>
    <row r="1812" ht="15" customHeight="1">
      <c r="A1812" t="s">
        <v>3923</v>
      </c>
      <c r="B1812" t="s">
        <v>3924</v>
      </c>
      <c r="C1812" s="23" t="s">
        <v>309</v>
      </c>
      <c r="D1812" t="s">
        <v>250</v>
      </c>
      <c r="E1812" t="s">
        <v>251</v>
      </c>
      <c r="M1812" s="19">
        <v>45118</v>
      </c>
      <c r="N1812" s="20"/>
      <c r="O1812" s="20"/>
    </row>
    <row r="1813" ht="15" customHeight="1">
      <c r="A1813" t="s">
        <v>3925</v>
      </c>
      <c r="B1813" t="s">
        <v>3926</v>
      </c>
      <c r="C1813" s="21" t="s">
        <v>227</v>
      </c>
      <c r="D1813" t="s">
        <v>250</v>
      </c>
      <c r="E1813" t="s">
        <v>251</v>
      </c>
      <c r="M1813" s="19">
        <v>45118</v>
      </c>
      <c r="N1813" s="20"/>
      <c r="O1813" s="20"/>
    </row>
    <row r="1814" ht="15" customHeight="1">
      <c r="A1814" t="s">
        <v>3927</v>
      </c>
      <c r="B1814" t="s">
        <v>3928</v>
      </c>
      <c r="C1814" s="21" t="s">
        <v>227</v>
      </c>
      <c r="D1814" t="s">
        <v>250</v>
      </c>
      <c r="E1814" t="s">
        <v>251</v>
      </c>
      <c r="M1814" s="19">
        <v>45118</v>
      </c>
      <c r="N1814" s="20"/>
      <c r="O1814" s="20"/>
    </row>
    <row r="1815" ht="15" customHeight="1">
      <c r="A1815" t="s">
        <v>3929</v>
      </c>
      <c r="B1815" t="s">
        <v>3930</v>
      </c>
      <c r="C1815" s="23" t="s">
        <v>309</v>
      </c>
      <c r="D1815" t="s">
        <v>232</v>
      </c>
      <c r="E1815" t="s">
        <v>233</v>
      </c>
      <c r="H1815">
        <v>1</v>
      </c>
      <c r="M1815" s="19">
        <v>45118</v>
      </c>
      <c r="N1815" s="20"/>
      <c r="O1815" s="20"/>
    </row>
    <row r="1816" ht="15" customHeight="1">
      <c r="A1816" t="s">
        <v>3931</v>
      </c>
      <c r="B1816" t="s">
        <v>3932</v>
      </c>
      <c r="C1816" t="s">
        <v>1470</v>
      </c>
      <c r="D1816" t="s">
        <v>232</v>
      </c>
      <c r="E1816" t="s">
        <v>233</v>
      </c>
      <c r="M1816" s="19">
        <v>45117</v>
      </c>
      <c r="N1816" s="20"/>
      <c r="O1816" s="20"/>
    </row>
    <row r="1817" ht="15" customHeight="1">
      <c r="A1817" t="s">
        <v>3933</v>
      </c>
      <c r="B1817" t="s">
        <v>3934</v>
      </c>
      <c r="C1817" s="23" t="s">
        <v>309</v>
      </c>
      <c r="D1817" t="s">
        <v>232</v>
      </c>
      <c r="E1817" t="s">
        <v>233</v>
      </c>
      <c r="M1817" s="19">
        <v>45117</v>
      </c>
      <c r="N1817" s="20"/>
      <c r="O1817" s="20"/>
    </row>
    <row r="1818" ht="15" customHeight="1">
      <c r="A1818" t="s">
        <v>3935</v>
      </c>
      <c r="B1818" t="s">
        <v>3936</v>
      </c>
      <c r="C1818" s="21" t="s">
        <v>227</v>
      </c>
      <c r="D1818" t="s">
        <v>250</v>
      </c>
      <c r="E1818" t="s">
        <v>251</v>
      </c>
      <c r="M1818" s="19">
        <v>45115</v>
      </c>
      <c r="N1818" s="19">
        <v>45154</v>
      </c>
      <c r="O1818" s="20"/>
    </row>
    <row r="1819" ht="15" customHeight="1">
      <c r="A1819" t="s">
        <v>3937</v>
      </c>
      <c r="B1819" t="s">
        <v>3938</v>
      </c>
      <c r="C1819" s="23" t="s">
        <v>309</v>
      </c>
      <c r="D1819" t="s">
        <v>250</v>
      </c>
      <c r="E1819" t="s">
        <v>251</v>
      </c>
      <c r="H1819">
        <v>3</v>
      </c>
      <c r="K1819" t="s">
        <v>3939</v>
      </c>
      <c r="L1819" t="s">
        <v>3940</v>
      </c>
      <c r="M1819" s="19">
        <v>45115</v>
      </c>
      <c r="N1819" s="19">
        <v>45182</v>
      </c>
      <c r="O1819" s="20"/>
    </row>
    <row r="1820" ht="15" customHeight="1">
      <c r="A1820" t="s">
        <v>3941</v>
      </c>
      <c r="B1820" t="s">
        <v>3942</v>
      </c>
      <c r="C1820" s="21" t="s">
        <v>227</v>
      </c>
      <c r="D1820" t="s">
        <v>813</v>
      </c>
      <c r="E1820" t="s">
        <v>814</v>
      </c>
      <c r="L1820" t="s">
        <v>3943</v>
      </c>
      <c r="M1820" s="19">
        <v>45113</v>
      </c>
      <c r="N1820" s="19">
        <v>45119</v>
      </c>
      <c r="O1820" s="20"/>
    </row>
    <row r="1821" ht="15" customHeight="1">
      <c r="A1821" t="s">
        <v>3944</v>
      </c>
      <c r="B1821" t="s">
        <v>3945</v>
      </c>
      <c r="C1821" s="21" t="s">
        <v>227</v>
      </c>
      <c r="D1821" t="s">
        <v>813</v>
      </c>
      <c r="E1821" t="s">
        <v>814</v>
      </c>
      <c r="M1821" s="19">
        <v>45112</v>
      </c>
      <c r="N1821" s="20"/>
      <c r="O1821" s="20"/>
    </row>
    <row r="1822" ht="15" customHeight="1">
      <c r="A1822" t="s">
        <v>3946</v>
      </c>
      <c r="B1822" t="s">
        <v>3947</v>
      </c>
      <c r="C1822" s="21" t="s">
        <v>227</v>
      </c>
      <c r="D1822" t="s">
        <v>813</v>
      </c>
      <c r="E1822" t="s">
        <v>814</v>
      </c>
      <c r="M1822" s="19">
        <v>45112</v>
      </c>
      <c r="N1822" s="20"/>
      <c r="O1822" s="20"/>
    </row>
    <row r="1823" ht="15" customHeight="1">
      <c r="A1823" t="s">
        <v>3948</v>
      </c>
      <c r="B1823" t="s">
        <v>3949</v>
      </c>
      <c r="C1823" s="23" t="s">
        <v>309</v>
      </c>
      <c r="D1823" t="s">
        <v>232</v>
      </c>
      <c r="E1823" t="s">
        <v>233</v>
      </c>
      <c r="M1823" s="19">
        <v>45111</v>
      </c>
      <c r="N1823" s="20"/>
      <c r="O1823" s="20"/>
    </row>
    <row r="1824" ht="15" customHeight="1">
      <c r="A1824" t="s">
        <v>3950</v>
      </c>
      <c r="B1824" t="s">
        <v>3951</v>
      </c>
      <c r="C1824" t="s">
        <v>1057</v>
      </c>
      <c r="D1824" t="s">
        <v>223</v>
      </c>
      <c r="E1824" t="s">
        <v>224</v>
      </c>
      <c r="M1824" s="19">
        <v>45111</v>
      </c>
      <c r="N1824" s="20"/>
      <c r="O1824" s="20"/>
    </row>
    <row r="1825" ht="15" customHeight="1">
      <c r="A1825" t="s">
        <v>3952</v>
      </c>
      <c r="B1825" t="s">
        <v>3953</v>
      </c>
      <c r="C1825" s="22" t="s">
        <v>55</v>
      </c>
      <c r="D1825" t="s">
        <v>223</v>
      </c>
      <c r="E1825" t="s">
        <v>224</v>
      </c>
      <c r="M1825" s="19">
        <v>45111</v>
      </c>
      <c r="N1825" s="20"/>
      <c r="O1825" s="20"/>
    </row>
    <row r="1826" ht="15" customHeight="1">
      <c r="A1826" t="s">
        <v>3954</v>
      </c>
      <c r="B1826" t="s">
        <v>3955</v>
      </c>
      <c r="C1826" s="21" t="s">
        <v>227</v>
      </c>
      <c r="D1826" t="s">
        <v>250</v>
      </c>
      <c r="E1826" t="s">
        <v>251</v>
      </c>
      <c r="M1826" s="19">
        <v>45110</v>
      </c>
      <c r="N1826" s="19">
        <v>45154</v>
      </c>
      <c r="O1826" s="20"/>
    </row>
    <row r="1827" ht="15" customHeight="1">
      <c r="A1827" t="s">
        <v>3956</v>
      </c>
      <c r="B1827" t="s">
        <v>3957</v>
      </c>
      <c r="C1827" s="21" t="s">
        <v>227</v>
      </c>
      <c r="D1827" t="s">
        <v>250</v>
      </c>
      <c r="E1827" t="s">
        <v>251</v>
      </c>
      <c r="M1827" s="19">
        <v>45110</v>
      </c>
      <c r="N1827" s="19">
        <v>45154</v>
      </c>
      <c r="O1827" s="20"/>
    </row>
    <row r="1828" ht="15" customHeight="1">
      <c r="A1828" t="s">
        <v>3958</v>
      </c>
      <c r="B1828" t="s">
        <v>3959</v>
      </c>
      <c r="C1828" s="21" t="s">
        <v>227</v>
      </c>
      <c r="D1828" t="s">
        <v>250</v>
      </c>
      <c r="E1828" t="s">
        <v>251</v>
      </c>
      <c r="M1828" s="19">
        <v>45110</v>
      </c>
      <c r="N1828" s="19">
        <v>45154</v>
      </c>
      <c r="O1828" s="20"/>
    </row>
    <row r="1829" ht="15" customHeight="1">
      <c r="A1829" t="s">
        <v>3960</v>
      </c>
      <c r="B1829" t="s">
        <v>3961</v>
      </c>
      <c r="C1829" t="s">
        <v>1470</v>
      </c>
      <c r="D1829" t="s">
        <v>232</v>
      </c>
      <c r="E1829" t="s">
        <v>233</v>
      </c>
      <c r="M1829" s="19">
        <v>45110</v>
      </c>
      <c r="N1829" s="20"/>
      <c r="O1829" s="20"/>
    </row>
    <row r="1830" ht="15" customHeight="1">
      <c r="A1830" t="s">
        <v>3962</v>
      </c>
      <c r="B1830" t="s">
        <v>3963</v>
      </c>
      <c r="C1830" s="23" t="s">
        <v>309</v>
      </c>
      <c r="D1830" t="s">
        <v>228</v>
      </c>
      <c r="E1830" t="s">
        <v>229</v>
      </c>
      <c r="H1830">
        <v>80</v>
      </c>
      <c r="M1830" s="19">
        <v>45107</v>
      </c>
      <c r="N1830" s="20"/>
      <c r="O1830" s="20"/>
    </row>
    <row r="1831" ht="15" customHeight="1">
      <c r="A1831" t="s">
        <v>3964</v>
      </c>
      <c r="B1831" t="s">
        <v>3965</v>
      </c>
      <c r="C1831" s="21" t="s">
        <v>227</v>
      </c>
      <c r="D1831" t="s">
        <v>250</v>
      </c>
      <c r="E1831" t="s">
        <v>251</v>
      </c>
      <c r="H1831">
        <v>2</v>
      </c>
      <c r="M1831" s="19">
        <v>45106</v>
      </c>
      <c r="N1831" s="20"/>
      <c r="O1831" s="20"/>
    </row>
    <row r="1832" ht="15" customHeight="1">
      <c r="A1832" t="s">
        <v>3966</v>
      </c>
      <c r="B1832" t="s">
        <v>3967</v>
      </c>
      <c r="C1832" s="21" t="s">
        <v>227</v>
      </c>
      <c r="D1832" t="s">
        <v>250</v>
      </c>
      <c r="E1832" t="s">
        <v>251</v>
      </c>
      <c r="M1832" s="19">
        <v>45106</v>
      </c>
      <c r="N1832" s="19">
        <v>45154</v>
      </c>
      <c r="O1832" s="20"/>
    </row>
    <row r="1833" ht="15" customHeight="1">
      <c r="A1833" t="s">
        <v>3968</v>
      </c>
      <c r="B1833" t="s">
        <v>3969</v>
      </c>
      <c r="C1833" t="s">
        <v>1470</v>
      </c>
      <c r="D1833" t="s">
        <v>232</v>
      </c>
      <c r="E1833" t="s">
        <v>233</v>
      </c>
      <c r="M1833" s="19">
        <v>45106</v>
      </c>
      <c r="N1833" s="20"/>
      <c r="O1833" s="20"/>
    </row>
    <row r="1834" ht="15" customHeight="1">
      <c r="A1834" t="s">
        <v>3970</v>
      </c>
      <c r="B1834" t="s">
        <v>3971</v>
      </c>
      <c r="C1834" s="23" t="s">
        <v>309</v>
      </c>
      <c r="D1834" t="s">
        <v>813</v>
      </c>
      <c r="E1834" t="s">
        <v>814</v>
      </c>
      <c r="K1834" t="s">
        <v>2934</v>
      </c>
      <c r="L1834" t="s">
        <v>3943</v>
      </c>
      <c r="M1834" s="19">
        <v>45105</v>
      </c>
      <c r="N1834" s="19">
        <v>45147</v>
      </c>
      <c r="O1834" s="20"/>
    </row>
    <row r="1835" ht="15" customHeight="1">
      <c r="A1835" t="s">
        <v>3972</v>
      </c>
      <c r="B1835" t="s">
        <v>3973</v>
      </c>
      <c r="C1835" s="21" t="s">
        <v>227</v>
      </c>
      <c r="D1835" t="s">
        <v>250</v>
      </c>
      <c r="E1835" t="s">
        <v>251</v>
      </c>
      <c r="M1835" s="19">
        <v>45104</v>
      </c>
      <c r="N1835" s="19">
        <v>45182</v>
      </c>
      <c r="O1835" s="20"/>
    </row>
    <row r="1836" ht="15" customHeight="1">
      <c r="A1836" t="s">
        <v>3974</v>
      </c>
      <c r="B1836" t="s">
        <v>3975</v>
      </c>
      <c r="C1836" s="21" t="s">
        <v>227</v>
      </c>
      <c r="D1836" t="s">
        <v>250</v>
      </c>
      <c r="E1836" t="s">
        <v>251</v>
      </c>
      <c r="M1836" s="19">
        <v>45104</v>
      </c>
      <c r="N1836" s="20"/>
      <c r="O1836" s="20"/>
    </row>
    <row r="1837" ht="15" customHeight="1">
      <c r="A1837" t="s">
        <v>3976</v>
      </c>
      <c r="B1837" t="s">
        <v>3977</v>
      </c>
      <c r="C1837" s="23" t="s">
        <v>309</v>
      </c>
      <c r="D1837" t="s">
        <v>250</v>
      </c>
      <c r="E1837" t="s">
        <v>251</v>
      </c>
      <c r="M1837" s="19">
        <v>45104</v>
      </c>
      <c r="N1837" s="19">
        <v>45168</v>
      </c>
      <c r="O1837" s="20"/>
    </row>
    <row r="1838" ht="15" customHeight="1">
      <c r="A1838" t="s">
        <v>3978</v>
      </c>
      <c r="B1838" t="s">
        <v>3979</v>
      </c>
      <c r="C1838" s="21" t="s">
        <v>227</v>
      </c>
      <c r="D1838" t="s">
        <v>813</v>
      </c>
      <c r="E1838" t="s">
        <v>814</v>
      </c>
      <c r="M1838" s="19">
        <v>45100</v>
      </c>
      <c r="N1838" s="20"/>
      <c r="O1838" s="20"/>
    </row>
    <row r="1839" ht="15" customHeight="1">
      <c r="A1839" t="s">
        <v>3980</v>
      </c>
      <c r="B1839" t="s">
        <v>3981</v>
      </c>
      <c r="C1839" s="21" t="s">
        <v>227</v>
      </c>
      <c r="D1839" t="s">
        <v>813</v>
      </c>
      <c r="E1839" t="s">
        <v>814</v>
      </c>
      <c r="M1839" s="19">
        <v>45100</v>
      </c>
      <c r="N1839" s="20"/>
      <c r="O1839" s="20"/>
    </row>
    <row r="1840" ht="15" customHeight="1">
      <c r="A1840" t="s">
        <v>3982</v>
      </c>
      <c r="B1840" t="s">
        <v>3983</v>
      </c>
      <c r="C1840" s="23" t="s">
        <v>309</v>
      </c>
      <c r="D1840" t="s">
        <v>813</v>
      </c>
      <c r="E1840" t="s">
        <v>814</v>
      </c>
      <c r="K1840" t="s">
        <v>815</v>
      </c>
      <c r="M1840" s="19">
        <v>45100</v>
      </c>
      <c r="N1840" s="20"/>
      <c r="O1840" s="20"/>
    </row>
    <row r="1841" ht="15" customHeight="1">
      <c r="A1841" t="s">
        <v>3984</v>
      </c>
      <c r="B1841" t="s">
        <v>3985</v>
      </c>
      <c r="C1841" s="25" t="s">
        <v>1627</v>
      </c>
      <c r="D1841" t="s">
        <v>223</v>
      </c>
      <c r="E1841" t="s">
        <v>224</v>
      </c>
      <c r="M1841" s="19">
        <v>45099</v>
      </c>
      <c r="N1841" s="20"/>
      <c r="O1841" s="20"/>
    </row>
    <row r="1842" ht="15" customHeight="1">
      <c r="A1842" t="s">
        <v>3986</v>
      </c>
      <c r="B1842" t="s">
        <v>3987</v>
      </c>
      <c r="C1842" s="21" t="s">
        <v>227</v>
      </c>
      <c r="D1842" t="s">
        <v>250</v>
      </c>
      <c r="E1842" t="s">
        <v>251</v>
      </c>
      <c r="M1842" s="19">
        <v>45098</v>
      </c>
      <c r="N1842" s="20"/>
      <c r="O1842" s="20"/>
    </row>
    <row r="1843" ht="15" customHeight="1">
      <c r="A1843" t="s">
        <v>3988</v>
      </c>
      <c r="B1843" t="s">
        <v>3989</v>
      </c>
      <c r="C1843" t="s">
        <v>1470</v>
      </c>
      <c r="D1843" t="s">
        <v>232</v>
      </c>
      <c r="E1843" t="s">
        <v>233</v>
      </c>
      <c r="M1843" s="19">
        <v>45097</v>
      </c>
      <c r="N1843" s="20"/>
      <c r="O1843" s="20"/>
    </row>
    <row r="1844" ht="15" customHeight="1">
      <c r="A1844" t="s">
        <v>3990</v>
      </c>
      <c r="B1844" t="s">
        <v>3991</v>
      </c>
      <c r="C1844" s="23" t="s">
        <v>309</v>
      </c>
      <c r="D1844" t="s">
        <v>813</v>
      </c>
      <c r="E1844" t="s">
        <v>814</v>
      </c>
      <c r="L1844" t="s">
        <v>3992</v>
      </c>
      <c r="M1844" s="19">
        <v>45097</v>
      </c>
      <c r="N1844" s="19">
        <v>45105</v>
      </c>
      <c r="O1844" s="20"/>
    </row>
    <row r="1845" ht="15" customHeight="1">
      <c r="A1845" t="s">
        <v>3993</v>
      </c>
      <c r="B1845" t="s">
        <v>3994</v>
      </c>
      <c r="C1845" s="21" t="s">
        <v>227</v>
      </c>
      <c r="D1845" t="s">
        <v>813</v>
      </c>
      <c r="E1845" t="s">
        <v>814</v>
      </c>
      <c r="M1845" s="19">
        <v>45092</v>
      </c>
      <c r="N1845" s="19">
        <v>45147</v>
      </c>
      <c r="O1845" s="20"/>
    </row>
    <row r="1846" ht="15" customHeight="1">
      <c r="A1846" t="s">
        <v>3995</v>
      </c>
      <c r="B1846" t="s">
        <v>3996</v>
      </c>
      <c r="C1846" t="s">
        <v>1470</v>
      </c>
      <c r="D1846" t="s">
        <v>232</v>
      </c>
      <c r="E1846" t="s">
        <v>233</v>
      </c>
      <c r="M1846" s="19">
        <v>45090</v>
      </c>
      <c r="N1846" s="20"/>
      <c r="O1846" s="20"/>
    </row>
    <row r="1847" ht="15" customHeight="1">
      <c r="A1847" t="s">
        <v>3997</v>
      </c>
      <c r="B1847" t="s">
        <v>3998</v>
      </c>
      <c r="C1847" s="21" t="s">
        <v>227</v>
      </c>
      <c r="D1847" t="s">
        <v>813</v>
      </c>
      <c r="E1847" t="s">
        <v>814</v>
      </c>
      <c r="K1847" t="s">
        <v>2934</v>
      </c>
      <c r="M1847" s="19">
        <v>45089</v>
      </c>
      <c r="N1847" s="20"/>
      <c r="O1847" s="20"/>
    </row>
    <row r="1848" ht="15" customHeight="1">
      <c r="A1848" t="s">
        <v>3999</v>
      </c>
      <c r="B1848" t="s">
        <v>4000</v>
      </c>
      <c r="C1848" t="s">
        <v>1470</v>
      </c>
      <c r="D1848" t="s">
        <v>232</v>
      </c>
      <c r="E1848" t="s">
        <v>233</v>
      </c>
      <c r="M1848" s="19">
        <v>45085</v>
      </c>
      <c r="N1848" s="20"/>
      <c r="O1848" s="20"/>
    </row>
    <row r="1849" ht="15" customHeight="1">
      <c r="A1849" t="s">
        <v>4001</v>
      </c>
      <c r="B1849" t="s">
        <v>4002</v>
      </c>
      <c r="C1849" s="23" t="s">
        <v>309</v>
      </c>
      <c r="D1849" t="s">
        <v>232</v>
      </c>
      <c r="E1849" t="s">
        <v>233</v>
      </c>
      <c r="M1849" s="19">
        <v>45085</v>
      </c>
      <c r="N1849" s="20"/>
      <c r="O1849" s="20"/>
    </row>
    <row r="1850" ht="15" customHeight="1">
      <c r="A1850" t="s">
        <v>4003</v>
      </c>
      <c r="B1850" t="s">
        <v>4004</v>
      </c>
      <c r="C1850" s="21" t="s">
        <v>227</v>
      </c>
      <c r="D1850" t="s">
        <v>228</v>
      </c>
      <c r="E1850" t="s">
        <v>229</v>
      </c>
      <c r="M1850" s="19">
        <v>45084</v>
      </c>
      <c r="N1850" s="20"/>
      <c r="O1850" s="20"/>
    </row>
    <row r="1851" ht="15" customHeight="1">
      <c r="A1851" t="s">
        <v>4005</v>
      </c>
      <c r="B1851" t="s">
        <v>4006</v>
      </c>
      <c r="C1851" s="21" t="s">
        <v>227</v>
      </c>
      <c r="D1851" t="s">
        <v>232</v>
      </c>
      <c r="E1851" t="s">
        <v>233</v>
      </c>
      <c r="G1851" t="s">
        <v>844</v>
      </c>
      <c r="M1851" s="19">
        <v>45084</v>
      </c>
      <c r="N1851" s="20"/>
      <c r="O1851" s="20"/>
    </row>
    <row r="1852" ht="15" customHeight="1">
      <c r="A1852" t="s">
        <v>4007</v>
      </c>
      <c r="B1852" t="s">
        <v>4008</v>
      </c>
      <c r="C1852" s="21" t="s">
        <v>227</v>
      </c>
      <c r="D1852" t="s">
        <v>228</v>
      </c>
      <c r="E1852" t="s">
        <v>229</v>
      </c>
      <c r="G1852" t="s">
        <v>144</v>
      </c>
      <c r="M1852" s="19">
        <v>45084</v>
      </c>
      <c r="N1852" s="20"/>
      <c r="O1852" s="20"/>
    </row>
    <row r="1853" ht="15" customHeight="1">
      <c r="A1853" t="s">
        <v>4009</v>
      </c>
      <c r="B1853" t="s">
        <v>4010</v>
      </c>
      <c r="C1853" s="23" t="s">
        <v>309</v>
      </c>
      <c r="D1853" t="s">
        <v>228</v>
      </c>
      <c r="E1853" t="s">
        <v>229</v>
      </c>
      <c r="G1853" t="s">
        <v>1053</v>
      </c>
      <c r="M1853" s="19">
        <v>45084</v>
      </c>
      <c r="N1853" s="20"/>
      <c r="O1853" s="20"/>
    </row>
    <row r="1854" ht="15" customHeight="1">
      <c r="A1854" t="s">
        <v>4011</v>
      </c>
      <c r="B1854" t="s">
        <v>4012</v>
      </c>
      <c r="C1854" s="21" t="s">
        <v>227</v>
      </c>
      <c r="D1854" t="s">
        <v>232</v>
      </c>
      <c r="E1854" t="s">
        <v>233</v>
      </c>
      <c r="G1854" t="s">
        <v>2953</v>
      </c>
      <c r="M1854" s="19">
        <v>45084</v>
      </c>
      <c r="N1854" s="20"/>
      <c r="O1854" s="20"/>
    </row>
    <row r="1855" ht="15" customHeight="1">
      <c r="A1855" t="s">
        <v>4013</v>
      </c>
      <c r="B1855" t="s">
        <v>4014</v>
      </c>
      <c r="C1855" s="21" t="s">
        <v>227</v>
      </c>
      <c r="D1855" t="s">
        <v>232</v>
      </c>
      <c r="E1855" t="s">
        <v>233</v>
      </c>
      <c r="G1855" t="s">
        <v>1053</v>
      </c>
      <c r="M1855" s="19">
        <v>45084</v>
      </c>
      <c r="N1855" s="20"/>
      <c r="O1855" s="20"/>
    </row>
    <row r="1856" ht="15" customHeight="1">
      <c r="A1856" t="s">
        <v>4015</v>
      </c>
      <c r="B1856" t="s">
        <v>4016</v>
      </c>
      <c r="C1856" s="23" t="s">
        <v>309</v>
      </c>
      <c r="D1856" t="s">
        <v>232</v>
      </c>
      <c r="E1856" t="s">
        <v>233</v>
      </c>
      <c r="G1856" t="s">
        <v>144</v>
      </c>
      <c r="M1856" s="19">
        <v>45084</v>
      </c>
      <c r="N1856" s="20"/>
      <c r="O1856" s="20"/>
    </row>
    <row r="1857" ht="15" customHeight="1">
      <c r="A1857" t="s">
        <v>4017</v>
      </c>
      <c r="B1857" t="s">
        <v>4018</v>
      </c>
      <c r="C1857" s="23" t="s">
        <v>309</v>
      </c>
      <c r="D1857" t="s">
        <v>232</v>
      </c>
      <c r="E1857" t="s">
        <v>233</v>
      </c>
      <c r="G1857" t="s">
        <v>1053</v>
      </c>
      <c r="M1857" s="19">
        <v>45084</v>
      </c>
      <c r="N1857" s="20"/>
      <c r="O1857" s="20"/>
    </row>
    <row r="1858" ht="15" customHeight="1">
      <c r="A1858" t="s">
        <v>4019</v>
      </c>
      <c r="B1858" t="s">
        <v>4020</v>
      </c>
      <c r="C1858" s="21" t="s">
        <v>227</v>
      </c>
      <c r="D1858" t="s">
        <v>232</v>
      </c>
      <c r="E1858" t="s">
        <v>233</v>
      </c>
      <c r="G1858" t="s">
        <v>1053</v>
      </c>
      <c r="M1858" s="19">
        <v>45084</v>
      </c>
      <c r="N1858" s="20"/>
      <c r="O1858" s="20"/>
    </row>
    <row r="1859" ht="15" customHeight="1">
      <c r="A1859" t="s">
        <v>4021</v>
      </c>
      <c r="B1859" t="s">
        <v>4022</v>
      </c>
      <c r="C1859" s="21" t="s">
        <v>227</v>
      </c>
      <c r="D1859" t="s">
        <v>232</v>
      </c>
      <c r="E1859" t="s">
        <v>233</v>
      </c>
      <c r="G1859" t="s">
        <v>144</v>
      </c>
      <c r="M1859" s="19">
        <v>45084</v>
      </c>
      <c r="N1859" s="20"/>
      <c r="O1859" s="20"/>
    </row>
    <row r="1860" ht="15" customHeight="1">
      <c r="A1860" t="s">
        <v>4023</v>
      </c>
      <c r="B1860" t="s">
        <v>4024</v>
      </c>
      <c r="C1860" s="21" t="s">
        <v>227</v>
      </c>
      <c r="D1860" t="s">
        <v>228</v>
      </c>
      <c r="E1860" t="s">
        <v>229</v>
      </c>
      <c r="G1860" t="s">
        <v>2953</v>
      </c>
      <c r="M1860" s="19">
        <v>45084</v>
      </c>
      <c r="N1860" s="20"/>
      <c r="O1860" s="20"/>
    </row>
    <row r="1861" ht="15" customHeight="1">
      <c r="A1861" t="s">
        <v>4025</v>
      </c>
      <c r="B1861" t="s">
        <v>4026</v>
      </c>
      <c r="C1861" s="21" t="s">
        <v>227</v>
      </c>
      <c r="D1861" t="s">
        <v>228</v>
      </c>
      <c r="E1861" t="s">
        <v>229</v>
      </c>
      <c r="M1861" s="19">
        <v>45084</v>
      </c>
      <c r="N1861" s="20"/>
      <c r="O1861" s="20"/>
    </row>
    <row r="1862" ht="15" customHeight="1">
      <c r="A1862" t="s">
        <v>4027</v>
      </c>
      <c r="B1862" t="s">
        <v>4028</v>
      </c>
      <c r="C1862" s="21" t="s">
        <v>227</v>
      </c>
      <c r="D1862" t="s">
        <v>228</v>
      </c>
      <c r="E1862" t="s">
        <v>229</v>
      </c>
      <c r="G1862" t="s">
        <v>844</v>
      </c>
      <c r="M1862" s="19">
        <v>45084</v>
      </c>
      <c r="N1862" s="20"/>
      <c r="O1862" s="20"/>
    </row>
    <row r="1863" ht="15" customHeight="1">
      <c r="A1863" t="s">
        <v>4029</v>
      </c>
      <c r="B1863" t="s">
        <v>4030</v>
      </c>
      <c r="C1863" t="s">
        <v>1470</v>
      </c>
      <c r="D1863" t="s">
        <v>232</v>
      </c>
      <c r="E1863" t="s">
        <v>233</v>
      </c>
      <c r="M1863" s="19">
        <v>45084</v>
      </c>
      <c r="N1863" s="20"/>
      <c r="O1863" s="20"/>
    </row>
    <row r="1864" ht="15" customHeight="1">
      <c r="A1864" t="s">
        <v>4031</v>
      </c>
      <c r="B1864" t="s">
        <v>4032</v>
      </c>
      <c r="C1864" s="21" t="s">
        <v>227</v>
      </c>
      <c r="D1864" t="s">
        <v>250</v>
      </c>
      <c r="E1864" t="s">
        <v>251</v>
      </c>
      <c r="M1864" s="19">
        <v>45084</v>
      </c>
      <c r="N1864" s="20"/>
      <c r="O1864" s="20"/>
    </row>
    <row r="1865" ht="15" customHeight="1">
      <c r="A1865" t="s">
        <v>4033</v>
      </c>
      <c r="B1865" t="s">
        <v>4034</v>
      </c>
      <c r="C1865" s="23" t="s">
        <v>309</v>
      </c>
      <c r="D1865" t="s">
        <v>232</v>
      </c>
      <c r="E1865" t="s">
        <v>233</v>
      </c>
      <c r="K1865" t="s">
        <v>4035</v>
      </c>
      <c r="M1865" s="19">
        <v>45084</v>
      </c>
      <c r="N1865" s="20"/>
      <c r="O1865" s="20"/>
    </row>
    <row r="1866" ht="15" customHeight="1">
      <c r="A1866" t="s">
        <v>4036</v>
      </c>
      <c r="B1866" t="s">
        <v>4037</v>
      </c>
      <c r="C1866" s="21" t="s">
        <v>227</v>
      </c>
      <c r="D1866" t="s">
        <v>232</v>
      </c>
      <c r="E1866" t="s">
        <v>233</v>
      </c>
      <c r="H1866">
        <v>41</v>
      </c>
      <c r="K1866" t="s">
        <v>2136</v>
      </c>
      <c r="M1866" s="19">
        <v>45083</v>
      </c>
      <c r="N1866" s="20"/>
      <c r="O1866" s="20"/>
    </row>
    <row r="1867" ht="15" customHeight="1">
      <c r="A1867" t="s">
        <v>4038</v>
      </c>
      <c r="B1867" t="s">
        <v>4039</v>
      </c>
      <c r="C1867" s="23" t="s">
        <v>309</v>
      </c>
      <c r="D1867" t="s">
        <v>232</v>
      </c>
      <c r="E1867" t="s">
        <v>233</v>
      </c>
      <c r="H1867">
        <v>6</v>
      </c>
      <c r="K1867" t="s">
        <v>2136</v>
      </c>
      <c r="M1867" s="19">
        <v>45083</v>
      </c>
      <c r="N1867" s="20"/>
      <c r="O1867" s="20"/>
    </row>
    <row r="1868" ht="15" customHeight="1">
      <c r="A1868" t="s">
        <v>4040</v>
      </c>
      <c r="B1868" t="s">
        <v>4041</v>
      </c>
      <c r="C1868" s="23" t="s">
        <v>309</v>
      </c>
      <c r="D1868" t="s">
        <v>232</v>
      </c>
      <c r="E1868" t="s">
        <v>233</v>
      </c>
      <c r="H1868">
        <v>10</v>
      </c>
      <c r="K1868" t="s">
        <v>2136</v>
      </c>
      <c r="M1868" s="19">
        <v>45083</v>
      </c>
      <c r="N1868" s="20"/>
      <c r="O1868" s="20"/>
    </row>
    <row r="1869" ht="15" customHeight="1">
      <c r="A1869" t="s">
        <v>4042</v>
      </c>
      <c r="B1869" t="s">
        <v>4043</v>
      </c>
      <c r="C1869" s="22" t="s">
        <v>55</v>
      </c>
      <c r="D1869" t="s">
        <v>232</v>
      </c>
      <c r="E1869" t="s">
        <v>233</v>
      </c>
      <c r="M1869" s="19">
        <v>45083</v>
      </c>
      <c r="N1869" s="20"/>
      <c r="O1869" s="20"/>
    </row>
    <row r="1870" ht="15" customHeight="1">
      <c r="A1870" t="s">
        <v>4044</v>
      </c>
      <c r="B1870" t="s">
        <v>4045</v>
      </c>
      <c r="C1870" t="s">
        <v>1057</v>
      </c>
      <c r="D1870" t="s">
        <v>223</v>
      </c>
      <c r="E1870" t="s">
        <v>224</v>
      </c>
      <c r="L1870" t="s">
        <v>3149</v>
      </c>
      <c r="M1870" s="19">
        <v>45080</v>
      </c>
      <c r="N1870" s="20"/>
      <c r="O1870" s="20"/>
    </row>
    <row r="1871" ht="15" customHeight="1">
      <c r="A1871" t="s">
        <v>4046</v>
      </c>
      <c r="B1871" t="s">
        <v>4047</v>
      </c>
      <c r="C1871" t="s">
        <v>1057</v>
      </c>
      <c r="D1871" t="s">
        <v>223</v>
      </c>
      <c r="E1871" t="s">
        <v>224</v>
      </c>
      <c r="L1871" t="s">
        <v>4048</v>
      </c>
      <c r="M1871" s="19">
        <v>45080</v>
      </c>
      <c r="N1871" s="20"/>
      <c r="O1871" s="20"/>
    </row>
    <row r="1872" ht="15" customHeight="1">
      <c r="A1872" t="s">
        <v>4049</v>
      </c>
      <c r="B1872" t="s">
        <v>4050</v>
      </c>
      <c r="C1872" t="s">
        <v>1057</v>
      </c>
      <c r="D1872" t="s">
        <v>223</v>
      </c>
      <c r="E1872" t="s">
        <v>224</v>
      </c>
      <c r="L1872" t="s">
        <v>4051</v>
      </c>
      <c r="M1872" s="19">
        <v>45080</v>
      </c>
      <c r="N1872" s="20"/>
      <c r="O1872" s="20"/>
    </row>
    <row r="1873" ht="15" customHeight="1">
      <c r="A1873" t="s">
        <v>4052</v>
      </c>
      <c r="B1873" t="s">
        <v>4053</v>
      </c>
      <c r="C1873" t="s">
        <v>1057</v>
      </c>
      <c r="D1873" t="s">
        <v>223</v>
      </c>
      <c r="E1873" t="s">
        <v>224</v>
      </c>
      <c r="L1873" t="s">
        <v>4051</v>
      </c>
      <c r="M1873" s="19">
        <v>45080</v>
      </c>
      <c r="N1873" s="20"/>
      <c r="O1873" s="20"/>
    </row>
    <row r="1874" ht="15" customHeight="1">
      <c r="A1874" t="s">
        <v>4054</v>
      </c>
      <c r="B1874" t="s">
        <v>4055</v>
      </c>
      <c r="C1874" t="s">
        <v>1057</v>
      </c>
      <c r="D1874" t="s">
        <v>223</v>
      </c>
      <c r="E1874" t="s">
        <v>224</v>
      </c>
      <c r="L1874" t="s">
        <v>4048</v>
      </c>
      <c r="M1874" s="19">
        <v>45080</v>
      </c>
      <c r="N1874" s="20"/>
      <c r="O1874" s="20"/>
    </row>
    <row r="1875" ht="15" customHeight="1">
      <c r="A1875" t="s">
        <v>4056</v>
      </c>
      <c r="B1875" t="s">
        <v>4057</v>
      </c>
      <c r="C1875" s="21" t="s">
        <v>227</v>
      </c>
      <c r="D1875" t="s">
        <v>228</v>
      </c>
      <c r="E1875" t="s">
        <v>229</v>
      </c>
      <c r="L1875" t="s">
        <v>3149</v>
      </c>
      <c r="M1875" s="19">
        <v>45080</v>
      </c>
      <c r="N1875" s="20"/>
      <c r="O1875" s="20"/>
    </row>
    <row r="1876" ht="15" customHeight="1">
      <c r="A1876" t="s">
        <v>4058</v>
      </c>
      <c r="B1876" t="s">
        <v>4059</v>
      </c>
      <c r="C1876" t="s">
        <v>1057</v>
      </c>
      <c r="D1876" t="s">
        <v>223</v>
      </c>
      <c r="E1876" t="s">
        <v>224</v>
      </c>
      <c r="L1876" t="s">
        <v>3149</v>
      </c>
      <c r="M1876" s="19">
        <v>45080</v>
      </c>
      <c r="N1876" s="20"/>
      <c r="O1876" s="20"/>
    </row>
    <row r="1877" ht="15" customHeight="1">
      <c r="A1877" t="s">
        <v>4060</v>
      </c>
      <c r="B1877" t="s">
        <v>4061</v>
      </c>
      <c r="C1877" t="s">
        <v>1057</v>
      </c>
      <c r="D1877" t="s">
        <v>223</v>
      </c>
      <c r="E1877" t="s">
        <v>224</v>
      </c>
      <c r="L1877" t="s">
        <v>3149</v>
      </c>
      <c r="M1877" s="19">
        <v>45080</v>
      </c>
      <c r="N1877" s="20"/>
      <c r="O1877" s="20"/>
    </row>
    <row r="1878" ht="15" customHeight="1">
      <c r="A1878" t="s">
        <v>4062</v>
      </c>
      <c r="B1878" t="s">
        <v>4063</v>
      </c>
      <c r="C1878" t="s">
        <v>1057</v>
      </c>
      <c r="D1878" t="s">
        <v>223</v>
      </c>
      <c r="E1878" t="s">
        <v>224</v>
      </c>
      <c r="L1878" t="s">
        <v>3149</v>
      </c>
      <c r="M1878" s="19">
        <v>45080</v>
      </c>
      <c r="N1878" s="20"/>
      <c r="O1878" s="20"/>
    </row>
    <row r="1879" ht="15" customHeight="1">
      <c r="A1879" t="s">
        <v>4064</v>
      </c>
      <c r="B1879" t="s">
        <v>4065</v>
      </c>
      <c r="C1879" t="s">
        <v>1057</v>
      </c>
      <c r="D1879" t="s">
        <v>223</v>
      </c>
      <c r="E1879" t="s">
        <v>224</v>
      </c>
      <c r="L1879" t="s">
        <v>4051</v>
      </c>
      <c r="M1879" s="19">
        <v>45080</v>
      </c>
      <c r="N1879" s="20"/>
      <c r="O1879" s="20"/>
    </row>
    <row r="1880" ht="15" customHeight="1">
      <c r="A1880" t="s">
        <v>4066</v>
      </c>
      <c r="B1880" t="s">
        <v>4067</v>
      </c>
      <c r="C1880" t="s">
        <v>1057</v>
      </c>
      <c r="D1880" t="s">
        <v>223</v>
      </c>
      <c r="E1880" t="s">
        <v>224</v>
      </c>
      <c r="L1880" t="s">
        <v>4051</v>
      </c>
      <c r="M1880" s="19">
        <v>45080</v>
      </c>
      <c r="N1880" s="20"/>
      <c r="O1880" s="20"/>
    </row>
    <row r="1881" ht="15" customHeight="1">
      <c r="A1881" t="s">
        <v>4068</v>
      </c>
      <c r="B1881" t="s">
        <v>4069</v>
      </c>
      <c r="C1881" t="s">
        <v>1057</v>
      </c>
      <c r="D1881" t="s">
        <v>223</v>
      </c>
      <c r="E1881" t="s">
        <v>224</v>
      </c>
      <c r="L1881" t="s">
        <v>4051</v>
      </c>
      <c r="M1881" s="19">
        <v>45080</v>
      </c>
      <c r="N1881" s="20"/>
      <c r="O1881" s="20"/>
    </row>
    <row r="1882" ht="15" customHeight="1">
      <c r="A1882" t="s">
        <v>4070</v>
      </c>
      <c r="B1882" t="s">
        <v>4071</v>
      </c>
      <c r="C1882" t="s">
        <v>1057</v>
      </c>
      <c r="D1882" t="s">
        <v>223</v>
      </c>
      <c r="E1882" t="s">
        <v>224</v>
      </c>
      <c r="L1882" t="s">
        <v>3149</v>
      </c>
      <c r="M1882" s="19">
        <v>45080</v>
      </c>
      <c r="N1882" s="20"/>
      <c r="O1882" s="20"/>
    </row>
    <row r="1883" ht="15" customHeight="1">
      <c r="A1883" t="s">
        <v>4072</v>
      </c>
      <c r="B1883" t="s">
        <v>4073</v>
      </c>
      <c r="C1883" t="s">
        <v>1057</v>
      </c>
      <c r="D1883" t="s">
        <v>223</v>
      </c>
      <c r="E1883" t="s">
        <v>224</v>
      </c>
      <c r="L1883" t="s">
        <v>4051</v>
      </c>
      <c r="M1883" s="19">
        <v>45080</v>
      </c>
      <c r="N1883" s="20"/>
      <c r="O1883" s="20"/>
    </row>
    <row r="1884" ht="15" customHeight="1">
      <c r="A1884" t="s">
        <v>4074</v>
      </c>
      <c r="B1884" t="s">
        <v>4075</v>
      </c>
      <c r="C1884" t="s">
        <v>1057</v>
      </c>
      <c r="D1884" t="s">
        <v>223</v>
      </c>
      <c r="E1884" t="s">
        <v>224</v>
      </c>
      <c r="L1884" t="s">
        <v>3149</v>
      </c>
      <c r="M1884" s="19">
        <v>45080</v>
      </c>
      <c r="N1884" s="20"/>
      <c r="O1884" s="20"/>
    </row>
    <row r="1885" ht="15" customHeight="1">
      <c r="A1885" t="s">
        <v>4076</v>
      </c>
      <c r="B1885" t="s">
        <v>4077</v>
      </c>
      <c r="C1885" t="s">
        <v>1057</v>
      </c>
      <c r="D1885" t="s">
        <v>223</v>
      </c>
      <c r="E1885" t="s">
        <v>224</v>
      </c>
      <c r="L1885" t="s">
        <v>4048</v>
      </c>
      <c r="M1885" s="19">
        <v>45080</v>
      </c>
      <c r="N1885" s="20"/>
      <c r="O1885" s="20"/>
    </row>
    <row r="1886" ht="15" customHeight="1">
      <c r="A1886" t="s">
        <v>4078</v>
      </c>
      <c r="B1886" t="s">
        <v>4079</v>
      </c>
      <c r="C1886" t="s">
        <v>1057</v>
      </c>
      <c r="D1886" t="s">
        <v>223</v>
      </c>
      <c r="E1886" t="s">
        <v>224</v>
      </c>
      <c r="M1886" s="19">
        <v>45080</v>
      </c>
      <c r="N1886" s="20"/>
      <c r="O1886" s="20"/>
    </row>
    <row r="1887" ht="15" customHeight="1">
      <c r="A1887" t="s">
        <v>4080</v>
      </c>
      <c r="B1887" t="s">
        <v>4081</v>
      </c>
      <c r="C1887" s="21" t="s">
        <v>227</v>
      </c>
      <c r="D1887" t="s">
        <v>232</v>
      </c>
      <c r="E1887" t="s">
        <v>233</v>
      </c>
      <c r="L1887" t="s">
        <v>3149</v>
      </c>
      <c r="M1887" s="19">
        <v>45080</v>
      </c>
      <c r="N1887" s="20"/>
      <c r="O1887" s="20"/>
    </row>
    <row r="1888" ht="15" customHeight="1">
      <c r="A1888" t="s">
        <v>4082</v>
      </c>
      <c r="B1888" t="s">
        <v>4083</v>
      </c>
      <c r="C1888" t="s">
        <v>1057</v>
      </c>
      <c r="D1888" t="s">
        <v>223</v>
      </c>
      <c r="E1888" t="s">
        <v>224</v>
      </c>
      <c r="M1888" s="19">
        <v>45080</v>
      </c>
      <c r="N1888" s="20"/>
      <c r="O1888" s="20"/>
    </row>
    <row r="1889" ht="15" customHeight="1">
      <c r="A1889" t="s">
        <v>4084</v>
      </c>
      <c r="B1889" t="s">
        <v>4085</v>
      </c>
      <c r="C1889" t="s">
        <v>1057</v>
      </c>
      <c r="D1889" t="s">
        <v>223</v>
      </c>
      <c r="E1889" t="s">
        <v>224</v>
      </c>
      <c r="M1889" s="19">
        <v>45080</v>
      </c>
      <c r="N1889" s="20"/>
      <c r="O1889" s="20"/>
    </row>
    <row r="1890" ht="15" customHeight="1">
      <c r="A1890" t="s">
        <v>4086</v>
      </c>
      <c r="B1890" t="s">
        <v>4087</v>
      </c>
      <c r="C1890" t="s">
        <v>1057</v>
      </c>
      <c r="D1890" t="s">
        <v>223</v>
      </c>
      <c r="E1890" t="s">
        <v>224</v>
      </c>
      <c r="M1890" s="19">
        <v>45080</v>
      </c>
      <c r="N1890" s="20"/>
      <c r="O1890" s="20"/>
    </row>
    <row r="1891" ht="15" customHeight="1">
      <c r="A1891" t="s">
        <v>4088</v>
      </c>
      <c r="B1891" t="s">
        <v>4089</v>
      </c>
      <c r="C1891" t="s">
        <v>1057</v>
      </c>
      <c r="D1891" t="s">
        <v>223</v>
      </c>
      <c r="E1891" t="s">
        <v>224</v>
      </c>
      <c r="L1891" t="s">
        <v>3149</v>
      </c>
      <c r="M1891" s="19">
        <v>45080</v>
      </c>
      <c r="N1891" s="20"/>
      <c r="O1891" s="20"/>
    </row>
    <row r="1892" ht="15" customHeight="1">
      <c r="A1892" t="s">
        <v>4090</v>
      </c>
      <c r="B1892" t="s">
        <v>4091</v>
      </c>
      <c r="C1892" s="21" t="s">
        <v>227</v>
      </c>
      <c r="D1892" t="s">
        <v>813</v>
      </c>
      <c r="E1892" t="s">
        <v>814</v>
      </c>
      <c r="L1892" t="s">
        <v>3149</v>
      </c>
      <c r="M1892" s="19">
        <v>45080</v>
      </c>
      <c r="N1892" s="20"/>
      <c r="O1892" s="20"/>
    </row>
    <row r="1893" ht="15" customHeight="1">
      <c r="A1893" t="s">
        <v>4092</v>
      </c>
      <c r="B1893" t="s">
        <v>4093</v>
      </c>
      <c r="C1893" t="s">
        <v>1057</v>
      </c>
      <c r="D1893" t="s">
        <v>223</v>
      </c>
      <c r="E1893" t="s">
        <v>224</v>
      </c>
      <c r="M1893" s="19">
        <v>45080</v>
      </c>
      <c r="N1893" s="20"/>
      <c r="O1893" s="20"/>
    </row>
    <row r="1894" ht="15" customHeight="1">
      <c r="A1894" t="s">
        <v>4094</v>
      </c>
      <c r="B1894" t="s">
        <v>4095</v>
      </c>
      <c r="C1894" s="22" t="s">
        <v>55</v>
      </c>
      <c r="D1894" t="s">
        <v>232</v>
      </c>
      <c r="E1894" t="s">
        <v>233</v>
      </c>
      <c r="L1894" t="s">
        <v>3149</v>
      </c>
      <c r="M1894" s="19">
        <v>45080</v>
      </c>
      <c r="N1894" s="20"/>
      <c r="O1894" s="20"/>
    </row>
    <row r="1895" ht="15" customHeight="1">
      <c r="A1895" t="s">
        <v>4096</v>
      </c>
      <c r="B1895" t="s">
        <v>4097</v>
      </c>
      <c r="C1895" s="21" t="s">
        <v>227</v>
      </c>
      <c r="D1895" t="s">
        <v>813</v>
      </c>
      <c r="E1895" t="s">
        <v>814</v>
      </c>
      <c r="L1895" t="s">
        <v>3149</v>
      </c>
      <c r="M1895" s="19">
        <v>45080</v>
      </c>
      <c r="N1895" s="20"/>
      <c r="O1895" s="20"/>
    </row>
    <row r="1896" ht="15" customHeight="1">
      <c r="A1896" t="s">
        <v>4098</v>
      </c>
      <c r="B1896" t="s">
        <v>4099</v>
      </c>
      <c r="C1896" t="s">
        <v>1057</v>
      </c>
      <c r="D1896" t="s">
        <v>223</v>
      </c>
      <c r="E1896" t="s">
        <v>224</v>
      </c>
      <c r="M1896" s="19">
        <v>45080</v>
      </c>
      <c r="N1896" s="20"/>
      <c r="O1896" s="20"/>
    </row>
    <row r="1897" ht="15" customHeight="1">
      <c r="A1897" t="s">
        <v>4100</v>
      </c>
      <c r="B1897" t="s">
        <v>4101</v>
      </c>
      <c r="C1897" t="s">
        <v>1057</v>
      </c>
      <c r="D1897" t="s">
        <v>223</v>
      </c>
      <c r="E1897" t="s">
        <v>224</v>
      </c>
      <c r="L1897" t="s">
        <v>3149</v>
      </c>
      <c r="M1897" s="19">
        <v>45080</v>
      </c>
      <c r="N1897" s="20"/>
      <c r="O1897" s="20"/>
    </row>
    <row r="1898" ht="15" customHeight="1">
      <c r="A1898" t="s">
        <v>4102</v>
      </c>
      <c r="B1898" t="s">
        <v>4103</v>
      </c>
      <c r="C1898" t="s">
        <v>1057</v>
      </c>
      <c r="D1898" t="s">
        <v>223</v>
      </c>
      <c r="E1898" t="s">
        <v>224</v>
      </c>
      <c r="L1898" t="s">
        <v>3780</v>
      </c>
      <c r="M1898" s="19">
        <v>45080</v>
      </c>
      <c r="N1898" s="20"/>
      <c r="O1898" s="20"/>
    </row>
    <row r="1899" ht="15" customHeight="1">
      <c r="A1899" t="s">
        <v>4104</v>
      </c>
      <c r="B1899" t="s">
        <v>4105</v>
      </c>
      <c r="C1899" t="s">
        <v>1057</v>
      </c>
      <c r="D1899" t="s">
        <v>223</v>
      </c>
      <c r="E1899" t="s">
        <v>224</v>
      </c>
      <c r="L1899" t="s">
        <v>3780</v>
      </c>
      <c r="M1899" s="19">
        <v>45080</v>
      </c>
      <c r="N1899" s="20"/>
      <c r="O1899" s="20"/>
    </row>
    <row r="1900" ht="15" customHeight="1">
      <c r="A1900" t="s">
        <v>4106</v>
      </c>
      <c r="B1900" t="s">
        <v>4107</v>
      </c>
      <c r="C1900" t="s">
        <v>1057</v>
      </c>
      <c r="D1900" t="s">
        <v>223</v>
      </c>
      <c r="E1900" t="s">
        <v>224</v>
      </c>
      <c r="L1900" t="s">
        <v>4048</v>
      </c>
      <c r="M1900" s="19">
        <v>45080</v>
      </c>
      <c r="N1900" s="20"/>
      <c r="O1900" s="20"/>
    </row>
    <row r="1901" ht="15" customHeight="1">
      <c r="A1901" t="s">
        <v>4108</v>
      </c>
      <c r="B1901" t="s">
        <v>4109</v>
      </c>
      <c r="C1901" t="s">
        <v>1057</v>
      </c>
      <c r="D1901" t="s">
        <v>223</v>
      </c>
      <c r="E1901" t="s">
        <v>224</v>
      </c>
      <c r="L1901" t="s">
        <v>3780</v>
      </c>
      <c r="M1901" s="19">
        <v>45080</v>
      </c>
      <c r="N1901" s="20"/>
      <c r="O1901" s="20"/>
    </row>
    <row r="1902" ht="15" customHeight="1">
      <c r="A1902" t="s">
        <v>4110</v>
      </c>
      <c r="B1902" t="s">
        <v>4111</v>
      </c>
      <c r="C1902" t="s">
        <v>1057</v>
      </c>
      <c r="D1902" t="s">
        <v>223</v>
      </c>
      <c r="E1902" t="s">
        <v>224</v>
      </c>
      <c r="L1902" t="s">
        <v>3149</v>
      </c>
      <c r="M1902" s="19">
        <v>45080</v>
      </c>
      <c r="N1902" s="20"/>
      <c r="O1902" s="20"/>
    </row>
    <row r="1903" ht="15" customHeight="1">
      <c r="A1903" t="s">
        <v>4112</v>
      </c>
      <c r="B1903" t="s">
        <v>4113</v>
      </c>
      <c r="C1903" t="s">
        <v>1057</v>
      </c>
      <c r="D1903" t="s">
        <v>223</v>
      </c>
      <c r="E1903" t="s">
        <v>224</v>
      </c>
      <c r="L1903" t="s">
        <v>3780</v>
      </c>
      <c r="M1903" s="19">
        <v>45080</v>
      </c>
      <c r="N1903" s="20"/>
      <c r="O1903" s="20"/>
    </row>
    <row r="1904" ht="15" customHeight="1">
      <c r="A1904" t="s">
        <v>4114</v>
      </c>
      <c r="B1904" t="s">
        <v>4085</v>
      </c>
      <c r="C1904" t="s">
        <v>1057</v>
      </c>
      <c r="D1904" t="s">
        <v>223</v>
      </c>
      <c r="E1904" t="s">
        <v>224</v>
      </c>
      <c r="L1904" t="s">
        <v>3513</v>
      </c>
      <c r="M1904" s="19">
        <v>45080</v>
      </c>
      <c r="N1904" s="20"/>
      <c r="O1904" s="20"/>
    </row>
    <row r="1905" ht="15" customHeight="1">
      <c r="A1905" t="s">
        <v>4115</v>
      </c>
      <c r="B1905" t="s">
        <v>4116</v>
      </c>
      <c r="C1905" t="s">
        <v>1057</v>
      </c>
      <c r="D1905" t="s">
        <v>223</v>
      </c>
      <c r="E1905" t="s">
        <v>224</v>
      </c>
      <c r="L1905" t="s">
        <v>3513</v>
      </c>
      <c r="M1905" s="19">
        <v>45080</v>
      </c>
      <c r="N1905" s="20"/>
      <c r="O1905" s="20"/>
    </row>
    <row r="1906" ht="15" customHeight="1">
      <c r="A1906" t="s">
        <v>4117</v>
      </c>
      <c r="B1906" t="s">
        <v>4118</v>
      </c>
      <c r="C1906" t="s">
        <v>1057</v>
      </c>
      <c r="D1906" t="s">
        <v>223</v>
      </c>
      <c r="E1906" t="s">
        <v>224</v>
      </c>
      <c r="L1906" t="s">
        <v>3780</v>
      </c>
      <c r="M1906" s="19">
        <v>45080</v>
      </c>
      <c r="N1906" s="20"/>
      <c r="O1906" s="20"/>
    </row>
    <row r="1907" ht="15" customHeight="1">
      <c r="A1907" t="s">
        <v>4119</v>
      </c>
      <c r="B1907" t="s">
        <v>4120</v>
      </c>
      <c r="C1907" t="s">
        <v>1057</v>
      </c>
      <c r="D1907" t="s">
        <v>223</v>
      </c>
      <c r="E1907" t="s">
        <v>224</v>
      </c>
      <c r="L1907" t="s">
        <v>3513</v>
      </c>
      <c r="M1907" s="19">
        <v>45080</v>
      </c>
      <c r="N1907" s="20"/>
      <c r="O1907" s="20"/>
    </row>
    <row r="1908" ht="15" customHeight="1">
      <c r="A1908" t="s">
        <v>4121</v>
      </c>
      <c r="B1908" t="s">
        <v>4122</v>
      </c>
      <c r="C1908" t="s">
        <v>1057</v>
      </c>
      <c r="D1908" t="s">
        <v>223</v>
      </c>
      <c r="E1908" t="s">
        <v>224</v>
      </c>
      <c r="L1908" t="s">
        <v>3513</v>
      </c>
      <c r="M1908" s="19">
        <v>45080</v>
      </c>
      <c r="N1908" s="20"/>
      <c r="O1908" s="20"/>
    </row>
    <row r="1909" ht="15" customHeight="1">
      <c r="A1909" t="s">
        <v>4123</v>
      </c>
      <c r="B1909" t="s">
        <v>4124</v>
      </c>
      <c r="C1909" t="s">
        <v>1057</v>
      </c>
      <c r="D1909" t="s">
        <v>223</v>
      </c>
      <c r="E1909" t="s">
        <v>224</v>
      </c>
      <c r="L1909" t="s">
        <v>3513</v>
      </c>
      <c r="M1909" s="19">
        <v>45080</v>
      </c>
      <c r="N1909" s="20"/>
      <c r="O1909" s="20"/>
    </row>
    <row r="1910" ht="15" customHeight="1">
      <c r="A1910" t="s">
        <v>4125</v>
      </c>
      <c r="B1910" t="s">
        <v>4126</v>
      </c>
      <c r="C1910" t="s">
        <v>1057</v>
      </c>
      <c r="D1910" t="s">
        <v>223</v>
      </c>
      <c r="E1910" t="s">
        <v>224</v>
      </c>
      <c r="L1910" t="s">
        <v>3149</v>
      </c>
      <c r="M1910" s="19">
        <v>45080</v>
      </c>
      <c r="N1910" s="20"/>
      <c r="O1910" s="20"/>
    </row>
    <row r="1911" ht="15" customHeight="1">
      <c r="A1911" t="s">
        <v>4127</v>
      </c>
      <c r="B1911" t="s">
        <v>4128</v>
      </c>
      <c r="C1911" t="s">
        <v>1057</v>
      </c>
      <c r="D1911" t="s">
        <v>223</v>
      </c>
      <c r="E1911" t="s">
        <v>224</v>
      </c>
      <c r="L1911" t="s">
        <v>3513</v>
      </c>
      <c r="M1911" s="19">
        <v>45080</v>
      </c>
      <c r="N1911" s="20"/>
      <c r="O1911" s="20"/>
    </row>
    <row r="1912" ht="15" customHeight="1">
      <c r="A1912" t="s">
        <v>4129</v>
      </c>
      <c r="B1912" t="s">
        <v>4130</v>
      </c>
      <c r="C1912" t="s">
        <v>1057</v>
      </c>
      <c r="D1912" t="s">
        <v>223</v>
      </c>
      <c r="E1912" t="s">
        <v>224</v>
      </c>
      <c r="L1912" t="s">
        <v>3780</v>
      </c>
      <c r="M1912" s="19">
        <v>45080</v>
      </c>
      <c r="N1912" s="20"/>
      <c r="O1912" s="20"/>
    </row>
    <row r="1913" ht="15" customHeight="1">
      <c r="A1913" t="s">
        <v>4131</v>
      </c>
      <c r="B1913" t="s">
        <v>4132</v>
      </c>
      <c r="C1913" t="s">
        <v>1057</v>
      </c>
      <c r="D1913" t="s">
        <v>223</v>
      </c>
      <c r="E1913" t="s">
        <v>224</v>
      </c>
      <c r="M1913" s="19">
        <v>45080</v>
      </c>
      <c r="N1913" s="20"/>
      <c r="O1913" s="20"/>
    </row>
    <row r="1914" ht="15" customHeight="1">
      <c r="A1914" t="s">
        <v>4133</v>
      </c>
      <c r="B1914" t="s">
        <v>4134</v>
      </c>
      <c r="C1914" t="s">
        <v>1057</v>
      </c>
      <c r="D1914" t="s">
        <v>223</v>
      </c>
      <c r="E1914" t="s">
        <v>224</v>
      </c>
      <c r="L1914" t="s">
        <v>3149</v>
      </c>
      <c r="M1914" s="19">
        <v>45080</v>
      </c>
      <c r="N1914" s="20"/>
      <c r="O1914" s="20"/>
    </row>
    <row r="1915" ht="15" customHeight="1">
      <c r="A1915" t="s">
        <v>4135</v>
      </c>
      <c r="B1915" t="s">
        <v>4136</v>
      </c>
      <c r="C1915" t="s">
        <v>1057</v>
      </c>
      <c r="D1915" t="s">
        <v>223</v>
      </c>
      <c r="E1915" t="s">
        <v>224</v>
      </c>
      <c r="L1915" t="s">
        <v>3513</v>
      </c>
      <c r="M1915" s="19">
        <v>45080</v>
      </c>
      <c r="N1915" s="20"/>
      <c r="O1915" s="20"/>
    </row>
    <row r="1916" ht="15" customHeight="1">
      <c r="A1916" t="s">
        <v>4137</v>
      </c>
      <c r="B1916" t="s">
        <v>4138</v>
      </c>
      <c r="C1916" t="s">
        <v>1057</v>
      </c>
      <c r="D1916" t="s">
        <v>223</v>
      </c>
      <c r="E1916" t="s">
        <v>224</v>
      </c>
      <c r="L1916" t="s">
        <v>3513</v>
      </c>
      <c r="M1916" s="19">
        <v>45080</v>
      </c>
      <c r="N1916" s="20"/>
      <c r="O1916" s="20"/>
    </row>
    <row r="1917" ht="15" customHeight="1">
      <c r="A1917" t="s">
        <v>4139</v>
      </c>
      <c r="B1917" t="s">
        <v>4140</v>
      </c>
      <c r="C1917" t="s">
        <v>1057</v>
      </c>
      <c r="D1917" t="s">
        <v>223</v>
      </c>
      <c r="E1917" t="s">
        <v>224</v>
      </c>
      <c r="L1917" t="s">
        <v>3149</v>
      </c>
      <c r="M1917" s="19">
        <v>45080</v>
      </c>
      <c r="N1917" s="20"/>
      <c r="O1917" s="20"/>
    </row>
    <row r="1918" ht="15" customHeight="1">
      <c r="A1918" t="s">
        <v>4141</v>
      </c>
      <c r="B1918" t="s">
        <v>4142</v>
      </c>
      <c r="C1918" t="s">
        <v>1057</v>
      </c>
      <c r="D1918" t="s">
        <v>223</v>
      </c>
      <c r="E1918" t="s">
        <v>224</v>
      </c>
      <c r="L1918" t="s">
        <v>3780</v>
      </c>
      <c r="M1918" s="19">
        <v>45080</v>
      </c>
      <c r="N1918" s="20"/>
      <c r="O1918" s="20"/>
    </row>
    <row r="1919" ht="15" customHeight="1">
      <c r="A1919" t="s">
        <v>4143</v>
      </c>
      <c r="B1919" t="s">
        <v>4144</v>
      </c>
      <c r="C1919" t="s">
        <v>1057</v>
      </c>
      <c r="D1919" t="s">
        <v>223</v>
      </c>
      <c r="E1919" t="s">
        <v>224</v>
      </c>
      <c r="L1919" t="s">
        <v>3780</v>
      </c>
      <c r="M1919" s="19">
        <v>45080</v>
      </c>
      <c r="N1919" s="20"/>
      <c r="O1919" s="20"/>
    </row>
    <row r="1920" ht="15" customHeight="1">
      <c r="A1920" t="s">
        <v>4145</v>
      </c>
      <c r="B1920" t="s">
        <v>4146</v>
      </c>
      <c r="C1920" t="s">
        <v>1057</v>
      </c>
      <c r="D1920" t="s">
        <v>223</v>
      </c>
      <c r="E1920" t="s">
        <v>224</v>
      </c>
      <c r="L1920" t="s">
        <v>3149</v>
      </c>
      <c r="M1920" s="19">
        <v>45080</v>
      </c>
      <c r="N1920" s="20"/>
      <c r="O1920" s="20"/>
    </row>
    <row r="1921" ht="15" customHeight="1">
      <c r="A1921" t="s">
        <v>4147</v>
      </c>
      <c r="B1921" t="s">
        <v>4148</v>
      </c>
      <c r="C1921" t="s">
        <v>1057</v>
      </c>
      <c r="D1921" t="s">
        <v>223</v>
      </c>
      <c r="E1921" t="s">
        <v>224</v>
      </c>
      <c r="L1921" t="s">
        <v>3149</v>
      </c>
      <c r="M1921" s="19">
        <v>45080</v>
      </c>
      <c r="N1921" s="20"/>
      <c r="O1921" s="20"/>
    </row>
    <row r="1922" ht="15" customHeight="1">
      <c r="A1922" t="s">
        <v>4149</v>
      </c>
      <c r="B1922" t="s">
        <v>4150</v>
      </c>
      <c r="C1922" s="22" t="s">
        <v>55</v>
      </c>
      <c r="D1922" t="s">
        <v>223</v>
      </c>
      <c r="E1922" t="s">
        <v>224</v>
      </c>
      <c r="M1922" s="19">
        <v>45080</v>
      </c>
      <c r="N1922" s="20"/>
      <c r="O1922" s="20"/>
    </row>
    <row r="1923" ht="15" customHeight="1">
      <c r="A1923" t="s">
        <v>4151</v>
      </c>
      <c r="B1923" t="s">
        <v>4152</v>
      </c>
      <c r="C1923" t="s">
        <v>1057</v>
      </c>
      <c r="D1923" t="s">
        <v>223</v>
      </c>
      <c r="E1923" t="s">
        <v>224</v>
      </c>
      <c r="M1923" s="19">
        <v>45080</v>
      </c>
      <c r="N1923" s="20"/>
      <c r="O1923" s="20"/>
    </row>
    <row r="1924" ht="15" customHeight="1">
      <c r="A1924" t="s">
        <v>4153</v>
      </c>
      <c r="B1924" t="s">
        <v>4154</v>
      </c>
      <c r="C1924" t="s">
        <v>1057</v>
      </c>
      <c r="D1924" t="s">
        <v>223</v>
      </c>
      <c r="E1924" t="s">
        <v>224</v>
      </c>
      <c r="M1924" s="19">
        <v>45080</v>
      </c>
      <c r="N1924" s="20"/>
      <c r="O1924" s="20"/>
    </row>
    <row r="1925" ht="15" customHeight="1">
      <c r="A1925" t="s">
        <v>4155</v>
      </c>
      <c r="B1925" t="s">
        <v>4156</v>
      </c>
      <c r="C1925" s="21" t="s">
        <v>227</v>
      </c>
      <c r="D1925" t="s">
        <v>232</v>
      </c>
      <c r="E1925" t="s">
        <v>233</v>
      </c>
      <c r="L1925" t="s">
        <v>3149</v>
      </c>
      <c r="M1925" s="19">
        <v>45080</v>
      </c>
      <c r="N1925" s="20"/>
      <c r="O1925" s="20"/>
    </row>
    <row r="1926" ht="15" customHeight="1">
      <c r="A1926" t="s">
        <v>4157</v>
      </c>
      <c r="B1926" t="s">
        <v>4158</v>
      </c>
      <c r="C1926" t="s">
        <v>1057</v>
      </c>
      <c r="D1926" t="s">
        <v>223</v>
      </c>
      <c r="E1926" t="s">
        <v>224</v>
      </c>
      <c r="L1926" t="s">
        <v>3149</v>
      </c>
      <c r="M1926" s="19">
        <v>45080</v>
      </c>
      <c r="N1926" s="20"/>
      <c r="O1926" s="20"/>
    </row>
    <row r="1927" ht="15" customHeight="1">
      <c r="A1927" t="s">
        <v>4159</v>
      </c>
      <c r="B1927" t="s">
        <v>4160</v>
      </c>
      <c r="C1927" t="s">
        <v>1057</v>
      </c>
      <c r="D1927" t="s">
        <v>223</v>
      </c>
      <c r="E1927" t="s">
        <v>224</v>
      </c>
      <c r="L1927" t="s">
        <v>3149</v>
      </c>
      <c r="M1927" s="19">
        <v>45080</v>
      </c>
      <c r="N1927" s="20"/>
      <c r="O1927" s="20"/>
    </row>
    <row r="1928" ht="15" customHeight="1">
      <c r="A1928" t="s">
        <v>4161</v>
      </c>
      <c r="B1928" t="s">
        <v>4162</v>
      </c>
      <c r="C1928" t="s">
        <v>1057</v>
      </c>
      <c r="D1928" t="s">
        <v>223</v>
      </c>
      <c r="E1928" t="s">
        <v>224</v>
      </c>
      <c r="M1928" s="19">
        <v>45080</v>
      </c>
      <c r="N1928" s="20"/>
      <c r="O1928" s="20"/>
    </row>
    <row r="1929" ht="15" customHeight="1">
      <c r="A1929" t="s">
        <v>4163</v>
      </c>
      <c r="B1929" t="s">
        <v>4164</v>
      </c>
      <c r="C1929" t="s">
        <v>1057</v>
      </c>
      <c r="D1929" t="s">
        <v>223</v>
      </c>
      <c r="E1929" t="s">
        <v>224</v>
      </c>
      <c r="L1929" t="s">
        <v>3780</v>
      </c>
      <c r="M1929" s="19">
        <v>45080</v>
      </c>
      <c r="N1929" s="20"/>
      <c r="O1929" s="20"/>
    </row>
    <row r="1930" ht="15" customHeight="1">
      <c r="A1930" t="s">
        <v>4165</v>
      </c>
      <c r="B1930" t="s">
        <v>4166</v>
      </c>
      <c r="C1930" t="s">
        <v>1057</v>
      </c>
      <c r="D1930" t="s">
        <v>223</v>
      </c>
      <c r="E1930" t="s">
        <v>224</v>
      </c>
      <c r="L1930" t="s">
        <v>4051</v>
      </c>
      <c r="M1930" s="19">
        <v>45080</v>
      </c>
      <c r="N1930" s="20"/>
      <c r="O1930" s="20"/>
    </row>
    <row r="1931" ht="15" customHeight="1">
      <c r="A1931" t="s">
        <v>4167</v>
      </c>
      <c r="B1931" t="s">
        <v>4168</v>
      </c>
      <c r="C1931" t="s">
        <v>1057</v>
      </c>
      <c r="D1931" t="s">
        <v>223</v>
      </c>
      <c r="E1931" t="s">
        <v>224</v>
      </c>
      <c r="M1931" s="19">
        <v>45080</v>
      </c>
      <c r="N1931" s="20"/>
      <c r="O1931" s="20"/>
    </row>
    <row r="1932" ht="15" customHeight="1">
      <c r="A1932" t="s">
        <v>4169</v>
      </c>
      <c r="B1932" t="s">
        <v>4170</v>
      </c>
      <c r="C1932" s="22" t="s">
        <v>55</v>
      </c>
      <c r="D1932" t="s">
        <v>223</v>
      </c>
      <c r="E1932" t="s">
        <v>224</v>
      </c>
      <c r="M1932" s="19">
        <v>45080</v>
      </c>
      <c r="N1932" s="20"/>
      <c r="O1932" s="20"/>
    </row>
    <row r="1933" ht="15" customHeight="1">
      <c r="A1933" t="s">
        <v>4171</v>
      </c>
      <c r="B1933" t="s">
        <v>4172</v>
      </c>
      <c r="C1933" t="s">
        <v>1057</v>
      </c>
      <c r="D1933" t="s">
        <v>223</v>
      </c>
      <c r="E1933" t="s">
        <v>224</v>
      </c>
      <c r="M1933" s="19">
        <v>45080</v>
      </c>
      <c r="N1933" s="20"/>
      <c r="O1933" s="20"/>
    </row>
    <row r="1934" ht="15" customHeight="1">
      <c r="A1934" t="s">
        <v>4173</v>
      </c>
      <c r="B1934" t="s">
        <v>4174</v>
      </c>
      <c r="C1934" t="s">
        <v>259</v>
      </c>
      <c r="D1934" t="s">
        <v>223</v>
      </c>
      <c r="E1934" t="s">
        <v>224</v>
      </c>
      <c r="M1934" s="19">
        <v>45080</v>
      </c>
      <c r="N1934" s="20"/>
      <c r="O1934" s="20"/>
    </row>
    <row r="1935" ht="15" customHeight="1">
      <c r="A1935" t="s">
        <v>4175</v>
      </c>
      <c r="B1935" t="s">
        <v>4176</v>
      </c>
      <c r="C1935" t="s">
        <v>1057</v>
      </c>
      <c r="D1935" t="s">
        <v>223</v>
      </c>
      <c r="E1935" t="s">
        <v>224</v>
      </c>
      <c r="M1935" s="19">
        <v>45080</v>
      </c>
      <c r="N1935" s="20"/>
      <c r="O1935" s="20"/>
    </row>
    <row r="1936" ht="15" customHeight="1">
      <c r="A1936" t="s">
        <v>4177</v>
      </c>
      <c r="B1936" t="s">
        <v>4178</v>
      </c>
      <c r="C1936" t="s">
        <v>1057</v>
      </c>
      <c r="D1936" t="s">
        <v>223</v>
      </c>
      <c r="E1936" t="s">
        <v>224</v>
      </c>
      <c r="M1936" s="19">
        <v>45080</v>
      </c>
      <c r="N1936" s="20"/>
      <c r="O1936" s="20"/>
    </row>
    <row r="1937" ht="15" customHeight="1">
      <c r="A1937" t="s">
        <v>4179</v>
      </c>
      <c r="B1937" t="s">
        <v>4180</v>
      </c>
      <c r="C1937" t="s">
        <v>1057</v>
      </c>
      <c r="D1937" t="s">
        <v>223</v>
      </c>
      <c r="E1937" t="s">
        <v>224</v>
      </c>
      <c r="M1937" s="19">
        <v>45080</v>
      </c>
      <c r="N1937" s="20"/>
      <c r="O1937" s="20"/>
    </row>
    <row r="1938" ht="15" customHeight="1">
      <c r="A1938" t="s">
        <v>4181</v>
      </c>
      <c r="B1938" t="s">
        <v>4182</v>
      </c>
      <c r="C1938" t="s">
        <v>1057</v>
      </c>
      <c r="D1938" t="s">
        <v>223</v>
      </c>
      <c r="E1938" t="s">
        <v>224</v>
      </c>
      <c r="L1938" t="s">
        <v>3780</v>
      </c>
      <c r="M1938" s="19">
        <v>45080</v>
      </c>
      <c r="N1938" s="20"/>
      <c r="O1938" s="20"/>
    </row>
    <row r="1939" ht="15" customHeight="1">
      <c r="A1939" t="s">
        <v>4183</v>
      </c>
      <c r="B1939" t="s">
        <v>4184</v>
      </c>
      <c r="C1939" t="s">
        <v>1057</v>
      </c>
      <c r="D1939" t="s">
        <v>223</v>
      </c>
      <c r="E1939" t="s">
        <v>224</v>
      </c>
      <c r="L1939" t="s">
        <v>3780</v>
      </c>
      <c r="M1939" s="19">
        <v>45080</v>
      </c>
      <c r="N1939" s="20"/>
      <c r="O1939" s="20"/>
    </row>
    <row r="1940" ht="15" customHeight="1">
      <c r="A1940" t="s">
        <v>4185</v>
      </c>
      <c r="B1940" t="s">
        <v>4186</v>
      </c>
      <c r="C1940" s="22" t="s">
        <v>55</v>
      </c>
      <c r="D1940" t="s">
        <v>223</v>
      </c>
      <c r="E1940" t="s">
        <v>224</v>
      </c>
      <c r="M1940" s="19">
        <v>45080</v>
      </c>
      <c r="N1940" s="20"/>
      <c r="O1940" s="20"/>
    </row>
    <row r="1941" ht="15" customHeight="1">
      <c r="A1941" t="s">
        <v>4187</v>
      </c>
      <c r="B1941" t="s">
        <v>4188</v>
      </c>
      <c r="C1941" s="23" t="s">
        <v>309</v>
      </c>
      <c r="D1941" t="s">
        <v>232</v>
      </c>
      <c r="E1941" t="s">
        <v>233</v>
      </c>
      <c r="H1941">
        <v>8</v>
      </c>
      <c r="M1941" s="19">
        <v>45079</v>
      </c>
      <c r="N1941" s="19">
        <v>45148</v>
      </c>
      <c r="O1941" s="20"/>
    </row>
    <row r="1942" ht="15" customHeight="1">
      <c r="A1942" t="s">
        <v>4189</v>
      </c>
      <c r="B1942" t="s">
        <v>4190</v>
      </c>
      <c r="C1942" t="s">
        <v>1470</v>
      </c>
      <c r="D1942" t="s">
        <v>232</v>
      </c>
      <c r="E1942" t="s">
        <v>233</v>
      </c>
      <c r="M1942" s="19">
        <v>45079</v>
      </c>
      <c r="N1942" s="19">
        <v>45120</v>
      </c>
      <c r="O1942" s="20"/>
    </row>
    <row r="1943" ht="15" customHeight="1">
      <c r="A1943" t="s">
        <v>4191</v>
      </c>
      <c r="B1943" t="s">
        <v>4192</v>
      </c>
      <c r="C1943" t="s">
        <v>1470</v>
      </c>
      <c r="D1943" t="s">
        <v>232</v>
      </c>
      <c r="E1943" t="s">
        <v>233</v>
      </c>
      <c r="H1943">
        <v>5</v>
      </c>
      <c r="M1943" s="19">
        <v>45079</v>
      </c>
      <c r="N1943" s="19">
        <v>45134</v>
      </c>
      <c r="O1943" s="20"/>
    </row>
    <row r="1944" ht="15" customHeight="1">
      <c r="A1944" t="s">
        <v>4193</v>
      </c>
      <c r="B1944" t="s">
        <v>4194</v>
      </c>
      <c r="C1944" t="s">
        <v>1470</v>
      </c>
      <c r="D1944" t="s">
        <v>228</v>
      </c>
      <c r="E1944" t="s">
        <v>229</v>
      </c>
      <c r="H1944">
        <v>2</v>
      </c>
      <c r="M1944" s="19">
        <v>45078</v>
      </c>
      <c r="N1944" s="19">
        <v>45106</v>
      </c>
      <c r="O1944" s="20"/>
    </row>
    <row r="1945" ht="15" customHeight="1">
      <c r="A1945" t="s">
        <v>4195</v>
      </c>
      <c r="B1945" t="s">
        <v>4196</v>
      </c>
      <c r="C1945" s="23" t="s">
        <v>309</v>
      </c>
      <c r="D1945" t="s">
        <v>250</v>
      </c>
      <c r="E1945" t="s">
        <v>251</v>
      </c>
      <c r="M1945" s="19">
        <v>45078</v>
      </c>
      <c r="N1945" s="19">
        <v>45168</v>
      </c>
      <c r="O1945" s="20"/>
    </row>
    <row r="1946" ht="15" customHeight="1">
      <c r="A1946" t="s">
        <v>4197</v>
      </c>
      <c r="B1946" t="s">
        <v>4198</v>
      </c>
      <c r="C1946" t="s">
        <v>1470</v>
      </c>
      <c r="D1946" t="s">
        <v>232</v>
      </c>
      <c r="E1946" t="s">
        <v>233</v>
      </c>
      <c r="H1946">
        <v>3</v>
      </c>
      <c r="M1946" s="19">
        <v>45077</v>
      </c>
      <c r="N1946" s="19">
        <v>45218</v>
      </c>
      <c r="O1946" s="20"/>
    </row>
    <row r="1947" ht="15" customHeight="1">
      <c r="A1947" t="s">
        <v>4199</v>
      </c>
      <c r="B1947" t="s">
        <v>4200</v>
      </c>
      <c r="C1947" s="23" t="s">
        <v>309</v>
      </c>
      <c r="D1947" t="s">
        <v>232</v>
      </c>
      <c r="E1947" t="s">
        <v>233</v>
      </c>
      <c r="M1947" s="19">
        <v>45077</v>
      </c>
      <c r="N1947" s="20"/>
      <c r="O1947" s="20"/>
    </row>
    <row r="1948" ht="15" customHeight="1">
      <c r="A1948" t="s">
        <v>4201</v>
      </c>
      <c r="B1948" t="s">
        <v>4202</v>
      </c>
      <c r="C1948" s="23" t="s">
        <v>309</v>
      </c>
      <c r="D1948" t="s">
        <v>232</v>
      </c>
      <c r="E1948" t="s">
        <v>233</v>
      </c>
      <c r="H1948">
        <v>1</v>
      </c>
      <c r="K1948" t="s">
        <v>3314</v>
      </c>
      <c r="M1948" s="19">
        <v>45077</v>
      </c>
      <c r="N1948" s="20"/>
      <c r="O1948" s="20"/>
    </row>
    <row r="1949" ht="15" customHeight="1">
      <c r="A1949" t="s">
        <v>4203</v>
      </c>
      <c r="B1949" t="s">
        <v>4204</v>
      </c>
      <c r="C1949" t="s">
        <v>1470</v>
      </c>
      <c r="D1949" t="s">
        <v>232</v>
      </c>
      <c r="E1949" t="s">
        <v>233</v>
      </c>
      <c r="H1949">
        <v>5</v>
      </c>
      <c r="M1949" s="19">
        <v>45076</v>
      </c>
      <c r="N1949" s="19">
        <v>45134</v>
      </c>
      <c r="O1949" s="20"/>
    </row>
    <row r="1950" ht="15" customHeight="1">
      <c r="A1950" t="s">
        <v>4205</v>
      </c>
      <c r="B1950" t="s">
        <v>4206</v>
      </c>
      <c r="C1950" s="21" t="s">
        <v>227</v>
      </c>
      <c r="D1950" t="s">
        <v>813</v>
      </c>
      <c r="E1950" t="s">
        <v>814</v>
      </c>
      <c r="M1950" s="19">
        <v>45072</v>
      </c>
      <c r="N1950" s="20"/>
      <c r="O1950" s="20"/>
    </row>
    <row r="1951" ht="15" customHeight="1">
      <c r="A1951" t="s">
        <v>4207</v>
      </c>
      <c r="B1951" t="s">
        <v>4208</v>
      </c>
      <c r="C1951" s="23" t="s">
        <v>309</v>
      </c>
      <c r="D1951" t="s">
        <v>813</v>
      </c>
      <c r="E1951" t="s">
        <v>814</v>
      </c>
      <c r="L1951" t="s">
        <v>4209</v>
      </c>
      <c r="M1951" s="19">
        <v>45072</v>
      </c>
      <c r="N1951" s="19">
        <v>45092</v>
      </c>
      <c r="O1951" s="19">
        <v>45748</v>
      </c>
    </row>
    <row r="1952" ht="15" customHeight="1">
      <c r="A1952" t="s">
        <v>4210</v>
      </c>
      <c r="B1952" t="s">
        <v>4211</v>
      </c>
      <c r="C1952" t="s">
        <v>1470</v>
      </c>
      <c r="D1952" t="s">
        <v>232</v>
      </c>
      <c r="E1952" t="s">
        <v>233</v>
      </c>
      <c r="M1952" s="19">
        <v>45072</v>
      </c>
      <c r="N1952" s="19">
        <v>45148</v>
      </c>
      <c r="O1952" s="20"/>
    </row>
    <row r="1953" ht="15" customHeight="1">
      <c r="A1953" t="s">
        <v>4212</v>
      </c>
      <c r="B1953" t="s">
        <v>4213</v>
      </c>
      <c r="C1953" s="21" t="s">
        <v>227</v>
      </c>
      <c r="D1953" t="s">
        <v>813</v>
      </c>
      <c r="E1953" t="s">
        <v>814</v>
      </c>
      <c r="M1953" s="19">
        <v>45071</v>
      </c>
      <c r="N1953" s="20"/>
      <c r="O1953" s="20"/>
    </row>
    <row r="1954" ht="15" customHeight="1">
      <c r="A1954" t="s">
        <v>4214</v>
      </c>
      <c r="B1954" t="s">
        <v>4215</v>
      </c>
      <c r="C1954" s="23" t="s">
        <v>309</v>
      </c>
      <c r="D1954" t="s">
        <v>232</v>
      </c>
      <c r="E1954" t="s">
        <v>233</v>
      </c>
      <c r="M1954" s="19">
        <v>45071</v>
      </c>
      <c r="N1954" s="20"/>
      <c r="O1954" s="20"/>
    </row>
    <row r="1955" ht="15" customHeight="1">
      <c r="A1955" t="s">
        <v>4216</v>
      </c>
      <c r="B1955" t="s">
        <v>4217</v>
      </c>
      <c r="C1955" s="23" t="s">
        <v>309</v>
      </c>
      <c r="D1955" t="s">
        <v>232</v>
      </c>
      <c r="E1955" t="s">
        <v>233</v>
      </c>
      <c r="H1955">
        <v>2</v>
      </c>
      <c r="K1955" t="s">
        <v>3314</v>
      </c>
      <c r="L1955" t="s">
        <v>4218</v>
      </c>
      <c r="M1955" s="19">
        <v>45071</v>
      </c>
      <c r="N1955" s="19">
        <v>45092</v>
      </c>
      <c r="O1955" s="20"/>
    </row>
    <row r="1956" ht="15" customHeight="1">
      <c r="A1956" t="s">
        <v>4219</v>
      </c>
      <c r="B1956" t="s">
        <v>4220</v>
      </c>
      <c r="C1956" t="s">
        <v>1470</v>
      </c>
      <c r="D1956" t="s">
        <v>232</v>
      </c>
      <c r="E1956" t="s">
        <v>233</v>
      </c>
      <c r="M1956" s="19">
        <v>45070</v>
      </c>
      <c r="N1956" s="19">
        <v>45092</v>
      </c>
      <c r="O1956" s="20"/>
    </row>
    <row r="1957" ht="15" customHeight="1">
      <c r="A1957" t="s">
        <v>4221</v>
      </c>
      <c r="B1957" t="s">
        <v>4222</v>
      </c>
      <c r="C1957" s="21" t="s">
        <v>227</v>
      </c>
      <c r="D1957" t="s">
        <v>813</v>
      </c>
      <c r="E1957" t="s">
        <v>814</v>
      </c>
      <c r="M1957" s="19">
        <v>45064</v>
      </c>
      <c r="N1957" s="20"/>
      <c r="O1957" s="20"/>
    </row>
    <row r="1958" ht="15" customHeight="1">
      <c r="A1958" t="s">
        <v>4223</v>
      </c>
      <c r="B1958" t="s">
        <v>4224</v>
      </c>
      <c r="C1958" t="s">
        <v>1057</v>
      </c>
      <c r="D1958" t="s">
        <v>223</v>
      </c>
      <c r="E1958" t="s">
        <v>224</v>
      </c>
      <c r="L1958" t="s">
        <v>3149</v>
      </c>
      <c r="M1958" s="19">
        <v>45063</v>
      </c>
      <c r="N1958" s="20"/>
      <c r="O1958" s="20"/>
    </row>
    <row r="1959" ht="15" customHeight="1">
      <c r="A1959" t="s">
        <v>4225</v>
      </c>
      <c r="B1959" t="s">
        <v>4226</v>
      </c>
      <c r="C1959" s="21" t="s">
        <v>227</v>
      </c>
      <c r="D1959" t="s">
        <v>250</v>
      </c>
      <c r="E1959" t="s">
        <v>251</v>
      </c>
      <c r="M1959" s="19">
        <v>45063</v>
      </c>
      <c r="N1959" s="19">
        <v>45154</v>
      </c>
      <c r="O1959" s="20"/>
    </row>
    <row r="1960" ht="15" customHeight="1">
      <c r="A1960" t="s">
        <v>4227</v>
      </c>
      <c r="B1960" t="s">
        <v>4228</v>
      </c>
      <c r="C1960" t="s">
        <v>1057</v>
      </c>
      <c r="D1960" t="s">
        <v>223</v>
      </c>
      <c r="E1960" t="s">
        <v>224</v>
      </c>
      <c r="M1960" s="19">
        <v>45063</v>
      </c>
      <c r="N1960" s="20"/>
      <c r="O1960" s="20"/>
    </row>
    <row r="1961" ht="15" customHeight="1">
      <c r="A1961" t="s">
        <v>4229</v>
      </c>
      <c r="B1961" t="s">
        <v>4230</v>
      </c>
      <c r="C1961" s="21" t="s">
        <v>227</v>
      </c>
      <c r="D1961" t="s">
        <v>250</v>
      </c>
      <c r="E1961" t="s">
        <v>251</v>
      </c>
      <c r="M1961" s="19">
        <v>45063</v>
      </c>
      <c r="N1961" s="20"/>
      <c r="O1961" s="20"/>
    </row>
    <row r="1962" ht="15" customHeight="1">
      <c r="A1962" t="s">
        <v>4231</v>
      </c>
      <c r="B1962" t="s">
        <v>4232</v>
      </c>
      <c r="C1962" s="22" t="s">
        <v>55</v>
      </c>
      <c r="D1962" t="s">
        <v>232</v>
      </c>
      <c r="E1962" t="s">
        <v>233</v>
      </c>
      <c r="H1962">
        <v>42</v>
      </c>
      <c r="K1962" t="s">
        <v>2136</v>
      </c>
      <c r="M1962" s="19">
        <v>45062</v>
      </c>
      <c r="N1962" s="20"/>
      <c r="O1962" s="20"/>
    </row>
    <row r="1963" ht="15" customHeight="1">
      <c r="A1963" t="s">
        <v>4233</v>
      </c>
      <c r="B1963" t="s">
        <v>4234</v>
      </c>
      <c r="C1963" s="23" t="s">
        <v>309</v>
      </c>
      <c r="D1963" t="s">
        <v>232</v>
      </c>
      <c r="E1963" t="s">
        <v>233</v>
      </c>
      <c r="M1963" s="19">
        <v>45062</v>
      </c>
      <c r="N1963" s="20"/>
      <c r="O1963" s="20"/>
    </row>
    <row r="1964" ht="15" customHeight="1">
      <c r="A1964" t="s">
        <v>4235</v>
      </c>
      <c r="B1964" t="s">
        <v>4236</v>
      </c>
      <c r="C1964" s="23" t="s">
        <v>309</v>
      </c>
      <c r="D1964" t="s">
        <v>232</v>
      </c>
      <c r="E1964" t="s">
        <v>233</v>
      </c>
      <c r="H1964">
        <v>5</v>
      </c>
      <c r="K1964" t="s">
        <v>815</v>
      </c>
      <c r="M1964" s="19">
        <v>45061</v>
      </c>
      <c r="N1964" s="20"/>
      <c r="O1964" s="20"/>
    </row>
    <row r="1965" ht="15" customHeight="1">
      <c r="A1965" t="s">
        <v>4237</v>
      </c>
      <c r="B1965" t="s">
        <v>4238</v>
      </c>
      <c r="C1965" s="23" t="s">
        <v>309</v>
      </c>
      <c r="D1965" t="s">
        <v>813</v>
      </c>
      <c r="E1965" t="s">
        <v>814</v>
      </c>
      <c r="M1965" s="19">
        <v>45058</v>
      </c>
      <c r="N1965" s="20"/>
      <c r="O1965" s="20"/>
    </row>
    <row r="1966" ht="15" customHeight="1">
      <c r="A1966" t="s">
        <v>4239</v>
      </c>
      <c r="B1966" t="s">
        <v>4240</v>
      </c>
      <c r="C1966" s="23" t="s">
        <v>309</v>
      </c>
      <c r="D1966" t="s">
        <v>228</v>
      </c>
      <c r="E1966" t="s">
        <v>229</v>
      </c>
      <c r="M1966" s="19">
        <v>45056</v>
      </c>
      <c r="N1966" s="20"/>
      <c r="O1966" s="20"/>
    </row>
    <row r="1967" ht="15" customHeight="1">
      <c r="A1967" t="s">
        <v>4241</v>
      </c>
      <c r="B1967" t="s">
        <v>4242</v>
      </c>
      <c r="C1967" s="23" t="s">
        <v>309</v>
      </c>
      <c r="D1967" t="s">
        <v>228</v>
      </c>
      <c r="E1967" t="s">
        <v>229</v>
      </c>
      <c r="M1967" s="19">
        <v>45056</v>
      </c>
      <c r="N1967" s="20"/>
      <c r="O1967" s="20"/>
    </row>
    <row r="1968" ht="15" customHeight="1">
      <c r="A1968" t="s">
        <v>4243</v>
      </c>
      <c r="B1968" t="s">
        <v>4244</v>
      </c>
      <c r="C1968" s="21" t="s">
        <v>227</v>
      </c>
      <c r="D1968" t="s">
        <v>250</v>
      </c>
      <c r="E1968" t="s">
        <v>251</v>
      </c>
      <c r="M1968" s="19">
        <v>45056</v>
      </c>
      <c r="N1968" s="20"/>
      <c r="O1968" s="20"/>
    </row>
    <row r="1969" ht="15" customHeight="1">
      <c r="A1969" t="s">
        <v>4245</v>
      </c>
      <c r="B1969" t="s">
        <v>4246</v>
      </c>
      <c r="C1969" s="21" t="s">
        <v>227</v>
      </c>
      <c r="D1969" t="s">
        <v>250</v>
      </c>
      <c r="E1969" t="s">
        <v>251</v>
      </c>
      <c r="M1969" s="19">
        <v>45056</v>
      </c>
      <c r="N1969" s="20"/>
      <c r="O1969" s="20"/>
    </row>
    <row r="1970" ht="15" customHeight="1">
      <c r="A1970" t="s">
        <v>4247</v>
      </c>
      <c r="B1970" t="s">
        <v>4248</v>
      </c>
      <c r="C1970" s="21" t="s">
        <v>227</v>
      </c>
      <c r="D1970" t="s">
        <v>250</v>
      </c>
      <c r="E1970" t="s">
        <v>251</v>
      </c>
      <c r="M1970" s="19">
        <v>45056</v>
      </c>
      <c r="N1970" s="20"/>
      <c r="O1970" s="20"/>
    </row>
    <row r="1971" ht="15" customHeight="1">
      <c r="A1971" t="s">
        <v>4249</v>
      </c>
      <c r="B1971" t="s">
        <v>4250</v>
      </c>
      <c r="C1971" s="21" t="s">
        <v>227</v>
      </c>
      <c r="D1971" t="s">
        <v>250</v>
      </c>
      <c r="E1971" t="s">
        <v>251</v>
      </c>
      <c r="M1971" s="19">
        <v>45056</v>
      </c>
      <c r="N1971" s="20"/>
      <c r="O1971" s="20"/>
    </row>
    <row r="1972" ht="15" customHeight="1">
      <c r="A1972" t="s">
        <v>4251</v>
      </c>
      <c r="B1972" t="s">
        <v>4252</v>
      </c>
      <c r="C1972" s="21" t="s">
        <v>227</v>
      </c>
      <c r="D1972" t="s">
        <v>250</v>
      </c>
      <c r="E1972" t="s">
        <v>251</v>
      </c>
      <c r="M1972" s="19">
        <v>45056</v>
      </c>
      <c r="N1972" s="20"/>
      <c r="O1972" s="20"/>
    </row>
    <row r="1973" ht="15" customHeight="1">
      <c r="A1973" t="s">
        <v>4253</v>
      </c>
      <c r="B1973" t="s">
        <v>4254</v>
      </c>
      <c r="C1973" s="21" t="s">
        <v>227</v>
      </c>
      <c r="D1973" t="s">
        <v>813</v>
      </c>
      <c r="E1973" t="s">
        <v>814</v>
      </c>
      <c r="H1973">
        <v>3</v>
      </c>
      <c r="M1973" s="19">
        <v>45055</v>
      </c>
      <c r="N1973" s="20"/>
      <c r="O1973" s="20"/>
    </row>
    <row r="1974" ht="15" customHeight="1">
      <c r="A1974" t="s">
        <v>4255</v>
      </c>
      <c r="B1974" t="s">
        <v>4256</v>
      </c>
      <c r="C1974" s="23" t="s">
        <v>309</v>
      </c>
      <c r="D1974" t="s">
        <v>232</v>
      </c>
      <c r="E1974" t="s">
        <v>233</v>
      </c>
      <c r="M1974" s="19">
        <v>45051</v>
      </c>
      <c r="N1974" s="20"/>
      <c r="O1974" s="20"/>
    </row>
    <row r="1975" ht="15" customHeight="1">
      <c r="A1975" t="s">
        <v>4257</v>
      </c>
      <c r="B1975" t="s">
        <v>4258</v>
      </c>
      <c r="C1975" t="s">
        <v>1470</v>
      </c>
      <c r="D1975" t="s">
        <v>232</v>
      </c>
      <c r="E1975" t="s">
        <v>233</v>
      </c>
      <c r="M1975" s="19">
        <v>45049</v>
      </c>
      <c r="N1975" s="20"/>
      <c r="O1975" s="20"/>
    </row>
    <row r="1976" ht="15" customHeight="1">
      <c r="A1976" t="s">
        <v>4259</v>
      </c>
      <c r="B1976" t="s">
        <v>4260</v>
      </c>
      <c r="C1976" s="21" t="s">
        <v>227</v>
      </c>
      <c r="D1976" t="s">
        <v>813</v>
      </c>
      <c r="E1976" t="s">
        <v>814</v>
      </c>
      <c r="M1976" s="19">
        <v>45048</v>
      </c>
      <c r="N1976" s="20"/>
      <c r="O1976" s="20"/>
    </row>
    <row r="1977" ht="15" customHeight="1">
      <c r="A1977" t="s">
        <v>4261</v>
      </c>
      <c r="B1977" t="s">
        <v>4262</v>
      </c>
      <c r="C1977" s="23" t="s">
        <v>309</v>
      </c>
      <c r="D1977" t="s">
        <v>250</v>
      </c>
      <c r="E1977" t="s">
        <v>251</v>
      </c>
      <c r="K1977" t="s">
        <v>1135</v>
      </c>
      <c r="M1977" s="19">
        <v>45048</v>
      </c>
      <c r="N1977" s="20"/>
      <c r="O1977" s="20"/>
    </row>
    <row r="1978" ht="15" customHeight="1">
      <c r="A1978" t="s">
        <v>4263</v>
      </c>
      <c r="B1978" t="s">
        <v>4264</v>
      </c>
      <c r="C1978" s="21" t="s">
        <v>227</v>
      </c>
      <c r="D1978" t="s">
        <v>813</v>
      </c>
      <c r="E1978" t="s">
        <v>814</v>
      </c>
      <c r="K1978" t="s">
        <v>2927</v>
      </c>
      <c r="M1978" s="19">
        <v>45042</v>
      </c>
      <c r="N1978" s="20"/>
      <c r="O1978" s="20"/>
    </row>
    <row r="1979" ht="15" customHeight="1">
      <c r="A1979" t="s">
        <v>4265</v>
      </c>
      <c r="B1979" t="s">
        <v>4266</v>
      </c>
      <c r="C1979" s="23" t="s">
        <v>309</v>
      </c>
      <c r="D1979" t="s">
        <v>250</v>
      </c>
      <c r="E1979" t="s">
        <v>251</v>
      </c>
      <c r="K1979" t="s">
        <v>2475</v>
      </c>
      <c r="M1979" s="19">
        <v>45041</v>
      </c>
      <c r="N1979" s="20"/>
      <c r="O1979" s="20"/>
    </row>
    <row r="1980" ht="15" customHeight="1">
      <c r="A1980" t="s">
        <v>4267</v>
      </c>
      <c r="B1980" t="s">
        <v>4268</v>
      </c>
      <c r="C1980" s="21" t="s">
        <v>227</v>
      </c>
      <c r="D1980" t="s">
        <v>813</v>
      </c>
      <c r="E1980" t="s">
        <v>814</v>
      </c>
      <c r="K1980" t="s">
        <v>2927</v>
      </c>
      <c r="M1980" s="19">
        <v>45037</v>
      </c>
      <c r="N1980" s="20"/>
      <c r="O1980" s="20"/>
    </row>
    <row r="1981" ht="15" customHeight="1">
      <c r="A1981" t="s">
        <v>4269</v>
      </c>
      <c r="B1981" t="s">
        <v>4270</v>
      </c>
      <c r="C1981" s="21" t="s">
        <v>227</v>
      </c>
      <c r="D1981" t="s">
        <v>813</v>
      </c>
      <c r="E1981" t="s">
        <v>814</v>
      </c>
      <c r="M1981" s="19">
        <v>45037</v>
      </c>
      <c r="N1981" s="20"/>
      <c r="O1981" s="20"/>
    </row>
    <row r="1982" ht="15" customHeight="1">
      <c r="A1982" t="s">
        <v>4271</v>
      </c>
      <c r="B1982" t="s">
        <v>4272</v>
      </c>
      <c r="C1982" s="23" t="s">
        <v>309</v>
      </c>
      <c r="D1982" t="s">
        <v>232</v>
      </c>
      <c r="E1982" t="s">
        <v>233</v>
      </c>
      <c r="H1982">
        <v>1</v>
      </c>
      <c r="K1982" t="s">
        <v>3314</v>
      </c>
      <c r="M1982" s="19">
        <v>45036</v>
      </c>
      <c r="N1982" s="20"/>
      <c r="O1982" s="20"/>
    </row>
    <row r="1983" ht="15" customHeight="1">
      <c r="A1983" t="s">
        <v>4273</v>
      </c>
      <c r="B1983" t="s">
        <v>4274</v>
      </c>
      <c r="C1983" s="21" t="s">
        <v>227</v>
      </c>
      <c r="D1983" t="s">
        <v>250</v>
      </c>
      <c r="E1983" t="s">
        <v>251</v>
      </c>
      <c r="M1983" s="19">
        <v>45034</v>
      </c>
      <c r="N1983" s="20"/>
      <c r="O1983" s="20"/>
    </row>
    <row r="1984" ht="15" customHeight="1">
      <c r="A1984" t="s">
        <v>4275</v>
      </c>
      <c r="B1984" t="s">
        <v>4276</v>
      </c>
      <c r="C1984" s="21" t="s">
        <v>227</v>
      </c>
      <c r="D1984" t="s">
        <v>813</v>
      </c>
      <c r="E1984" t="s">
        <v>814</v>
      </c>
      <c r="M1984" s="19">
        <v>45034</v>
      </c>
      <c r="N1984" s="20"/>
      <c r="O1984" s="20"/>
    </row>
    <row r="1985" ht="15" customHeight="1">
      <c r="A1985" t="s">
        <v>4277</v>
      </c>
      <c r="B1985" t="s">
        <v>4278</v>
      </c>
      <c r="C1985" t="s">
        <v>1470</v>
      </c>
      <c r="D1985" t="s">
        <v>232</v>
      </c>
      <c r="E1985" t="s">
        <v>233</v>
      </c>
      <c r="H1985">
        <v>3</v>
      </c>
      <c r="M1985" s="19">
        <v>45030</v>
      </c>
      <c r="N1985" s="19">
        <v>45218</v>
      </c>
      <c r="O1985" s="20"/>
    </row>
    <row r="1986" ht="15" customHeight="1">
      <c r="A1986" t="s">
        <v>4279</v>
      </c>
      <c r="B1986" t="s">
        <v>4280</v>
      </c>
      <c r="C1986" s="23" t="s">
        <v>309</v>
      </c>
      <c r="D1986" t="s">
        <v>232</v>
      </c>
      <c r="E1986" t="s">
        <v>233</v>
      </c>
      <c r="H1986">
        <v>5</v>
      </c>
      <c r="M1986" s="19">
        <v>45029</v>
      </c>
      <c r="N1986" s="19">
        <v>45218</v>
      </c>
      <c r="O1986" s="20"/>
    </row>
    <row r="1987" ht="15" customHeight="1">
      <c r="A1987" t="s">
        <v>4281</v>
      </c>
      <c r="B1987" t="s">
        <v>4282</v>
      </c>
      <c r="C1987" s="21" t="s">
        <v>227</v>
      </c>
      <c r="D1987" t="s">
        <v>813</v>
      </c>
      <c r="E1987" t="s">
        <v>814</v>
      </c>
      <c r="M1987" s="19">
        <v>45028</v>
      </c>
      <c r="N1987" s="20"/>
      <c r="O1987" s="20"/>
    </row>
    <row r="1988" ht="15" customHeight="1">
      <c r="A1988" t="s">
        <v>4283</v>
      </c>
      <c r="B1988" t="s">
        <v>4284</v>
      </c>
      <c r="C1988" t="s">
        <v>1470</v>
      </c>
      <c r="D1988" t="s">
        <v>228</v>
      </c>
      <c r="E1988" t="s">
        <v>229</v>
      </c>
      <c r="M1988" s="19">
        <v>45023</v>
      </c>
      <c r="N1988" s="20"/>
      <c r="O1988" s="20"/>
    </row>
    <row r="1989" ht="15" customHeight="1">
      <c r="A1989" t="s">
        <v>4285</v>
      </c>
      <c r="B1989" t="s">
        <v>4286</v>
      </c>
      <c r="C1989" t="s">
        <v>1470</v>
      </c>
      <c r="D1989" t="s">
        <v>228</v>
      </c>
      <c r="E1989" t="s">
        <v>229</v>
      </c>
      <c r="M1989" s="19">
        <v>45023</v>
      </c>
      <c r="N1989" s="20"/>
      <c r="O1989" s="20"/>
    </row>
    <row r="1990" ht="15" customHeight="1">
      <c r="A1990" t="s">
        <v>4287</v>
      </c>
      <c r="B1990" t="s">
        <v>4288</v>
      </c>
      <c r="C1990" s="21" t="s">
        <v>227</v>
      </c>
      <c r="D1990" t="s">
        <v>813</v>
      </c>
      <c r="E1990" t="s">
        <v>814</v>
      </c>
      <c r="H1990">
        <v>1</v>
      </c>
      <c r="M1990" s="19">
        <v>45022</v>
      </c>
      <c r="N1990" s="20"/>
      <c r="O1990" s="20"/>
    </row>
    <row r="1991" ht="15" customHeight="1">
      <c r="A1991" t="s">
        <v>4289</v>
      </c>
      <c r="B1991" t="s">
        <v>4290</v>
      </c>
      <c r="C1991" s="21" t="s">
        <v>227</v>
      </c>
      <c r="D1991" t="s">
        <v>250</v>
      </c>
      <c r="E1991" t="s">
        <v>251</v>
      </c>
      <c r="M1991" s="19">
        <v>45022</v>
      </c>
      <c r="N1991" s="20"/>
      <c r="O1991" s="20"/>
    </row>
    <row r="1992" ht="15" customHeight="1">
      <c r="A1992" t="s">
        <v>4291</v>
      </c>
      <c r="B1992" t="s">
        <v>4292</v>
      </c>
      <c r="C1992" s="21" t="s">
        <v>227</v>
      </c>
      <c r="D1992" t="s">
        <v>813</v>
      </c>
      <c r="E1992" t="s">
        <v>814</v>
      </c>
      <c r="M1992" s="19">
        <v>45022</v>
      </c>
      <c r="N1992" s="20"/>
      <c r="O1992" s="20"/>
    </row>
    <row r="1993" ht="15" customHeight="1">
      <c r="A1993" t="s">
        <v>4293</v>
      </c>
      <c r="B1993" t="s">
        <v>4294</v>
      </c>
      <c r="C1993" s="23" t="s">
        <v>309</v>
      </c>
      <c r="D1993" t="s">
        <v>250</v>
      </c>
      <c r="E1993" t="s">
        <v>251</v>
      </c>
      <c r="K1993" t="s">
        <v>1135</v>
      </c>
      <c r="M1993" s="19">
        <v>45009</v>
      </c>
      <c r="N1993" s="20"/>
      <c r="O1993" s="20"/>
    </row>
    <row r="1994" ht="15" customHeight="1">
      <c r="A1994" t="s">
        <v>4295</v>
      </c>
      <c r="B1994" t="s">
        <v>4296</v>
      </c>
      <c r="C1994" s="21" t="s">
        <v>227</v>
      </c>
      <c r="D1994" t="s">
        <v>813</v>
      </c>
      <c r="E1994" t="s">
        <v>814</v>
      </c>
      <c r="M1994" s="19">
        <v>45008</v>
      </c>
      <c r="N1994" s="20"/>
      <c r="O1994" s="20"/>
    </row>
    <row r="1995" ht="15" customHeight="1">
      <c r="A1995" t="s">
        <v>4297</v>
      </c>
      <c r="B1995" t="s">
        <v>4298</v>
      </c>
      <c r="C1995" s="21" t="s">
        <v>227</v>
      </c>
      <c r="D1995" t="s">
        <v>813</v>
      </c>
      <c r="E1995" t="s">
        <v>814</v>
      </c>
      <c r="M1995" s="19">
        <v>45008</v>
      </c>
      <c r="N1995" s="20"/>
      <c r="O1995" s="20"/>
    </row>
    <row r="1996" ht="15" customHeight="1">
      <c r="A1996" t="s">
        <v>4299</v>
      </c>
      <c r="B1996" t="s">
        <v>4300</v>
      </c>
      <c r="C1996" s="23" t="s">
        <v>309</v>
      </c>
      <c r="D1996" t="s">
        <v>250</v>
      </c>
      <c r="E1996" t="s">
        <v>251</v>
      </c>
      <c r="K1996" t="s">
        <v>2133</v>
      </c>
      <c r="M1996" s="19">
        <v>45008</v>
      </c>
      <c r="N1996" s="20"/>
      <c r="O1996" s="20"/>
    </row>
    <row r="1997" ht="15" customHeight="1">
      <c r="A1997" t="s">
        <v>4301</v>
      </c>
      <c r="B1997" t="s">
        <v>4302</v>
      </c>
      <c r="C1997" s="23" t="s">
        <v>309</v>
      </c>
      <c r="D1997" t="s">
        <v>282</v>
      </c>
      <c r="E1997" t="s">
        <v>283</v>
      </c>
      <c r="K1997" t="s">
        <v>3785</v>
      </c>
      <c r="M1997" s="19">
        <v>45008</v>
      </c>
      <c r="N1997" s="20"/>
      <c r="O1997" s="20"/>
    </row>
    <row r="1998" ht="15" customHeight="1">
      <c r="A1998" t="s">
        <v>4303</v>
      </c>
      <c r="B1998" t="s">
        <v>4304</v>
      </c>
      <c r="C1998" s="21" t="s">
        <v>227</v>
      </c>
      <c r="D1998" t="s">
        <v>250</v>
      </c>
      <c r="E1998" t="s">
        <v>251</v>
      </c>
      <c r="M1998" s="19">
        <v>45008</v>
      </c>
      <c r="N1998" s="20"/>
      <c r="O1998" s="20"/>
    </row>
    <row r="1999" ht="15" customHeight="1">
      <c r="A1999" t="s">
        <v>4305</v>
      </c>
      <c r="B1999" t="s">
        <v>4306</v>
      </c>
      <c r="C1999" t="s">
        <v>1470</v>
      </c>
      <c r="D1999" t="s">
        <v>228</v>
      </c>
      <c r="E1999" t="s">
        <v>229</v>
      </c>
      <c r="H1999">
        <v>8</v>
      </c>
      <c r="L1999" t="s">
        <v>4307</v>
      </c>
      <c r="M1999" s="19">
        <v>45007</v>
      </c>
      <c r="N1999" s="20"/>
      <c r="O1999" s="20"/>
    </row>
    <row r="2000" ht="15" customHeight="1">
      <c r="A2000" t="s">
        <v>4308</v>
      </c>
      <c r="B2000" t="s">
        <v>4309</v>
      </c>
      <c r="C2000" s="23" t="s">
        <v>309</v>
      </c>
      <c r="D2000" t="s">
        <v>250</v>
      </c>
      <c r="E2000" t="s">
        <v>251</v>
      </c>
      <c r="K2000" t="s">
        <v>1135</v>
      </c>
      <c r="M2000" s="19">
        <v>45007</v>
      </c>
      <c r="N2000" s="20"/>
      <c r="O2000" s="20"/>
    </row>
    <row r="2001" ht="15" customHeight="1">
      <c r="A2001" t="s">
        <v>4310</v>
      </c>
      <c r="B2001" t="s">
        <v>4311</v>
      </c>
      <c r="C2001" s="21" t="s">
        <v>227</v>
      </c>
      <c r="D2001" t="s">
        <v>813</v>
      </c>
      <c r="E2001" t="s">
        <v>814</v>
      </c>
      <c r="H2001">
        <v>3</v>
      </c>
      <c r="M2001" s="19">
        <v>45007</v>
      </c>
      <c r="N2001" s="20"/>
      <c r="O2001" s="20"/>
    </row>
    <row r="2002" ht="15" customHeight="1">
      <c r="A2002" t="s">
        <v>4312</v>
      </c>
      <c r="B2002" t="s">
        <v>4313</v>
      </c>
      <c r="C2002" s="21" t="s">
        <v>227</v>
      </c>
      <c r="D2002" t="s">
        <v>250</v>
      </c>
      <c r="E2002" t="s">
        <v>251</v>
      </c>
      <c r="H2002">
        <v>2</v>
      </c>
      <c r="M2002" s="19">
        <v>45007</v>
      </c>
      <c r="N2002" s="19">
        <v>45112</v>
      </c>
      <c r="O2002" s="20"/>
    </row>
    <row r="2003" ht="15" customHeight="1">
      <c r="A2003" t="s">
        <v>4314</v>
      </c>
      <c r="B2003" t="s">
        <v>4315</v>
      </c>
      <c r="C2003" t="s">
        <v>314</v>
      </c>
      <c r="D2003" t="s">
        <v>813</v>
      </c>
      <c r="E2003" t="s">
        <v>814</v>
      </c>
      <c r="M2003" s="19">
        <v>45005</v>
      </c>
      <c r="N2003" s="20"/>
      <c r="O2003" s="20"/>
    </row>
    <row r="2004" ht="15" customHeight="1">
      <c r="A2004" t="s">
        <v>4316</v>
      </c>
      <c r="B2004" t="s">
        <v>4317</v>
      </c>
      <c r="C2004" s="23" t="s">
        <v>309</v>
      </c>
      <c r="D2004" t="s">
        <v>813</v>
      </c>
      <c r="E2004" t="s">
        <v>814</v>
      </c>
      <c r="H2004">
        <v>1</v>
      </c>
      <c r="M2004" s="19">
        <v>45005</v>
      </c>
      <c r="N2004" s="20"/>
      <c r="O2004" s="20"/>
    </row>
    <row r="2005" ht="15" customHeight="1">
      <c r="A2005" t="s">
        <v>4318</v>
      </c>
      <c r="B2005" t="s">
        <v>4319</v>
      </c>
      <c r="C2005" s="21" t="s">
        <v>227</v>
      </c>
      <c r="D2005" t="s">
        <v>250</v>
      </c>
      <c r="E2005" t="s">
        <v>251</v>
      </c>
      <c r="M2005" s="19">
        <v>45005</v>
      </c>
      <c r="N2005" s="19">
        <v>45037</v>
      </c>
      <c r="O2005" s="20"/>
    </row>
    <row r="2006" ht="15" customHeight="1">
      <c r="A2006" t="s">
        <v>4320</v>
      </c>
      <c r="B2006" t="s">
        <v>4321</v>
      </c>
      <c r="C2006" s="21" t="s">
        <v>227</v>
      </c>
      <c r="D2006" t="s">
        <v>250</v>
      </c>
      <c r="E2006" t="s">
        <v>251</v>
      </c>
      <c r="M2006" s="19">
        <v>45005</v>
      </c>
      <c r="N2006" s="20"/>
      <c r="O2006" s="20"/>
    </row>
    <row r="2007" ht="15" customHeight="1">
      <c r="A2007" t="s">
        <v>4322</v>
      </c>
      <c r="B2007" t="s">
        <v>4323</v>
      </c>
      <c r="C2007" s="21" t="s">
        <v>227</v>
      </c>
      <c r="D2007" t="s">
        <v>250</v>
      </c>
      <c r="E2007" t="s">
        <v>251</v>
      </c>
      <c r="M2007" s="19">
        <v>45005</v>
      </c>
      <c r="N2007" s="20"/>
      <c r="O2007" s="20"/>
    </row>
    <row r="2008" ht="15" customHeight="1">
      <c r="A2008" t="s">
        <v>4324</v>
      </c>
      <c r="B2008" t="s">
        <v>4325</v>
      </c>
      <c r="C2008" s="23" t="s">
        <v>309</v>
      </c>
      <c r="D2008" t="s">
        <v>813</v>
      </c>
      <c r="E2008" t="s">
        <v>814</v>
      </c>
      <c r="K2008" t="s">
        <v>2927</v>
      </c>
      <c r="L2008" t="s">
        <v>4326</v>
      </c>
      <c r="M2008" s="19">
        <v>45001</v>
      </c>
      <c r="N2008" s="19">
        <v>45008</v>
      </c>
      <c r="O2008" s="20"/>
    </row>
    <row r="2009" ht="15" customHeight="1">
      <c r="A2009" t="s">
        <v>4327</v>
      </c>
      <c r="B2009" t="s">
        <v>4328</v>
      </c>
      <c r="C2009" s="21" t="s">
        <v>227</v>
      </c>
      <c r="D2009" t="s">
        <v>813</v>
      </c>
      <c r="E2009" t="s">
        <v>814</v>
      </c>
      <c r="M2009" s="19">
        <v>45001</v>
      </c>
      <c r="N2009" s="20"/>
      <c r="O2009" s="20"/>
    </row>
    <row r="2010" ht="15" customHeight="1">
      <c r="A2010" t="s">
        <v>4329</v>
      </c>
      <c r="B2010" t="s">
        <v>4330</v>
      </c>
      <c r="C2010" s="23" t="s">
        <v>309</v>
      </c>
      <c r="D2010" t="s">
        <v>250</v>
      </c>
      <c r="E2010" t="s">
        <v>251</v>
      </c>
      <c r="K2010" t="s">
        <v>1135</v>
      </c>
      <c r="M2010" s="19">
        <v>45001</v>
      </c>
      <c r="N2010" s="20"/>
      <c r="O2010" s="20"/>
    </row>
    <row r="2011" ht="15" customHeight="1">
      <c r="A2011" t="s">
        <v>4331</v>
      </c>
      <c r="B2011" t="s">
        <v>4332</v>
      </c>
      <c r="C2011" s="21" t="s">
        <v>227</v>
      </c>
      <c r="D2011" t="s">
        <v>250</v>
      </c>
      <c r="E2011" t="s">
        <v>251</v>
      </c>
      <c r="M2011" s="19">
        <v>45000</v>
      </c>
      <c r="N2011" s="19">
        <v>45067</v>
      </c>
      <c r="O2011" s="20"/>
    </row>
    <row r="2012" ht="15" customHeight="1">
      <c r="A2012" t="s">
        <v>4333</v>
      </c>
      <c r="B2012" t="s">
        <v>4334</v>
      </c>
      <c r="C2012" s="23" t="s">
        <v>309</v>
      </c>
      <c r="D2012" t="s">
        <v>250</v>
      </c>
      <c r="E2012" t="s">
        <v>251</v>
      </c>
      <c r="M2012" s="19">
        <v>45000</v>
      </c>
      <c r="N2012" s="19">
        <v>45112</v>
      </c>
      <c r="O2012" s="20"/>
    </row>
    <row r="2013" ht="15" customHeight="1">
      <c r="A2013" t="s">
        <v>4335</v>
      </c>
      <c r="B2013" t="s">
        <v>4336</v>
      </c>
      <c r="C2013" s="21" t="s">
        <v>227</v>
      </c>
      <c r="D2013" t="s">
        <v>250</v>
      </c>
      <c r="E2013" t="s">
        <v>251</v>
      </c>
      <c r="M2013" s="19">
        <v>45000</v>
      </c>
      <c r="N2013" s="19">
        <v>45037</v>
      </c>
      <c r="O2013" s="20"/>
    </row>
    <row r="2014" ht="15" customHeight="1">
      <c r="A2014" t="s">
        <v>4337</v>
      </c>
      <c r="B2014" t="s">
        <v>4338</v>
      </c>
      <c r="C2014" s="23" t="s">
        <v>309</v>
      </c>
      <c r="D2014" t="s">
        <v>813</v>
      </c>
      <c r="E2014" t="s">
        <v>814</v>
      </c>
      <c r="H2014">
        <v>3</v>
      </c>
      <c r="K2014" t="s">
        <v>2927</v>
      </c>
      <c r="L2014" t="s">
        <v>4339</v>
      </c>
      <c r="M2014" s="19">
        <v>45000</v>
      </c>
      <c r="N2014" s="19">
        <v>45008</v>
      </c>
      <c r="O2014" s="20"/>
    </row>
    <row r="2015" ht="15" customHeight="1">
      <c r="A2015" t="s">
        <v>4340</v>
      </c>
      <c r="B2015" t="s">
        <v>4341</v>
      </c>
      <c r="C2015" s="21" t="s">
        <v>227</v>
      </c>
      <c r="D2015" t="s">
        <v>250</v>
      </c>
      <c r="E2015" t="s">
        <v>251</v>
      </c>
      <c r="M2015" s="19">
        <v>44998</v>
      </c>
      <c r="N2015" s="20"/>
      <c r="O2015" s="20"/>
    </row>
    <row r="2016" ht="15" customHeight="1">
      <c r="A2016" t="s">
        <v>4342</v>
      </c>
      <c r="B2016" t="s">
        <v>4343</v>
      </c>
      <c r="C2016" s="21" t="s">
        <v>227</v>
      </c>
      <c r="D2016" t="s">
        <v>250</v>
      </c>
      <c r="E2016" t="s">
        <v>251</v>
      </c>
      <c r="M2016" s="19">
        <v>44994</v>
      </c>
      <c r="N2016" s="19">
        <v>45112</v>
      </c>
      <c r="O2016" s="20"/>
    </row>
    <row r="2017" ht="15" customHeight="1">
      <c r="A2017" t="s">
        <v>4344</v>
      </c>
      <c r="B2017" t="s">
        <v>4345</v>
      </c>
      <c r="C2017" s="23" t="s">
        <v>309</v>
      </c>
      <c r="D2017" t="s">
        <v>250</v>
      </c>
      <c r="E2017" t="s">
        <v>251</v>
      </c>
      <c r="M2017" s="19">
        <v>44994</v>
      </c>
      <c r="N2017" s="19">
        <v>45112</v>
      </c>
      <c r="O2017" s="20"/>
    </row>
    <row r="2018" ht="15" customHeight="1">
      <c r="A2018" t="s">
        <v>4346</v>
      </c>
      <c r="B2018" t="s">
        <v>4347</v>
      </c>
      <c r="C2018" s="21" t="s">
        <v>227</v>
      </c>
      <c r="D2018" t="s">
        <v>250</v>
      </c>
      <c r="E2018" t="s">
        <v>251</v>
      </c>
      <c r="M2018" s="19">
        <v>44994</v>
      </c>
      <c r="N2018" s="19">
        <v>45112</v>
      </c>
      <c r="O2018" s="20"/>
    </row>
    <row r="2019" ht="15" customHeight="1">
      <c r="A2019" t="s">
        <v>4348</v>
      </c>
      <c r="B2019" t="s">
        <v>4349</v>
      </c>
      <c r="C2019" s="21" t="s">
        <v>227</v>
      </c>
      <c r="D2019" t="s">
        <v>250</v>
      </c>
      <c r="E2019" t="s">
        <v>251</v>
      </c>
      <c r="M2019" s="19">
        <v>44994</v>
      </c>
      <c r="N2019" s="19">
        <v>45067</v>
      </c>
      <c r="O2019" s="20"/>
    </row>
    <row r="2020" ht="15" customHeight="1">
      <c r="A2020" t="s">
        <v>4350</v>
      </c>
      <c r="B2020" t="s">
        <v>4351</v>
      </c>
      <c r="C2020" s="21" t="s">
        <v>227</v>
      </c>
      <c r="D2020" t="s">
        <v>813</v>
      </c>
      <c r="E2020" t="s">
        <v>814</v>
      </c>
      <c r="M2020" s="19">
        <v>44994</v>
      </c>
      <c r="N2020" s="20"/>
      <c r="O2020" s="20"/>
    </row>
    <row r="2021" ht="15" customHeight="1">
      <c r="A2021" t="s">
        <v>4352</v>
      </c>
      <c r="B2021" t="s">
        <v>4353</v>
      </c>
      <c r="C2021" t="s">
        <v>1470</v>
      </c>
      <c r="D2021" t="s">
        <v>232</v>
      </c>
      <c r="E2021" t="s">
        <v>233</v>
      </c>
      <c r="M2021" s="19">
        <v>44994</v>
      </c>
      <c r="N2021" s="20"/>
      <c r="O2021" s="20"/>
    </row>
    <row r="2022" ht="15" customHeight="1">
      <c r="A2022" t="s">
        <v>4354</v>
      </c>
      <c r="B2022" t="s">
        <v>4355</v>
      </c>
      <c r="C2022" s="21" t="s">
        <v>227</v>
      </c>
      <c r="D2022" t="s">
        <v>250</v>
      </c>
      <c r="E2022" t="s">
        <v>251</v>
      </c>
      <c r="M2022" s="19">
        <v>44994</v>
      </c>
      <c r="N2022" s="19">
        <v>45097</v>
      </c>
      <c r="O2022" s="20"/>
    </row>
    <row r="2023" ht="15" customHeight="1">
      <c r="A2023" t="s">
        <v>4356</v>
      </c>
      <c r="B2023" t="s">
        <v>4357</v>
      </c>
      <c r="C2023" s="21" t="s">
        <v>227</v>
      </c>
      <c r="D2023" t="s">
        <v>250</v>
      </c>
      <c r="E2023" t="s">
        <v>251</v>
      </c>
      <c r="H2023">
        <v>2</v>
      </c>
      <c r="L2023" t="s">
        <v>4358</v>
      </c>
      <c r="M2023" s="19">
        <v>44994</v>
      </c>
      <c r="N2023" s="19">
        <v>45082</v>
      </c>
      <c r="O2023" s="20"/>
    </row>
    <row r="2024" ht="15" customHeight="1">
      <c r="A2024" t="s">
        <v>4359</v>
      </c>
      <c r="B2024" t="s">
        <v>4360</v>
      </c>
      <c r="C2024" s="23" t="s">
        <v>309</v>
      </c>
      <c r="D2024" t="s">
        <v>250</v>
      </c>
      <c r="E2024" t="s">
        <v>251</v>
      </c>
      <c r="H2024">
        <v>5</v>
      </c>
      <c r="L2024" t="s">
        <v>4358</v>
      </c>
      <c r="M2024" s="19">
        <v>44994</v>
      </c>
      <c r="N2024" s="19">
        <v>45082</v>
      </c>
      <c r="O2024" s="20"/>
    </row>
    <row r="2025" ht="15" customHeight="1">
      <c r="A2025" t="s">
        <v>4361</v>
      </c>
      <c r="B2025" t="s">
        <v>4362</v>
      </c>
      <c r="C2025" s="21" t="s">
        <v>227</v>
      </c>
      <c r="D2025" t="s">
        <v>250</v>
      </c>
      <c r="E2025" t="s">
        <v>251</v>
      </c>
      <c r="H2025">
        <v>30</v>
      </c>
      <c r="L2025" t="s">
        <v>4363</v>
      </c>
      <c r="M2025" s="19">
        <v>44994</v>
      </c>
      <c r="N2025" s="20"/>
      <c r="O2025" s="20"/>
    </row>
    <row r="2026" ht="15" customHeight="1">
      <c r="A2026" t="s">
        <v>4364</v>
      </c>
      <c r="B2026" t="s">
        <v>4365</v>
      </c>
      <c r="C2026" s="21" t="s">
        <v>227</v>
      </c>
      <c r="D2026" t="s">
        <v>250</v>
      </c>
      <c r="E2026" t="s">
        <v>251</v>
      </c>
      <c r="M2026" s="19">
        <v>44994</v>
      </c>
      <c r="N2026" s="19">
        <v>45067</v>
      </c>
      <c r="O2026" s="20"/>
    </row>
    <row r="2027" ht="15" customHeight="1">
      <c r="A2027" t="s">
        <v>4366</v>
      </c>
      <c r="B2027" t="s">
        <v>4367</v>
      </c>
      <c r="C2027" s="21" t="s">
        <v>227</v>
      </c>
      <c r="D2027" t="s">
        <v>813</v>
      </c>
      <c r="E2027" t="s">
        <v>814</v>
      </c>
      <c r="M2027" s="19">
        <v>44994</v>
      </c>
      <c r="N2027" s="20"/>
      <c r="O2027" s="20"/>
    </row>
    <row r="2028" ht="15" customHeight="1">
      <c r="A2028" t="s">
        <v>4368</v>
      </c>
      <c r="B2028" t="s">
        <v>4369</v>
      </c>
      <c r="C2028" s="21" t="s">
        <v>227</v>
      </c>
      <c r="D2028" t="s">
        <v>813</v>
      </c>
      <c r="E2028" t="s">
        <v>814</v>
      </c>
      <c r="M2028" s="19">
        <v>44994</v>
      </c>
      <c r="N2028" s="20"/>
      <c r="O2028" s="20"/>
    </row>
    <row r="2029" ht="15" customHeight="1">
      <c r="A2029" t="s">
        <v>4370</v>
      </c>
      <c r="B2029" t="s">
        <v>4371</v>
      </c>
      <c r="C2029" s="23" t="s">
        <v>309</v>
      </c>
      <c r="D2029" t="s">
        <v>250</v>
      </c>
      <c r="E2029" t="s">
        <v>251</v>
      </c>
      <c r="H2029">
        <v>5</v>
      </c>
      <c r="L2029" t="s">
        <v>4372</v>
      </c>
      <c r="M2029" s="19">
        <v>44993</v>
      </c>
      <c r="N2029" s="19">
        <v>45008</v>
      </c>
      <c r="O2029" s="20"/>
    </row>
    <row r="2030" ht="15" customHeight="1">
      <c r="A2030" t="s">
        <v>4373</v>
      </c>
      <c r="B2030" t="s">
        <v>4374</v>
      </c>
      <c r="C2030" s="21" t="s">
        <v>227</v>
      </c>
      <c r="D2030" t="s">
        <v>813</v>
      </c>
      <c r="E2030" t="s">
        <v>814</v>
      </c>
      <c r="H2030">
        <v>2</v>
      </c>
      <c r="L2030" t="s">
        <v>4209</v>
      </c>
      <c r="M2030" s="19">
        <v>44993</v>
      </c>
      <c r="N2030" s="19">
        <v>45078</v>
      </c>
      <c r="O2030" s="20"/>
    </row>
    <row r="2031" ht="15" customHeight="1">
      <c r="A2031" t="s">
        <v>4375</v>
      </c>
      <c r="B2031" t="s">
        <v>4376</v>
      </c>
      <c r="C2031" s="21" t="s">
        <v>227</v>
      </c>
      <c r="D2031" t="s">
        <v>813</v>
      </c>
      <c r="E2031" t="s">
        <v>814</v>
      </c>
      <c r="H2031">
        <v>5</v>
      </c>
      <c r="M2031" s="19">
        <v>44993</v>
      </c>
      <c r="N2031" s="19">
        <v>45175</v>
      </c>
      <c r="O2031" s="20"/>
    </row>
    <row r="2032" ht="15" customHeight="1">
      <c r="A2032" t="s">
        <v>4377</v>
      </c>
      <c r="B2032" t="s">
        <v>4378</v>
      </c>
      <c r="C2032" s="24" t="s">
        <v>322</v>
      </c>
      <c r="D2032" t="s">
        <v>813</v>
      </c>
      <c r="E2032" t="s">
        <v>814</v>
      </c>
      <c r="H2032">
        <v>3</v>
      </c>
      <c r="K2032" t="s">
        <v>2927</v>
      </c>
      <c r="L2032" t="s">
        <v>4379</v>
      </c>
      <c r="M2032" s="19">
        <v>44993</v>
      </c>
      <c r="N2032" s="19">
        <v>45092</v>
      </c>
      <c r="O2032" s="20"/>
    </row>
    <row r="2033" ht="15" customHeight="1">
      <c r="A2033" t="s">
        <v>4380</v>
      </c>
      <c r="B2033" t="s">
        <v>4381</v>
      </c>
      <c r="C2033" s="21" t="s">
        <v>227</v>
      </c>
      <c r="D2033" t="s">
        <v>250</v>
      </c>
      <c r="E2033" t="s">
        <v>251</v>
      </c>
      <c r="M2033" s="19">
        <v>44993</v>
      </c>
      <c r="N2033" s="20"/>
      <c r="O2033" s="20"/>
    </row>
    <row r="2034" ht="15" customHeight="1">
      <c r="A2034" t="s">
        <v>4382</v>
      </c>
      <c r="B2034" t="s">
        <v>4383</v>
      </c>
      <c r="C2034" s="21" t="s">
        <v>227</v>
      </c>
      <c r="D2034" t="s">
        <v>250</v>
      </c>
      <c r="E2034" t="s">
        <v>251</v>
      </c>
      <c r="M2034" s="19">
        <v>44993</v>
      </c>
      <c r="N2034" s="20"/>
      <c r="O2034" s="20"/>
    </row>
    <row r="2035" ht="15" customHeight="1">
      <c r="A2035" t="s">
        <v>4384</v>
      </c>
      <c r="B2035" t="s">
        <v>4385</v>
      </c>
      <c r="C2035" s="23" t="s">
        <v>309</v>
      </c>
      <c r="D2035" t="s">
        <v>813</v>
      </c>
      <c r="E2035" t="s">
        <v>814</v>
      </c>
      <c r="H2035">
        <v>2</v>
      </c>
      <c r="L2035" t="s">
        <v>4386</v>
      </c>
      <c r="M2035" s="19">
        <v>44993</v>
      </c>
      <c r="N2035" s="19">
        <v>45050</v>
      </c>
      <c r="O2035" s="20"/>
    </row>
    <row r="2036" ht="15" customHeight="1">
      <c r="A2036" t="s">
        <v>4387</v>
      </c>
      <c r="B2036" t="s">
        <v>4388</v>
      </c>
      <c r="C2036" s="23" t="s">
        <v>309</v>
      </c>
      <c r="D2036" t="s">
        <v>232</v>
      </c>
      <c r="E2036" t="s">
        <v>233</v>
      </c>
      <c r="H2036">
        <v>3</v>
      </c>
      <c r="M2036" s="19">
        <v>44992</v>
      </c>
      <c r="N2036" s="20"/>
      <c r="O2036" s="20"/>
    </row>
    <row r="2037" ht="15" customHeight="1">
      <c r="A2037" t="s">
        <v>4389</v>
      </c>
      <c r="B2037" t="s">
        <v>4390</v>
      </c>
      <c r="C2037" s="21" t="s">
        <v>227</v>
      </c>
      <c r="D2037" t="s">
        <v>813</v>
      </c>
      <c r="E2037" t="s">
        <v>814</v>
      </c>
      <c r="K2037" t="s">
        <v>2927</v>
      </c>
      <c r="M2037" s="19">
        <v>44991</v>
      </c>
      <c r="N2037" s="20"/>
      <c r="O2037" s="20"/>
    </row>
    <row r="2038" ht="15" customHeight="1">
      <c r="A2038" t="s">
        <v>4391</v>
      </c>
      <c r="B2038" t="s">
        <v>4392</v>
      </c>
      <c r="C2038" s="21" t="s">
        <v>227</v>
      </c>
      <c r="D2038" t="s">
        <v>813</v>
      </c>
      <c r="E2038" t="s">
        <v>814</v>
      </c>
      <c r="K2038" t="s">
        <v>2927</v>
      </c>
      <c r="M2038" s="19">
        <v>44991</v>
      </c>
      <c r="N2038" s="20"/>
      <c r="O2038" s="20"/>
    </row>
    <row r="2039" ht="15" customHeight="1">
      <c r="A2039" t="s">
        <v>4393</v>
      </c>
      <c r="B2039" t="s">
        <v>4394</v>
      </c>
      <c r="C2039" s="22" t="s">
        <v>55</v>
      </c>
      <c r="D2039" t="s">
        <v>813</v>
      </c>
      <c r="E2039" t="s">
        <v>814</v>
      </c>
      <c r="H2039">
        <v>20</v>
      </c>
      <c r="M2039" s="19">
        <v>44988</v>
      </c>
      <c r="N2039" s="20"/>
      <c r="O2039" s="20"/>
    </row>
    <row r="2040" ht="15" customHeight="1">
      <c r="A2040" t="s">
        <v>4395</v>
      </c>
      <c r="B2040" t="s">
        <v>4396</v>
      </c>
      <c r="C2040" s="22" t="s">
        <v>55</v>
      </c>
      <c r="D2040" t="s">
        <v>813</v>
      </c>
      <c r="E2040" t="s">
        <v>814</v>
      </c>
      <c r="K2040" t="s">
        <v>2927</v>
      </c>
      <c r="M2040" s="19">
        <v>44988</v>
      </c>
      <c r="N2040" s="20"/>
      <c r="O2040" s="20"/>
    </row>
    <row r="2041" ht="15" customHeight="1">
      <c r="A2041" t="s">
        <v>4397</v>
      </c>
      <c r="B2041" t="s">
        <v>4398</v>
      </c>
      <c r="C2041" s="23" t="s">
        <v>309</v>
      </c>
      <c r="D2041" t="s">
        <v>250</v>
      </c>
      <c r="E2041" t="s">
        <v>251</v>
      </c>
      <c r="K2041" t="s">
        <v>2475</v>
      </c>
      <c r="M2041" s="19">
        <v>44986</v>
      </c>
      <c r="N2041" s="20"/>
      <c r="O2041" s="20"/>
    </row>
    <row r="2042" ht="15" customHeight="1">
      <c r="A2042" t="s">
        <v>4399</v>
      </c>
      <c r="B2042" t="s">
        <v>4400</v>
      </c>
      <c r="C2042" s="23" t="s">
        <v>309</v>
      </c>
      <c r="D2042" t="s">
        <v>813</v>
      </c>
      <c r="E2042" t="s">
        <v>814</v>
      </c>
      <c r="K2042" t="s">
        <v>2927</v>
      </c>
      <c r="M2042" s="19">
        <v>44986</v>
      </c>
      <c r="N2042" s="20"/>
      <c r="O2042" s="20"/>
    </row>
    <row r="2043" ht="15" customHeight="1">
      <c r="A2043" t="s">
        <v>4401</v>
      </c>
      <c r="B2043" t="s">
        <v>4402</v>
      </c>
      <c r="C2043" s="21" t="s">
        <v>227</v>
      </c>
      <c r="D2043" t="s">
        <v>813</v>
      </c>
      <c r="E2043" t="s">
        <v>814</v>
      </c>
      <c r="M2043" s="19">
        <v>44985</v>
      </c>
      <c r="N2043" s="20"/>
      <c r="O2043" s="20"/>
    </row>
    <row r="2044" ht="15" customHeight="1">
      <c r="A2044" t="s">
        <v>4403</v>
      </c>
      <c r="B2044" t="s">
        <v>4404</v>
      </c>
      <c r="C2044" s="21" t="s">
        <v>227</v>
      </c>
      <c r="D2044" t="s">
        <v>813</v>
      </c>
      <c r="E2044" t="s">
        <v>814</v>
      </c>
      <c r="M2044" s="19">
        <v>44984</v>
      </c>
      <c r="N2044" s="20"/>
      <c r="O2044" s="20"/>
    </row>
    <row r="2045" ht="15" customHeight="1">
      <c r="A2045" t="s">
        <v>4405</v>
      </c>
      <c r="B2045" t="s">
        <v>4406</v>
      </c>
      <c r="C2045" s="23" t="s">
        <v>309</v>
      </c>
      <c r="D2045" t="s">
        <v>232</v>
      </c>
      <c r="E2045" t="s">
        <v>233</v>
      </c>
      <c r="H2045">
        <v>1</v>
      </c>
      <c r="K2045" t="s">
        <v>3314</v>
      </c>
      <c r="L2045" t="s">
        <v>4407</v>
      </c>
      <c r="M2045" s="19">
        <v>44981</v>
      </c>
      <c r="N2045" s="19">
        <v>45023</v>
      </c>
      <c r="O2045" s="20"/>
    </row>
    <row r="2046" ht="15" customHeight="1">
      <c r="A2046" t="s">
        <v>4408</v>
      </c>
      <c r="B2046" t="s">
        <v>4409</v>
      </c>
      <c r="C2046" t="s">
        <v>1470</v>
      </c>
      <c r="D2046" t="s">
        <v>232</v>
      </c>
      <c r="E2046" t="s">
        <v>233</v>
      </c>
      <c r="M2046" s="19">
        <v>44980</v>
      </c>
      <c r="N2046" s="20"/>
      <c r="O2046" s="20"/>
    </row>
    <row r="2047" ht="15" customHeight="1">
      <c r="A2047" t="s">
        <v>4410</v>
      </c>
      <c r="B2047" t="s">
        <v>4411</v>
      </c>
      <c r="C2047" t="s">
        <v>1470</v>
      </c>
      <c r="D2047" t="s">
        <v>232</v>
      </c>
      <c r="E2047" t="s">
        <v>233</v>
      </c>
      <c r="M2047" s="19">
        <v>44980</v>
      </c>
      <c r="N2047" s="20"/>
      <c r="O2047" s="20"/>
    </row>
    <row r="2048" ht="15" customHeight="1">
      <c r="A2048" t="s">
        <v>4412</v>
      </c>
      <c r="B2048" t="s">
        <v>4413</v>
      </c>
      <c r="C2048" t="s">
        <v>1470</v>
      </c>
      <c r="D2048" t="s">
        <v>232</v>
      </c>
      <c r="E2048" t="s">
        <v>233</v>
      </c>
      <c r="M2048" s="19">
        <v>44980</v>
      </c>
      <c r="N2048" s="20"/>
      <c r="O2048" s="20"/>
    </row>
    <row r="2049" ht="15" customHeight="1">
      <c r="A2049" t="s">
        <v>4414</v>
      </c>
      <c r="B2049" t="s">
        <v>4415</v>
      </c>
      <c r="C2049" t="s">
        <v>1470</v>
      </c>
      <c r="D2049" t="s">
        <v>232</v>
      </c>
      <c r="E2049" t="s">
        <v>233</v>
      </c>
      <c r="M2049" s="19">
        <v>44980</v>
      </c>
      <c r="N2049" s="20"/>
      <c r="O2049" s="20"/>
    </row>
    <row r="2050" ht="15" customHeight="1">
      <c r="A2050" t="s">
        <v>4416</v>
      </c>
      <c r="B2050" t="s">
        <v>4417</v>
      </c>
      <c r="C2050" t="s">
        <v>1470</v>
      </c>
      <c r="D2050" t="s">
        <v>232</v>
      </c>
      <c r="E2050" t="s">
        <v>233</v>
      </c>
      <c r="M2050" s="19">
        <v>44980</v>
      </c>
      <c r="N2050" s="20"/>
      <c r="O2050" s="20"/>
    </row>
    <row r="2051" ht="15" customHeight="1">
      <c r="A2051" t="s">
        <v>4418</v>
      </c>
      <c r="B2051" t="s">
        <v>4419</v>
      </c>
      <c r="C2051" t="s">
        <v>1470</v>
      </c>
      <c r="D2051" t="s">
        <v>232</v>
      </c>
      <c r="E2051" t="s">
        <v>233</v>
      </c>
      <c r="M2051" s="19">
        <v>44980</v>
      </c>
      <c r="N2051" s="20"/>
      <c r="O2051" s="20"/>
    </row>
    <row r="2052" ht="15" customHeight="1">
      <c r="A2052" t="s">
        <v>4420</v>
      </c>
      <c r="B2052" t="s">
        <v>4421</v>
      </c>
      <c r="C2052" s="21" t="s">
        <v>227</v>
      </c>
      <c r="D2052" t="s">
        <v>232</v>
      </c>
      <c r="E2052" t="s">
        <v>233</v>
      </c>
      <c r="M2052" s="19">
        <v>44980</v>
      </c>
      <c r="N2052" s="20"/>
      <c r="O2052" s="20"/>
    </row>
    <row r="2053" ht="15" customHeight="1">
      <c r="A2053" t="s">
        <v>4422</v>
      </c>
      <c r="B2053" t="s">
        <v>4423</v>
      </c>
      <c r="C2053" t="s">
        <v>1470</v>
      </c>
      <c r="D2053" t="s">
        <v>232</v>
      </c>
      <c r="E2053" t="s">
        <v>233</v>
      </c>
      <c r="M2053" s="19">
        <v>44980</v>
      </c>
      <c r="N2053" s="20"/>
      <c r="O2053" s="20"/>
    </row>
    <row r="2054" ht="15" customHeight="1">
      <c r="A2054" t="s">
        <v>4424</v>
      </c>
      <c r="B2054" t="s">
        <v>4425</v>
      </c>
      <c r="C2054" t="s">
        <v>1470</v>
      </c>
      <c r="D2054" t="s">
        <v>232</v>
      </c>
      <c r="E2054" t="s">
        <v>233</v>
      </c>
      <c r="M2054" s="19">
        <v>44980</v>
      </c>
      <c r="N2054" s="20"/>
      <c r="O2054" s="20"/>
    </row>
    <row r="2055" ht="15" customHeight="1">
      <c r="A2055" t="s">
        <v>4426</v>
      </c>
      <c r="B2055" t="s">
        <v>4427</v>
      </c>
      <c r="C2055" t="s">
        <v>1470</v>
      </c>
      <c r="D2055" t="s">
        <v>232</v>
      </c>
      <c r="E2055" t="s">
        <v>233</v>
      </c>
      <c r="M2055" s="19">
        <v>44980</v>
      </c>
      <c r="N2055" s="20"/>
      <c r="O2055" s="20"/>
    </row>
    <row r="2056" ht="15" customHeight="1">
      <c r="A2056" t="s">
        <v>4428</v>
      </c>
      <c r="B2056" t="s">
        <v>4429</v>
      </c>
      <c r="C2056" t="s">
        <v>1470</v>
      </c>
      <c r="D2056" t="s">
        <v>232</v>
      </c>
      <c r="E2056" t="s">
        <v>233</v>
      </c>
      <c r="M2056" s="19">
        <v>44980</v>
      </c>
      <c r="N2056" s="20"/>
      <c r="O2056" s="20"/>
    </row>
    <row r="2057" ht="15" customHeight="1">
      <c r="A2057" t="s">
        <v>4430</v>
      </c>
      <c r="B2057" t="s">
        <v>4431</v>
      </c>
      <c r="C2057" s="21" t="s">
        <v>227</v>
      </c>
      <c r="D2057" t="s">
        <v>232</v>
      </c>
      <c r="E2057" t="s">
        <v>233</v>
      </c>
      <c r="M2057" s="19">
        <v>44980</v>
      </c>
      <c r="N2057" s="20"/>
      <c r="O2057" s="20"/>
    </row>
    <row r="2058" ht="15" customHeight="1">
      <c r="A2058" t="s">
        <v>4432</v>
      </c>
      <c r="B2058" t="s">
        <v>4433</v>
      </c>
      <c r="C2058" t="s">
        <v>1470</v>
      </c>
      <c r="D2058" t="s">
        <v>232</v>
      </c>
      <c r="E2058" t="s">
        <v>233</v>
      </c>
      <c r="M2058" s="19">
        <v>44980</v>
      </c>
      <c r="N2058" s="20"/>
      <c r="O2058" s="20"/>
    </row>
    <row r="2059" ht="15" customHeight="1">
      <c r="A2059" t="s">
        <v>4434</v>
      </c>
      <c r="B2059" t="s">
        <v>4435</v>
      </c>
      <c r="C2059" s="21" t="s">
        <v>227</v>
      </c>
      <c r="D2059" t="s">
        <v>813</v>
      </c>
      <c r="E2059" t="s">
        <v>814</v>
      </c>
      <c r="M2059" s="19">
        <v>44979</v>
      </c>
      <c r="N2059" s="20"/>
      <c r="O2059" s="20"/>
    </row>
    <row r="2060" ht="15" customHeight="1">
      <c r="A2060" t="s">
        <v>4436</v>
      </c>
      <c r="B2060" t="s">
        <v>4437</v>
      </c>
      <c r="C2060" s="21" t="s">
        <v>227</v>
      </c>
      <c r="D2060" t="s">
        <v>813</v>
      </c>
      <c r="E2060" t="s">
        <v>814</v>
      </c>
      <c r="K2060" t="s">
        <v>2927</v>
      </c>
      <c r="M2060" s="19">
        <v>44979</v>
      </c>
      <c r="N2060" s="20"/>
      <c r="O2060" s="20"/>
    </row>
    <row r="2061" ht="15" customHeight="1">
      <c r="A2061" t="s">
        <v>4438</v>
      </c>
      <c r="B2061" t="s">
        <v>4439</v>
      </c>
      <c r="C2061" s="21" t="s">
        <v>227</v>
      </c>
      <c r="D2061" t="s">
        <v>813</v>
      </c>
      <c r="E2061" t="s">
        <v>814</v>
      </c>
      <c r="M2061" s="19">
        <v>44978</v>
      </c>
      <c r="N2061" s="20"/>
      <c r="O2061" s="20"/>
    </row>
    <row r="2062" ht="15" customHeight="1">
      <c r="A2062" t="s">
        <v>4440</v>
      </c>
      <c r="B2062" t="s">
        <v>4441</v>
      </c>
      <c r="C2062" t="s">
        <v>4442</v>
      </c>
      <c r="D2062" t="s">
        <v>223</v>
      </c>
      <c r="E2062" t="s">
        <v>224</v>
      </c>
      <c r="M2062" s="19">
        <v>44978</v>
      </c>
      <c r="N2062" s="20"/>
      <c r="O2062" s="20"/>
    </row>
    <row r="2063" ht="15" customHeight="1">
      <c r="A2063" t="s">
        <v>4443</v>
      </c>
      <c r="B2063" t="s">
        <v>4444</v>
      </c>
      <c r="C2063" s="21" t="s">
        <v>227</v>
      </c>
      <c r="D2063" t="s">
        <v>250</v>
      </c>
      <c r="E2063" t="s">
        <v>251</v>
      </c>
      <c r="H2063">
        <v>2</v>
      </c>
      <c r="M2063" s="19">
        <v>44974</v>
      </c>
      <c r="N2063" s="19">
        <v>45022</v>
      </c>
      <c r="O2063" s="20"/>
    </row>
    <row r="2064" ht="15" customHeight="1">
      <c r="A2064" t="s">
        <v>4445</v>
      </c>
      <c r="B2064" t="s">
        <v>4446</v>
      </c>
      <c r="C2064" s="21" t="s">
        <v>227</v>
      </c>
      <c r="D2064" t="s">
        <v>813</v>
      </c>
      <c r="E2064" t="s">
        <v>814</v>
      </c>
      <c r="M2064" s="19">
        <v>44973</v>
      </c>
      <c r="N2064" s="20"/>
      <c r="O2064" s="20"/>
    </row>
    <row r="2065" ht="15" customHeight="1">
      <c r="A2065" t="s">
        <v>4447</v>
      </c>
      <c r="B2065" t="s">
        <v>4448</v>
      </c>
      <c r="C2065" s="23" t="s">
        <v>309</v>
      </c>
      <c r="D2065" t="s">
        <v>250</v>
      </c>
      <c r="E2065" t="s">
        <v>251</v>
      </c>
      <c r="H2065">
        <v>8</v>
      </c>
      <c r="M2065" s="19">
        <v>44972</v>
      </c>
      <c r="N2065" s="19">
        <v>45112</v>
      </c>
      <c r="O2065" s="20"/>
    </row>
    <row r="2066" ht="15" customHeight="1">
      <c r="A2066" t="s">
        <v>4449</v>
      </c>
      <c r="B2066" t="s">
        <v>4450</v>
      </c>
      <c r="C2066" s="21" t="s">
        <v>227</v>
      </c>
      <c r="D2066" t="s">
        <v>813</v>
      </c>
      <c r="E2066" t="s">
        <v>814</v>
      </c>
      <c r="K2066" t="s">
        <v>2927</v>
      </c>
      <c r="M2066" s="19">
        <v>44971</v>
      </c>
      <c r="N2066" s="20"/>
      <c r="O2066" s="20"/>
    </row>
    <row r="2067" ht="15" customHeight="1">
      <c r="A2067" t="s">
        <v>4451</v>
      </c>
      <c r="B2067" t="s">
        <v>4452</v>
      </c>
      <c r="C2067" s="23" t="s">
        <v>309</v>
      </c>
      <c r="D2067" t="s">
        <v>813</v>
      </c>
      <c r="E2067" t="s">
        <v>814</v>
      </c>
      <c r="H2067">
        <v>2</v>
      </c>
      <c r="K2067" t="s">
        <v>2927</v>
      </c>
      <c r="L2067" t="s">
        <v>4453</v>
      </c>
      <c r="M2067" s="19">
        <v>44970</v>
      </c>
      <c r="N2067" s="19">
        <v>44980</v>
      </c>
      <c r="O2067" s="20"/>
    </row>
    <row r="2068" ht="15" customHeight="1">
      <c r="A2068" t="s">
        <v>4454</v>
      </c>
      <c r="B2068" t="s">
        <v>4455</v>
      </c>
      <c r="C2068" s="23" t="s">
        <v>309</v>
      </c>
      <c r="D2068" t="s">
        <v>813</v>
      </c>
      <c r="E2068" t="s">
        <v>814</v>
      </c>
      <c r="K2068" t="s">
        <v>3773</v>
      </c>
      <c r="L2068" t="s">
        <v>4456</v>
      </c>
      <c r="M2068" s="19">
        <v>44967</v>
      </c>
      <c r="N2068" s="19">
        <v>44980</v>
      </c>
      <c r="O2068" s="20"/>
    </row>
    <row r="2069" ht="15" customHeight="1">
      <c r="A2069" t="s">
        <v>4457</v>
      </c>
      <c r="B2069" t="s">
        <v>4458</v>
      </c>
      <c r="C2069" s="21" t="s">
        <v>227</v>
      </c>
      <c r="D2069" t="s">
        <v>250</v>
      </c>
      <c r="E2069" t="s">
        <v>251</v>
      </c>
      <c r="H2069">
        <v>5</v>
      </c>
      <c r="K2069" t="s">
        <v>1135</v>
      </c>
      <c r="L2069" t="s">
        <v>4456</v>
      </c>
      <c r="M2069" s="19">
        <v>44966</v>
      </c>
      <c r="N2069" s="19">
        <v>44980</v>
      </c>
      <c r="O2069" s="20"/>
    </row>
    <row r="2070" ht="15" customHeight="1">
      <c r="A2070" t="s">
        <v>4459</v>
      </c>
      <c r="B2070" t="s">
        <v>4460</v>
      </c>
      <c r="C2070" s="21" t="s">
        <v>227</v>
      </c>
      <c r="D2070" t="s">
        <v>813</v>
      </c>
      <c r="E2070" t="s">
        <v>814</v>
      </c>
      <c r="M2070" s="19">
        <v>44966</v>
      </c>
      <c r="N2070" s="20"/>
      <c r="O2070" s="20"/>
    </row>
    <row r="2071" ht="15" customHeight="1">
      <c r="A2071" t="s">
        <v>4461</v>
      </c>
      <c r="B2071" t="s">
        <v>4462</v>
      </c>
      <c r="C2071" s="21" t="s">
        <v>227</v>
      </c>
      <c r="D2071" t="s">
        <v>813</v>
      </c>
      <c r="E2071" t="s">
        <v>814</v>
      </c>
      <c r="M2071" s="19">
        <v>44966</v>
      </c>
      <c r="N2071" s="19">
        <v>45147</v>
      </c>
      <c r="O2071" s="20"/>
    </row>
    <row r="2072" ht="15" customHeight="1">
      <c r="A2072" t="s">
        <v>4463</v>
      </c>
      <c r="B2072" t="s">
        <v>4464</v>
      </c>
      <c r="C2072" s="21" t="s">
        <v>227</v>
      </c>
      <c r="D2072" t="s">
        <v>813</v>
      </c>
      <c r="E2072" t="s">
        <v>814</v>
      </c>
      <c r="M2072" s="19">
        <v>44963</v>
      </c>
      <c r="N2072" s="20"/>
      <c r="O2072" s="20"/>
    </row>
    <row r="2073" ht="15" customHeight="1">
      <c r="A2073" t="s">
        <v>4465</v>
      </c>
      <c r="B2073" t="s">
        <v>4466</v>
      </c>
      <c r="C2073" s="21" t="s">
        <v>227</v>
      </c>
      <c r="D2073" t="s">
        <v>813</v>
      </c>
      <c r="E2073" t="s">
        <v>814</v>
      </c>
      <c r="H2073">
        <v>20</v>
      </c>
      <c r="M2073" s="19">
        <v>44960</v>
      </c>
      <c r="N2073" s="20"/>
      <c r="O2073" s="20"/>
    </row>
    <row r="2074" ht="15" customHeight="1">
      <c r="A2074" t="s">
        <v>4467</v>
      </c>
      <c r="B2074" t="s">
        <v>4468</v>
      </c>
      <c r="C2074" s="21" t="s">
        <v>227</v>
      </c>
      <c r="D2074" t="s">
        <v>250</v>
      </c>
      <c r="E2074" t="s">
        <v>251</v>
      </c>
      <c r="M2074" s="19">
        <v>44959</v>
      </c>
      <c r="N2074" s="20"/>
      <c r="O2074" s="20"/>
    </row>
    <row r="2075" ht="15" customHeight="1">
      <c r="A2075" t="s">
        <v>4469</v>
      </c>
      <c r="B2075" t="s">
        <v>4470</v>
      </c>
      <c r="C2075" s="21" t="s">
        <v>227</v>
      </c>
      <c r="D2075" t="s">
        <v>813</v>
      </c>
      <c r="E2075" t="s">
        <v>814</v>
      </c>
      <c r="M2075" s="19">
        <v>44959</v>
      </c>
      <c r="N2075" s="20"/>
      <c r="O2075" s="20"/>
    </row>
    <row r="2076" ht="15" customHeight="1">
      <c r="A2076" t="s">
        <v>4471</v>
      </c>
      <c r="B2076" t="s">
        <v>4472</v>
      </c>
      <c r="C2076" s="23" t="s">
        <v>309</v>
      </c>
      <c r="D2076" t="s">
        <v>813</v>
      </c>
      <c r="E2076" t="s">
        <v>814</v>
      </c>
      <c r="H2076">
        <v>2</v>
      </c>
      <c r="K2076" t="s">
        <v>2927</v>
      </c>
      <c r="L2076" t="s">
        <v>4473</v>
      </c>
      <c r="M2076" s="19">
        <v>44957</v>
      </c>
      <c r="N2076" s="19">
        <v>44980</v>
      </c>
      <c r="O2076" s="20"/>
    </row>
    <row r="2077" ht="15" customHeight="1">
      <c r="A2077" t="s">
        <v>4474</v>
      </c>
      <c r="B2077" t="s">
        <v>4475</v>
      </c>
      <c r="C2077" t="s">
        <v>1470</v>
      </c>
      <c r="D2077" t="s">
        <v>232</v>
      </c>
      <c r="E2077" t="s">
        <v>233</v>
      </c>
      <c r="M2077" s="19">
        <v>44952</v>
      </c>
      <c r="N2077" s="20"/>
      <c r="O2077" s="20"/>
    </row>
    <row r="2078" ht="15" customHeight="1">
      <c r="A2078" t="s">
        <v>4476</v>
      </c>
      <c r="B2078" t="s">
        <v>4477</v>
      </c>
      <c r="C2078" s="23" t="s">
        <v>309</v>
      </c>
      <c r="D2078" t="s">
        <v>250</v>
      </c>
      <c r="E2078" t="s">
        <v>251</v>
      </c>
      <c r="K2078" t="s">
        <v>3785</v>
      </c>
      <c r="M2078" s="19">
        <v>44949</v>
      </c>
      <c r="N2078" s="19">
        <v>45009</v>
      </c>
      <c r="O2078" s="20"/>
    </row>
    <row r="2079" ht="15" customHeight="1">
      <c r="A2079" t="s">
        <v>4478</v>
      </c>
      <c r="B2079" t="s">
        <v>4479</v>
      </c>
      <c r="C2079" s="21" t="s">
        <v>227</v>
      </c>
      <c r="D2079" t="s">
        <v>250</v>
      </c>
      <c r="E2079" t="s">
        <v>251</v>
      </c>
      <c r="M2079" s="19">
        <v>44948</v>
      </c>
      <c r="N2079" s="19">
        <v>45068</v>
      </c>
      <c r="O2079" s="20"/>
    </row>
    <row r="2080" ht="15" customHeight="1">
      <c r="A2080" t="s">
        <v>4480</v>
      </c>
      <c r="B2080" t="s">
        <v>4481</v>
      </c>
      <c r="C2080" s="23" t="s">
        <v>309</v>
      </c>
      <c r="D2080" t="s">
        <v>813</v>
      </c>
      <c r="E2080" t="s">
        <v>814</v>
      </c>
      <c r="K2080" t="s">
        <v>4482</v>
      </c>
      <c r="L2080" t="s">
        <v>4483</v>
      </c>
      <c r="M2080" s="19">
        <v>44945</v>
      </c>
      <c r="N2080" s="19">
        <v>44952</v>
      </c>
      <c r="O2080" s="20"/>
    </row>
    <row r="2081" ht="15" customHeight="1">
      <c r="A2081" t="s">
        <v>4484</v>
      </c>
      <c r="B2081" t="s">
        <v>4485</v>
      </c>
      <c r="C2081" s="23" t="s">
        <v>309</v>
      </c>
      <c r="D2081" t="s">
        <v>813</v>
      </c>
      <c r="E2081" t="s">
        <v>814</v>
      </c>
      <c r="K2081" t="s">
        <v>2934</v>
      </c>
      <c r="M2081" s="19">
        <v>44945</v>
      </c>
      <c r="N2081" s="19">
        <v>44966</v>
      </c>
      <c r="O2081" s="20"/>
    </row>
    <row r="2082" ht="15" customHeight="1">
      <c r="A2082" t="s">
        <v>4486</v>
      </c>
      <c r="B2082" t="s">
        <v>4487</v>
      </c>
      <c r="C2082" s="23" t="s">
        <v>309</v>
      </c>
      <c r="D2082" t="s">
        <v>813</v>
      </c>
      <c r="E2082" t="s">
        <v>814</v>
      </c>
      <c r="L2082" t="s">
        <v>4339</v>
      </c>
      <c r="M2082" s="19">
        <v>44943</v>
      </c>
      <c r="N2082" s="20"/>
      <c r="O2082" s="20"/>
    </row>
    <row r="2083" ht="15" customHeight="1">
      <c r="A2083" t="s">
        <v>4488</v>
      </c>
      <c r="B2083" t="s">
        <v>4489</v>
      </c>
      <c r="C2083" s="23" t="s">
        <v>309</v>
      </c>
      <c r="D2083" t="s">
        <v>813</v>
      </c>
      <c r="E2083" t="s">
        <v>814</v>
      </c>
      <c r="H2083">
        <v>1</v>
      </c>
      <c r="K2083" t="s">
        <v>2934</v>
      </c>
      <c r="L2083" t="s">
        <v>4326</v>
      </c>
      <c r="M2083" s="19">
        <v>44943</v>
      </c>
      <c r="N2083" s="19">
        <v>45036</v>
      </c>
      <c r="O2083" s="20"/>
    </row>
    <row r="2084" ht="15" customHeight="1">
      <c r="A2084" t="s">
        <v>4490</v>
      </c>
      <c r="B2084" t="s">
        <v>4491</v>
      </c>
      <c r="C2084" s="22" t="s">
        <v>55</v>
      </c>
      <c r="D2084" t="s">
        <v>250</v>
      </c>
      <c r="E2084" t="s">
        <v>251</v>
      </c>
      <c r="K2084" t="s">
        <v>1135</v>
      </c>
      <c r="L2084" t="s">
        <v>4492</v>
      </c>
      <c r="M2084" s="19">
        <v>44939</v>
      </c>
      <c r="N2084" s="19">
        <v>44951</v>
      </c>
      <c r="O2084" s="20"/>
    </row>
    <row r="2085" ht="15" customHeight="1">
      <c r="A2085" t="s">
        <v>4493</v>
      </c>
      <c r="B2085" t="s">
        <v>4494</v>
      </c>
      <c r="C2085" s="21" t="s">
        <v>227</v>
      </c>
      <c r="D2085" t="s">
        <v>250</v>
      </c>
      <c r="E2085" t="s">
        <v>251</v>
      </c>
      <c r="K2085" t="s">
        <v>1135</v>
      </c>
      <c r="L2085" t="s">
        <v>4492</v>
      </c>
      <c r="M2085" s="19">
        <v>44939</v>
      </c>
      <c r="N2085" s="19">
        <v>44951</v>
      </c>
      <c r="O2085" s="20"/>
    </row>
    <row r="2086" ht="15" customHeight="1">
      <c r="A2086" t="s">
        <v>4495</v>
      </c>
      <c r="B2086" t="s">
        <v>4496</v>
      </c>
      <c r="C2086" s="21" t="s">
        <v>227</v>
      </c>
      <c r="D2086" t="s">
        <v>250</v>
      </c>
      <c r="E2086" t="s">
        <v>251</v>
      </c>
      <c r="L2086" t="s">
        <v>4492</v>
      </c>
      <c r="M2086" s="19">
        <v>44939</v>
      </c>
      <c r="N2086" s="19">
        <v>44951</v>
      </c>
      <c r="O2086" s="20"/>
    </row>
    <row r="2087" ht="15" customHeight="1">
      <c r="A2087" t="s">
        <v>4497</v>
      </c>
      <c r="B2087" t="s">
        <v>4498</v>
      </c>
      <c r="C2087" s="21" t="s">
        <v>227</v>
      </c>
      <c r="D2087" t="s">
        <v>250</v>
      </c>
      <c r="E2087" t="s">
        <v>251</v>
      </c>
      <c r="L2087" t="s">
        <v>4492</v>
      </c>
      <c r="M2087" s="19">
        <v>44939</v>
      </c>
      <c r="N2087" s="19">
        <v>44951</v>
      </c>
      <c r="O2087" s="20"/>
    </row>
    <row r="2088" ht="15" customHeight="1">
      <c r="A2088" t="s">
        <v>4499</v>
      </c>
      <c r="B2088" t="s">
        <v>4500</v>
      </c>
      <c r="C2088" s="22" t="s">
        <v>55</v>
      </c>
      <c r="D2088" t="s">
        <v>250</v>
      </c>
      <c r="E2088" t="s">
        <v>251</v>
      </c>
      <c r="K2088" t="s">
        <v>2133</v>
      </c>
      <c r="L2088" t="s">
        <v>4492</v>
      </c>
      <c r="M2088" s="19">
        <v>44939</v>
      </c>
      <c r="N2088" s="19">
        <v>44951</v>
      </c>
      <c r="O2088" s="20"/>
    </row>
    <row r="2089" ht="15" customHeight="1">
      <c r="A2089" t="s">
        <v>4501</v>
      </c>
      <c r="B2089" t="s">
        <v>4502</v>
      </c>
      <c r="C2089" s="23" t="s">
        <v>309</v>
      </c>
      <c r="D2089" t="s">
        <v>813</v>
      </c>
      <c r="E2089" t="s">
        <v>814</v>
      </c>
      <c r="H2089">
        <v>1</v>
      </c>
      <c r="K2089" t="s">
        <v>2927</v>
      </c>
      <c r="M2089" s="19">
        <v>44939</v>
      </c>
      <c r="N2089" s="20"/>
      <c r="O2089" s="20"/>
    </row>
    <row r="2090" ht="15" customHeight="1">
      <c r="A2090" t="s">
        <v>4503</v>
      </c>
      <c r="B2090" t="s">
        <v>4504</v>
      </c>
      <c r="C2090" s="22" t="s">
        <v>55</v>
      </c>
      <c r="D2090" t="s">
        <v>250</v>
      </c>
      <c r="E2090" t="s">
        <v>251</v>
      </c>
      <c r="H2090">
        <v>0</v>
      </c>
      <c r="M2090" s="19">
        <v>44938</v>
      </c>
      <c r="N2090" s="20"/>
      <c r="O2090" s="20"/>
    </row>
    <row r="2091" ht="15" customHeight="1">
      <c r="A2091" t="s">
        <v>4505</v>
      </c>
      <c r="B2091" t="s">
        <v>4506</v>
      </c>
      <c r="C2091" t="s">
        <v>1470</v>
      </c>
      <c r="D2091" t="s">
        <v>232</v>
      </c>
      <c r="E2091" t="s">
        <v>233</v>
      </c>
      <c r="M2091" s="19">
        <v>44938</v>
      </c>
      <c r="N2091" s="19">
        <v>44952</v>
      </c>
      <c r="O2091" s="20"/>
    </row>
    <row r="2092" ht="15" customHeight="1">
      <c r="A2092" t="s">
        <v>4507</v>
      </c>
      <c r="B2092" t="s">
        <v>4508</v>
      </c>
      <c r="C2092" s="23" t="s">
        <v>309</v>
      </c>
      <c r="D2092" t="s">
        <v>813</v>
      </c>
      <c r="E2092" t="s">
        <v>814</v>
      </c>
      <c r="K2092" t="s">
        <v>2934</v>
      </c>
      <c r="M2092" s="19">
        <v>44937</v>
      </c>
      <c r="N2092" s="20"/>
      <c r="O2092" s="20"/>
    </row>
    <row r="2093" ht="15" customHeight="1">
      <c r="A2093" t="s">
        <v>4509</v>
      </c>
      <c r="B2093" t="s">
        <v>4510</v>
      </c>
      <c r="C2093" s="21" t="s">
        <v>227</v>
      </c>
      <c r="D2093" t="s">
        <v>813</v>
      </c>
      <c r="E2093" t="s">
        <v>814</v>
      </c>
      <c r="H2093">
        <v>3</v>
      </c>
      <c r="L2093" t="s">
        <v>4326</v>
      </c>
      <c r="M2093" s="19">
        <v>44937</v>
      </c>
      <c r="N2093" s="19">
        <v>44994</v>
      </c>
      <c r="O2093" s="20"/>
    </row>
    <row r="2094" ht="15" customHeight="1">
      <c r="A2094" t="s">
        <v>4511</v>
      </c>
      <c r="B2094" t="s">
        <v>4512</v>
      </c>
      <c r="C2094" s="21" t="s">
        <v>227</v>
      </c>
      <c r="D2094" t="s">
        <v>813</v>
      </c>
      <c r="E2094" t="s">
        <v>814</v>
      </c>
      <c r="M2094" s="19">
        <v>44936</v>
      </c>
      <c r="N2094" s="20"/>
      <c r="O2094" s="20"/>
    </row>
    <row r="2095" ht="15" customHeight="1">
      <c r="A2095" t="s">
        <v>4513</v>
      </c>
      <c r="B2095" t="s">
        <v>4514</v>
      </c>
      <c r="C2095" s="21" t="s">
        <v>227</v>
      </c>
      <c r="D2095" t="s">
        <v>250</v>
      </c>
      <c r="E2095" t="s">
        <v>251</v>
      </c>
      <c r="M2095" s="19">
        <v>44936</v>
      </c>
      <c r="N2095" s="19">
        <v>45008</v>
      </c>
      <c r="O2095" s="20"/>
    </row>
    <row r="2096" ht="15" customHeight="1">
      <c r="A2096" t="s">
        <v>4515</v>
      </c>
      <c r="B2096" t="s">
        <v>4516</v>
      </c>
      <c r="C2096" s="21" t="s">
        <v>227</v>
      </c>
      <c r="D2096" t="s">
        <v>250</v>
      </c>
      <c r="E2096" t="s">
        <v>251</v>
      </c>
      <c r="H2096">
        <v>0</v>
      </c>
      <c r="M2096" s="19">
        <v>44936</v>
      </c>
      <c r="N2096" s="20"/>
      <c r="O2096" s="20"/>
    </row>
    <row r="2097" ht="15" customHeight="1">
      <c r="A2097" t="s">
        <v>4517</v>
      </c>
      <c r="B2097" t="s">
        <v>4518</v>
      </c>
      <c r="C2097" s="21" t="s">
        <v>227</v>
      </c>
      <c r="D2097" t="s">
        <v>250</v>
      </c>
      <c r="E2097" t="s">
        <v>251</v>
      </c>
      <c r="M2097" s="19">
        <v>44932</v>
      </c>
      <c r="N2097" s="20"/>
      <c r="O2097" s="20"/>
    </row>
    <row r="2098" ht="15" customHeight="1">
      <c r="A2098" t="s">
        <v>4519</v>
      </c>
      <c r="B2098" t="s">
        <v>4520</v>
      </c>
      <c r="C2098" s="21" t="s">
        <v>227</v>
      </c>
      <c r="D2098" t="s">
        <v>250</v>
      </c>
      <c r="E2098" t="s">
        <v>251</v>
      </c>
      <c r="M2098" s="19">
        <v>44930</v>
      </c>
      <c r="N2098" s="20"/>
      <c r="O2098" s="20"/>
    </row>
    <row r="2099" ht="15" customHeight="1">
      <c r="A2099" t="s">
        <v>4521</v>
      </c>
      <c r="B2099" t="s">
        <v>4522</v>
      </c>
      <c r="C2099" s="21" t="s">
        <v>227</v>
      </c>
      <c r="D2099" t="s">
        <v>250</v>
      </c>
      <c r="E2099" t="s">
        <v>251</v>
      </c>
      <c r="M2099" s="19">
        <v>44930</v>
      </c>
      <c r="N2099" s="19">
        <v>45022</v>
      </c>
      <c r="O2099" s="20"/>
    </row>
    <row r="2100" ht="15" customHeight="1">
      <c r="A2100" t="s">
        <v>4523</v>
      </c>
      <c r="B2100" t="s">
        <v>4524</v>
      </c>
      <c r="C2100" s="21" t="s">
        <v>227</v>
      </c>
      <c r="D2100" t="s">
        <v>250</v>
      </c>
      <c r="E2100" t="s">
        <v>251</v>
      </c>
      <c r="M2100" s="19">
        <v>44930</v>
      </c>
      <c r="N2100" s="19">
        <v>45022</v>
      </c>
      <c r="O2100" s="20"/>
    </row>
    <row r="2101" ht="15" customHeight="1">
      <c r="A2101" t="s">
        <v>4525</v>
      </c>
      <c r="B2101" t="s">
        <v>4526</v>
      </c>
      <c r="C2101" t="s">
        <v>1470</v>
      </c>
      <c r="D2101" t="s">
        <v>232</v>
      </c>
      <c r="E2101" t="s">
        <v>233</v>
      </c>
      <c r="H2101">
        <v>3</v>
      </c>
      <c r="M2101" s="19">
        <v>44930</v>
      </c>
      <c r="N2101" s="19">
        <v>45148</v>
      </c>
      <c r="O2101" s="20"/>
    </row>
    <row r="2102" ht="15" customHeight="1">
      <c r="A2102" t="s">
        <v>4527</v>
      </c>
      <c r="B2102" t="s">
        <v>4528</v>
      </c>
      <c r="C2102" s="21" t="s">
        <v>227</v>
      </c>
      <c r="D2102" t="s">
        <v>250</v>
      </c>
      <c r="E2102" t="s">
        <v>251</v>
      </c>
      <c r="M2102" s="19">
        <v>44930</v>
      </c>
      <c r="N2102" s="19">
        <v>45022</v>
      </c>
      <c r="O2102" s="20"/>
    </row>
    <row r="2103" ht="15" customHeight="1">
      <c r="A2103" t="s">
        <v>4529</v>
      </c>
      <c r="B2103" t="s">
        <v>4530</v>
      </c>
      <c r="C2103" s="21" t="s">
        <v>227</v>
      </c>
      <c r="D2103" t="s">
        <v>250</v>
      </c>
      <c r="E2103" t="s">
        <v>251</v>
      </c>
      <c r="M2103" s="19">
        <v>44930</v>
      </c>
      <c r="N2103" s="19">
        <v>45022</v>
      </c>
      <c r="O2103" s="20"/>
    </row>
    <row r="2104" ht="15" customHeight="1">
      <c r="A2104" t="s">
        <v>4531</v>
      </c>
      <c r="B2104" t="s">
        <v>4532</v>
      </c>
      <c r="C2104" s="21" t="s">
        <v>227</v>
      </c>
      <c r="D2104" t="s">
        <v>250</v>
      </c>
      <c r="E2104" t="s">
        <v>251</v>
      </c>
      <c r="M2104" s="19">
        <v>44930</v>
      </c>
      <c r="N2104" s="19">
        <v>45022</v>
      </c>
      <c r="O2104" s="20"/>
    </row>
    <row r="2105" ht="15" customHeight="1">
      <c r="A2105" t="s">
        <v>4533</v>
      </c>
      <c r="B2105" t="s">
        <v>4534</v>
      </c>
      <c r="C2105" t="s">
        <v>1470</v>
      </c>
      <c r="D2105" t="s">
        <v>232</v>
      </c>
      <c r="E2105" t="s">
        <v>233</v>
      </c>
      <c r="H2105">
        <v>3</v>
      </c>
      <c r="M2105" s="19">
        <v>44930</v>
      </c>
      <c r="N2105" s="19">
        <v>45148</v>
      </c>
      <c r="O2105" s="20"/>
    </row>
    <row r="2106" ht="15" customHeight="1">
      <c r="A2106" t="s">
        <v>4535</v>
      </c>
      <c r="B2106" t="s">
        <v>4536</v>
      </c>
      <c r="C2106" s="21" t="s">
        <v>227</v>
      </c>
      <c r="D2106" t="s">
        <v>250</v>
      </c>
      <c r="E2106" t="s">
        <v>251</v>
      </c>
      <c r="M2106" s="19">
        <v>44930</v>
      </c>
      <c r="N2106" s="19">
        <v>45022</v>
      </c>
      <c r="O2106" s="20"/>
    </row>
    <row r="2107" ht="15" customHeight="1">
      <c r="A2107" t="s">
        <v>4537</v>
      </c>
      <c r="B2107" t="s">
        <v>4538</v>
      </c>
      <c r="C2107" s="21" t="s">
        <v>227</v>
      </c>
      <c r="D2107" t="s">
        <v>250</v>
      </c>
      <c r="E2107" t="s">
        <v>251</v>
      </c>
      <c r="M2107" s="19">
        <v>44930</v>
      </c>
      <c r="N2107" s="19">
        <v>45022</v>
      </c>
      <c r="O2107" s="20"/>
    </row>
    <row r="2108" ht="15" customHeight="1">
      <c r="A2108" t="s">
        <v>4539</v>
      </c>
      <c r="B2108" t="s">
        <v>4540</v>
      </c>
      <c r="C2108" s="21" t="s">
        <v>227</v>
      </c>
      <c r="D2108" t="s">
        <v>250</v>
      </c>
      <c r="E2108" t="s">
        <v>251</v>
      </c>
      <c r="M2108" s="19">
        <v>44930</v>
      </c>
      <c r="N2108" s="19">
        <v>45022</v>
      </c>
      <c r="O2108" s="20"/>
    </row>
    <row r="2109" ht="15" customHeight="1">
      <c r="A2109" t="s">
        <v>4541</v>
      </c>
      <c r="B2109" t="s">
        <v>4542</v>
      </c>
      <c r="C2109" s="21" t="s">
        <v>227</v>
      </c>
      <c r="D2109" t="s">
        <v>250</v>
      </c>
      <c r="E2109" t="s">
        <v>251</v>
      </c>
      <c r="H2109">
        <v>6</v>
      </c>
      <c r="M2109" s="19">
        <v>44930</v>
      </c>
      <c r="N2109" s="20"/>
      <c r="O2109" s="20"/>
    </row>
    <row r="2110" ht="15" customHeight="1">
      <c r="A2110" t="s">
        <v>4543</v>
      </c>
      <c r="B2110" t="s">
        <v>4544</v>
      </c>
      <c r="C2110" s="21" t="s">
        <v>227</v>
      </c>
      <c r="D2110" t="s">
        <v>250</v>
      </c>
      <c r="E2110" t="s">
        <v>251</v>
      </c>
      <c r="M2110" s="19">
        <v>44930</v>
      </c>
      <c r="N2110" s="20"/>
      <c r="O2110" s="20"/>
    </row>
    <row r="2111" ht="15" customHeight="1">
      <c r="A2111" t="s">
        <v>4545</v>
      </c>
      <c r="B2111" t="s">
        <v>4546</v>
      </c>
      <c r="C2111" s="21" t="s">
        <v>227</v>
      </c>
      <c r="D2111" t="s">
        <v>250</v>
      </c>
      <c r="E2111" t="s">
        <v>251</v>
      </c>
      <c r="M2111" s="19">
        <v>44930</v>
      </c>
      <c r="N2111" s="20"/>
      <c r="O2111" s="20"/>
    </row>
    <row r="2112" ht="15" customHeight="1">
      <c r="A2112" t="s">
        <v>4547</v>
      </c>
      <c r="B2112" t="s">
        <v>4548</v>
      </c>
      <c r="C2112" s="21" t="s">
        <v>227</v>
      </c>
      <c r="D2112" t="s">
        <v>250</v>
      </c>
      <c r="E2112" t="s">
        <v>251</v>
      </c>
      <c r="H2112">
        <v>5</v>
      </c>
      <c r="L2112" t="s">
        <v>4492</v>
      </c>
      <c r="M2112" s="19">
        <v>44930</v>
      </c>
      <c r="N2112" s="19">
        <v>44951</v>
      </c>
      <c r="O2112" s="20"/>
    </row>
    <row r="2113" ht="15" customHeight="1">
      <c r="A2113" t="s">
        <v>4549</v>
      </c>
      <c r="B2113" t="s">
        <v>4550</v>
      </c>
      <c r="C2113" s="21" t="s">
        <v>227</v>
      </c>
      <c r="D2113" t="s">
        <v>813</v>
      </c>
      <c r="E2113" t="s">
        <v>814</v>
      </c>
      <c r="M2113" s="19">
        <v>44929</v>
      </c>
      <c r="N2113" s="20"/>
      <c r="O2113" s="20"/>
    </row>
    <row r="2114" ht="15" customHeight="1">
      <c r="A2114" t="s">
        <v>4551</v>
      </c>
      <c r="B2114" t="s">
        <v>4552</v>
      </c>
      <c r="C2114" s="23" t="s">
        <v>309</v>
      </c>
      <c r="D2114" t="s">
        <v>813</v>
      </c>
      <c r="E2114" t="s">
        <v>814</v>
      </c>
      <c r="H2114">
        <v>1</v>
      </c>
      <c r="K2114" t="s">
        <v>4553</v>
      </c>
      <c r="L2114" t="s">
        <v>4554</v>
      </c>
      <c r="M2114" s="19">
        <v>44929</v>
      </c>
      <c r="N2114" s="19">
        <v>44938</v>
      </c>
      <c r="O2114" s="20"/>
    </row>
    <row r="2115" ht="15" customHeight="1">
      <c r="A2115" t="s">
        <v>4555</v>
      </c>
      <c r="B2115" t="s">
        <v>4556</v>
      </c>
      <c r="C2115" s="23" t="s">
        <v>309</v>
      </c>
      <c r="D2115" t="s">
        <v>813</v>
      </c>
      <c r="E2115" t="s">
        <v>814</v>
      </c>
      <c r="K2115" t="s">
        <v>4553</v>
      </c>
      <c r="L2115" t="s">
        <v>4554</v>
      </c>
      <c r="M2115" s="19">
        <v>44929</v>
      </c>
      <c r="N2115" s="19">
        <v>44938</v>
      </c>
      <c r="O2115" s="20"/>
    </row>
    <row r="2116" ht="15" customHeight="1">
      <c r="A2116" t="s">
        <v>4557</v>
      </c>
      <c r="B2116" t="s">
        <v>4558</v>
      </c>
      <c r="C2116" s="23" t="s">
        <v>309</v>
      </c>
      <c r="D2116" t="s">
        <v>813</v>
      </c>
      <c r="E2116" t="s">
        <v>814</v>
      </c>
      <c r="K2116" t="s">
        <v>2927</v>
      </c>
      <c r="L2116" t="s">
        <v>4554</v>
      </c>
      <c r="M2116" s="19">
        <v>44928</v>
      </c>
      <c r="N2116" s="19">
        <v>44938</v>
      </c>
      <c r="O2116" s="20"/>
    </row>
    <row r="2117" ht="15" customHeight="1">
      <c r="A2117" t="s">
        <v>4559</v>
      </c>
      <c r="B2117" t="s">
        <v>4560</v>
      </c>
      <c r="C2117" s="23" t="s">
        <v>309</v>
      </c>
      <c r="D2117" t="s">
        <v>813</v>
      </c>
      <c r="E2117" t="s">
        <v>814</v>
      </c>
      <c r="K2117" t="s">
        <v>4482</v>
      </c>
      <c r="L2117" t="s">
        <v>4561</v>
      </c>
      <c r="M2117" s="19">
        <v>44924</v>
      </c>
      <c r="N2117" s="19">
        <v>44938</v>
      </c>
      <c r="O2117" s="20"/>
    </row>
    <row r="2118" ht="15" customHeight="1">
      <c r="A2118" t="s">
        <v>4562</v>
      </c>
      <c r="B2118" t="s">
        <v>4563</v>
      </c>
      <c r="C2118" s="21" t="s">
        <v>227</v>
      </c>
      <c r="D2118" t="s">
        <v>813</v>
      </c>
      <c r="E2118" t="s">
        <v>814</v>
      </c>
      <c r="M2118" s="19">
        <v>44923</v>
      </c>
      <c r="N2118" s="20"/>
      <c r="O2118" s="20"/>
    </row>
    <row r="2119" ht="15" customHeight="1">
      <c r="A2119" t="s">
        <v>4564</v>
      </c>
      <c r="B2119" t="s">
        <v>4565</v>
      </c>
      <c r="C2119" s="23" t="s">
        <v>309</v>
      </c>
      <c r="D2119" t="s">
        <v>813</v>
      </c>
      <c r="E2119" t="s">
        <v>814</v>
      </c>
      <c r="K2119" t="s">
        <v>4482</v>
      </c>
      <c r="M2119" s="19">
        <v>44923</v>
      </c>
      <c r="N2119" s="20"/>
      <c r="O2119" s="20"/>
    </row>
    <row r="2120" ht="15" customHeight="1">
      <c r="A2120" t="s">
        <v>4566</v>
      </c>
      <c r="B2120" t="s">
        <v>4567</v>
      </c>
      <c r="C2120" s="21" t="s">
        <v>227</v>
      </c>
      <c r="D2120" t="s">
        <v>813</v>
      </c>
      <c r="E2120" t="s">
        <v>814</v>
      </c>
      <c r="M2120" s="19">
        <v>44922</v>
      </c>
      <c r="N2120" s="19">
        <v>44924</v>
      </c>
      <c r="O2120" s="20"/>
    </row>
    <row r="2121" ht="15" customHeight="1">
      <c r="A2121" t="s">
        <v>4568</v>
      </c>
      <c r="B2121" t="s">
        <v>4569</v>
      </c>
      <c r="C2121" s="21" t="s">
        <v>227</v>
      </c>
      <c r="D2121" t="s">
        <v>813</v>
      </c>
      <c r="E2121" t="s">
        <v>814</v>
      </c>
      <c r="M2121" s="19">
        <v>44922</v>
      </c>
      <c r="N2121" s="19">
        <v>44924</v>
      </c>
      <c r="O2121" s="20"/>
    </row>
    <row r="2122" ht="15" customHeight="1">
      <c r="A2122" t="s">
        <v>4570</v>
      </c>
      <c r="B2122" t="s">
        <v>4571</v>
      </c>
      <c r="C2122" s="23" t="s">
        <v>309</v>
      </c>
      <c r="D2122" t="s">
        <v>813</v>
      </c>
      <c r="E2122" t="s">
        <v>814</v>
      </c>
      <c r="K2122" t="s">
        <v>4553</v>
      </c>
      <c r="M2122" s="19">
        <v>44922</v>
      </c>
      <c r="N2122" s="19">
        <v>44924</v>
      </c>
      <c r="O2122" s="20"/>
    </row>
    <row r="2123" ht="15" customHeight="1">
      <c r="A2123" t="s">
        <v>4572</v>
      </c>
      <c r="B2123" t="s">
        <v>4573</v>
      </c>
      <c r="C2123" s="21" t="s">
        <v>227</v>
      </c>
      <c r="D2123" t="s">
        <v>813</v>
      </c>
      <c r="E2123" t="s">
        <v>814</v>
      </c>
      <c r="M2123" s="19">
        <v>44922</v>
      </c>
      <c r="N2123" s="19">
        <v>44924</v>
      </c>
      <c r="O2123" s="20"/>
    </row>
    <row r="2124" ht="15" customHeight="1">
      <c r="A2124" t="s">
        <v>4574</v>
      </c>
      <c r="B2124" t="s">
        <v>4575</v>
      </c>
      <c r="C2124" s="21" t="s">
        <v>227</v>
      </c>
      <c r="D2124" t="s">
        <v>250</v>
      </c>
      <c r="E2124" t="s">
        <v>251</v>
      </c>
      <c r="M2124" s="19">
        <v>44917</v>
      </c>
      <c r="N2124" s="20"/>
      <c r="O2124" s="20"/>
    </row>
    <row r="2125" ht="15" customHeight="1">
      <c r="A2125" t="s">
        <v>4576</v>
      </c>
      <c r="B2125" t="s">
        <v>4577</v>
      </c>
      <c r="C2125" s="21" t="s">
        <v>227</v>
      </c>
      <c r="D2125" t="s">
        <v>813</v>
      </c>
      <c r="E2125" t="s">
        <v>814</v>
      </c>
      <c r="M2125" s="19">
        <v>44917</v>
      </c>
      <c r="N2125" s="20"/>
      <c r="O2125" s="20"/>
    </row>
    <row r="2126" ht="15" customHeight="1">
      <c r="A2126" t="s">
        <v>4578</v>
      </c>
      <c r="B2126" t="s">
        <v>4579</v>
      </c>
      <c r="C2126" s="21" t="s">
        <v>227</v>
      </c>
      <c r="D2126" t="s">
        <v>813</v>
      </c>
      <c r="E2126" t="s">
        <v>814</v>
      </c>
      <c r="M2126" s="19">
        <v>44915</v>
      </c>
      <c r="N2126" s="20"/>
      <c r="O2126" s="20"/>
    </row>
    <row r="2127" ht="15" customHeight="1">
      <c r="A2127" t="s">
        <v>4580</v>
      </c>
      <c r="B2127" t="s">
        <v>4581</v>
      </c>
      <c r="C2127" s="21" t="s">
        <v>227</v>
      </c>
      <c r="D2127" t="s">
        <v>250</v>
      </c>
      <c r="E2127" t="s">
        <v>251</v>
      </c>
      <c r="H2127">
        <v>34</v>
      </c>
      <c r="M2127" s="19">
        <v>44915</v>
      </c>
      <c r="N2127" s="20"/>
      <c r="O2127" s="20"/>
    </row>
    <row r="2128" ht="15" customHeight="1">
      <c r="A2128" t="s">
        <v>4582</v>
      </c>
      <c r="B2128" t="s">
        <v>4583</v>
      </c>
      <c r="C2128" s="21" t="s">
        <v>227</v>
      </c>
      <c r="D2128" t="s">
        <v>250</v>
      </c>
      <c r="E2128" t="s">
        <v>251</v>
      </c>
      <c r="M2128" s="19">
        <v>44915</v>
      </c>
      <c r="N2128" s="20"/>
      <c r="O2128" s="20"/>
    </row>
    <row r="2129" ht="15" customHeight="1">
      <c r="A2129" t="s">
        <v>4584</v>
      </c>
      <c r="B2129" t="s">
        <v>4585</v>
      </c>
      <c r="C2129" s="21" t="s">
        <v>227</v>
      </c>
      <c r="D2129" t="s">
        <v>250</v>
      </c>
      <c r="E2129" t="s">
        <v>251</v>
      </c>
      <c r="H2129">
        <v>25</v>
      </c>
      <c r="M2129" s="19">
        <v>44915</v>
      </c>
      <c r="N2129" s="20"/>
      <c r="O2129" s="20"/>
    </row>
    <row r="2130" ht="15" customHeight="1">
      <c r="A2130" t="s">
        <v>4586</v>
      </c>
      <c r="B2130" t="s">
        <v>4587</v>
      </c>
      <c r="C2130" s="21" t="s">
        <v>227</v>
      </c>
      <c r="D2130" t="s">
        <v>250</v>
      </c>
      <c r="E2130" t="s">
        <v>251</v>
      </c>
      <c r="M2130" s="19">
        <v>44915</v>
      </c>
      <c r="N2130" s="20"/>
      <c r="O2130" s="20"/>
    </row>
    <row r="2131" ht="15" customHeight="1">
      <c r="A2131" t="s">
        <v>4588</v>
      </c>
      <c r="B2131" t="s">
        <v>4589</v>
      </c>
      <c r="C2131" s="21" t="s">
        <v>227</v>
      </c>
      <c r="D2131" t="s">
        <v>250</v>
      </c>
      <c r="E2131" t="s">
        <v>251</v>
      </c>
      <c r="M2131" s="19">
        <v>44915</v>
      </c>
      <c r="N2131" s="20"/>
      <c r="O2131" s="20"/>
    </row>
    <row r="2132" ht="15" customHeight="1">
      <c r="A2132" t="s">
        <v>4590</v>
      </c>
      <c r="B2132" t="s">
        <v>4591</v>
      </c>
      <c r="C2132" s="21" t="s">
        <v>227</v>
      </c>
      <c r="D2132" t="s">
        <v>250</v>
      </c>
      <c r="E2132" t="s">
        <v>251</v>
      </c>
      <c r="M2132" s="19">
        <v>44915</v>
      </c>
      <c r="N2132" s="20"/>
      <c r="O2132" s="20"/>
    </row>
    <row r="2133" ht="15" customHeight="1">
      <c r="A2133" t="s">
        <v>4592</v>
      </c>
      <c r="B2133" t="s">
        <v>4593</v>
      </c>
      <c r="C2133" s="21" t="s">
        <v>227</v>
      </c>
      <c r="D2133" t="s">
        <v>250</v>
      </c>
      <c r="E2133" t="s">
        <v>251</v>
      </c>
      <c r="M2133" s="19">
        <v>44915</v>
      </c>
      <c r="N2133" s="20"/>
      <c r="O2133" s="20"/>
    </row>
    <row r="2134" ht="15" customHeight="1">
      <c r="A2134" t="s">
        <v>4594</v>
      </c>
      <c r="B2134" t="s">
        <v>4595</v>
      </c>
      <c r="C2134" s="21" t="s">
        <v>227</v>
      </c>
      <c r="D2134" t="s">
        <v>250</v>
      </c>
      <c r="E2134" t="s">
        <v>251</v>
      </c>
      <c r="M2134" s="19">
        <v>44915</v>
      </c>
      <c r="N2134" s="20"/>
      <c r="O2134" s="20"/>
    </row>
    <row r="2135" ht="15" customHeight="1">
      <c r="A2135" t="s">
        <v>4596</v>
      </c>
      <c r="B2135" t="s">
        <v>4597</v>
      </c>
      <c r="C2135" s="21" t="s">
        <v>227</v>
      </c>
      <c r="D2135" t="s">
        <v>250</v>
      </c>
      <c r="E2135" t="s">
        <v>251</v>
      </c>
      <c r="H2135">
        <v>8</v>
      </c>
      <c r="M2135" s="19">
        <v>44915</v>
      </c>
      <c r="N2135" s="20"/>
      <c r="O2135" s="20"/>
    </row>
    <row r="2136" ht="15" customHeight="1">
      <c r="A2136" t="s">
        <v>4598</v>
      </c>
      <c r="B2136" t="s">
        <v>4599</v>
      </c>
      <c r="C2136" s="21" t="s">
        <v>227</v>
      </c>
      <c r="D2136" t="s">
        <v>250</v>
      </c>
      <c r="E2136" t="s">
        <v>251</v>
      </c>
      <c r="H2136">
        <v>15</v>
      </c>
      <c r="M2136" s="19">
        <v>44915</v>
      </c>
      <c r="N2136" s="20"/>
      <c r="O2136" s="20"/>
    </row>
    <row r="2137" ht="15" customHeight="1">
      <c r="A2137" t="s">
        <v>4600</v>
      </c>
      <c r="B2137" t="s">
        <v>4601</v>
      </c>
      <c r="C2137" s="23" t="s">
        <v>309</v>
      </c>
      <c r="D2137" t="s">
        <v>813</v>
      </c>
      <c r="E2137" t="s">
        <v>814</v>
      </c>
      <c r="K2137" t="s">
        <v>4553</v>
      </c>
      <c r="L2137" t="s">
        <v>4561</v>
      </c>
      <c r="M2137" s="19">
        <v>44914</v>
      </c>
      <c r="N2137" s="19">
        <v>44924</v>
      </c>
      <c r="O2137" s="20"/>
    </row>
    <row r="2138" ht="15" customHeight="1">
      <c r="A2138" t="s">
        <v>4602</v>
      </c>
      <c r="B2138" t="s">
        <v>4603</v>
      </c>
      <c r="C2138" t="s">
        <v>1470</v>
      </c>
      <c r="D2138" t="s">
        <v>232</v>
      </c>
      <c r="E2138" t="s">
        <v>233</v>
      </c>
      <c r="M2138" s="19">
        <v>44914</v>
      </c>
      <c r="N2138" s="20"/>
      <c r="O2138" s="20"/>
    </row>
    <row r="2139" ht="15" customHeight="1">
      <c r="A2139" t="s">
        <v>4604</v>
      </c>
      <c r="B2139" t="s">
        <v>4605</v>
      </c>
      <c r="C2139" t="s">
        <v>222</v>
      </c>
      <c r="D2139" t="s">
        <v>223</v>
      </c>
      <c r="E2139" t="s">
        <v>224</v>
      </c>
      <c r="M2139" s="19">
        <v>44911</v>
      </c>
      <c r="N2139" s="20"/>
      <c r="O2139" s="20"/>
    </row>
    <row r="2140" ht="15" customHeight="1">
      <c r="A2140" t="s">
        <v>4606</v>
      </c>
      <c r="B2140" t="s">
        <v>4607</v>
      </c>
      <c r="C2140" s="21" t="s">
        <v>227</v>
      </c>
      <c r="D2140" t="s">
        <v>813</v>
      </c>
      <c r="E2140" t="s">
        <v>814</v>
      </c>
      <c r="K2140" t="s">
        <v>2934</v>
      </c>
      <c r="L2140" t="s">
        <v>4554</v>
      </c>
      <c r="M2140" s="19">
        <v>44910</v>
      </c>
      <c r="N2140" s="19">
        <v>44910</v>
      </c>
      <c r="O2140" s="20"/>
    </row>
    <row r="2141" ht="15" customHeight="1">
      <c r="A2141" t="s">
        <v>4608</v>
      </c>
      <c r="B2141" t="s">
        <v>4609</v>
      </c>
      <c r="C2141" t="s">
        <v>1057</v>
      </c>
      <c r="D2141" t="s">
        <v>223</v>
      </c>
      <c r="E2141" t="s">
        <v>224</v>
      </c>
      <c r="H2141">
        <v>0</v>
      </c>
      <c r="M2141" s="19">
        <v>44908</v>
      </c>
      <c r="N2141" s="20"/>
      <c r="O2141" s="20"/>
    </row>
    <row r="2142" ht="15" customHeight="1">
      <c r="A2142" t="s">
        <v>4610</v>
      </c>
      <c r="B2142" t="s">
        <v>4611</v>
      </c>
      <c r="C2142" t="s">
        <v>1057</v>
      </c>
      <c r="D2142" t="s">
        <v>223</v>
      </c>
      <c r="E2142" t="s">
        <v>224</v>
      </c>
      <c r="H2142">
        <v>0</v>
      </c>
      <c r="M2142" s="19">
        <v>44908</v>
      </c>
      <c r="N2142" s="20"/>
      <c r="O2142" s="20"/>
    </row>
    <row r="2143" ht="15" customHeight="1">
      <c r="A2143" t="s">
        <v>4612</v>
      </c>
      <c r="B2143" t="s">
        <v>4613</v>
      </c>
      <c r="C2143" t="s">
        <v>1057</v>
      </c>
      <c r="D2143" t="s">
        <v>223</v>
      </c>
      <c r="E2143" t="s">
        <v>224</v>
      </c>
      <c r="H2143">
        <v>0</v>
      </c>
      <c r="M2143" s="19">
        <v>44908</v>
      </c>
      <c r="N2143" s="20"/>
      <c r="O2143" s="20"/>
    </row>
    <row r="2144" ht="15" customHeight="1">
      <c r="A2144" t="s">
        <v>4614</v>
      </c>
      <c r="B2144" t="s">
        <v>4615</v>
      </c>
      <c r="C2144" t="s">
        <v>1057</v>
      </c>
      <c r="D2144" t="s">
        <v>223</v>
      </c>
      <c r="E2144" t="s">
        <v>224</v>
      </c>
      <c r="H2144">
        <v>136</v>
      </c>
      <c r="M2144" s="19">
        <v>44908</v>
      </c>
      <c r="N2144" s="20"/>
      <c r="O2144" s="20"/>
    </row>
    <row r="2145" ht="15" customHeight="1">
      <c r="A2145" t="s">
        <v>4616</v>
      </c>
      <c r="B2145" t="s">
        <v>4617</v>
      </c>
      <c r="C2145" t="s">
        <v>1057</v>
      </c>
      <c r="D2145" t="s">
        <v>223</v>
      </c>
      <c r="E2145" t="s">
        <v>224</v>
      </c>
      <c r="H2145">
        <v>0</v>
      </c>
      <c r="M2145" s="19">
        <v>44908</v>
      </c>
      <c r="N2145" s="20"/>
      <c r="O2145" s="20"/>
    </row>
    <row r="2146" ht="15" customHeight="1">
      <c r="A2146" t="s">
        <v>4618</v>
      </c>
      <c r="B2146" t="s">
        <v>4619</v>
      </c>
      <c r="C2146" s="21" t="s">
        <v>227</v>
      </c>
      <c r="D2146" t="s">
        <v>813</v>
      </c>
      <c r="E2146" t="s">
        <v>814</v>
      </c>
      <c r="H2146">
        <v>32</v>
      </c>
      <c r="M2146" s="19">
        <v>44907</v>
      </c>
      <c r="N2146" s="20"/>
      <c r="O2146" s="20"/>
    </row>
    <row r="2147" ht="15" customHeight="1">
      <c r="A2147" t="s">
        <v>4620</v>
      </c>
      <c r="B2147" t="s">
        <v>4621</v>
      </c>
      <c r="C2147" s="21" t="s">
        <v>227</v>
      </c>
      <c r="D2147" t="s">
        <v>813</v>
      </c>
      <c r="E2147" t="s">
        <v>814</v>
      </c>
      <c r="M2147" s="19">
        <v>44907</v>
      </c>
      <c r="N2147" s="20"/>
      <c r="O2147" s="20"/>
    </row>
    <row r="2148" ht="15" customHeight="1">
      <c r="A2148" t="s">
        <v>4622</v>
      </c>
      <c r="B2148" t="s">
        <v>4623</v>
      </c>
      <c r="C2148" s="21" t="s">
        <v>227</v>
      </c>
      <c r="D2148" t="s">
        <v>813</v>
      </c>
      <c r="E2148" t="s">
        <v>814</v>
      </c>
      <c r="M2148" s="19">
        <v>44907</v>
      </c>
      <c r="N2148" s="20"/>
      <c r="O2148" s="20"/>
    </row>
    <row r="2149" ht="15" customHeight="1">
      <c r="A2149" t="s">
        <v>4624</v>
      </c>
      <c r="B2149" t="s">
        <v>4625</v>
      </c>
      <c r="C2149" s="21" t="s">
        <v>227</v>
      </c>
      <c r="D2149" t="s">
        <v>813</v>
      </c>
      <c r="E2149" t="s">
        <v>814</v>
      </c>
      <c r="M2149" s="19">
        <v>44907</v>
      </c>
      <c r="N2149" s="20"/>
      <c r="O2149" s="20"/>
    </row>
    <row r="2150" ht="15" customHeight="1">
      <c r="A2150" t="s">
        <v>4626</v>
      </c>
      <c r="B2150" t="s">
        <v>4627</v>
      </c>
      <c r="C2150" s="21" t="s">
        <v>227</v>
      </c>
      <c r="D2150" t="s">
        <v>250</v>
      </c>
      <c r="E2150" t="s">
        <v>251</v>
      </c>
      <c r="H2150">
        <v>0</v>
      </c>
      <c r="K2150" t="s">
        <v>2475</v>
      </c>
      <c r="M2150" s="19">
        <v>44905</v>
      </c>
      <c r="N2150" s="20"/>
      <c r="O2150" s="20"/>
    </row>
    <row r="2151" ht="15" customHeight="1">
      <c r="A2151" t="s">
        <v>4628</v>
      </c>
      <c r="B2151" t="s">
        <v>4629</v>
      </c>
      <c r="C2151" s="21" t="s">
        <v>227</v>
      </c>
      <c r="D2151" t="s">
        <v>813</v>
      </c>
      <c r="E2151" t="s">
        <v>814</v>
      </c>
      <c r="M2151" s="19">
        <v>44902</v>
      </c>
      <c r="N2151" s="19">
        <v>44910</v>
      </c>
      <c r="O2151" s="20"/>
    </row>
    <row r="2152" ht="15" customHeight="1">
      <c r="A2152" t="s">
        <v>4630</v>
      </c>
      <c r="B2152" t="s">
        <v>4631</v>
      </c>
      <c r="C2152" t="s">
        <v>1057</v>
      </c>
      <c r="D2152" t="s">
        <v>223</v>
      </c>
      <c r="E2152" t="s">
        <v>224</v>
      </c>
      <c r="H2152">
        <v>0</v>
      </c>
      <c r="K2152" t="s">
        <v>2136</v>
      </c>
      <c r="M2152" s="19">
        <v>44897</v>
      </c>
      <c r="N2152" s="20"/>
      <c r="O2152" s="20"/>
    </row>
    <row r="2153" ht="15" customHeight="1">
      <c r="A2153" t="s">
        <v>4632</v>
      </c>
      <c r="B2153" t="s">
        <v>4633</v>
      </c>
      <c r="C2153" t="s">
        <v>1057</v>
      </c>
      <c r="D2153" t="s">
        <v>223</v>
      </c>
      <c r="E2153" t="s">
        <v>224</v>
      </c>
      <c r="H2153">
        <v>184</v>
      </c>
      <c r="M2153" s="19">
        <v>44897</v>
      </c>
      <c r="N2153" s="20"/>
      <c r="O2153" s="20"/>
    </row>
    <row r="2154" ht="15" customHeight="1">
      <c r="A2154" t="s">
        <v>4634</v>
      </c>
      <c r="B2154" t="s">
        <v>4635</v>
      </c>
      <c r="C2154" t="s">
        <v>1057</v>
      </c>
      <c r="D2154" t="s">
        <v>223</v>
      </c>
      <c r="E2154" t="s">
        <v>224</v>
      </c>
      <c r="H2154">
        <v>84</v>
      </c>
      <c r="M2154" s="19">
        <v>44897</v>
      </c>
      <c r="N2154" s="20"/>
      <c r="O2154" s="20"/>
    </row>
    <row r="2155" ht="15" customHeight="1">
      <c r="A2155" t="s">
        <v>4636</v>
      </c>
      <c r="B2155" t="s">
        <v>4637</v>
      </c>
      <c r="C2155" s="21" t="s">
        <v>227</v>
      </c>
      <c r="D2155" t="s">
        <v>813</v>
      </c>
      <c r="E2155" t="s">
        <v>814</v>
      </c>
      <c r="M2155" s="19">
        <v>44897</v>
      </c>
      <c r="N2155" s="19">
        <v>44910</v>
      </c>
      <c r="O2155" s="20"/>
    </row>
    <row r="2156" ht="15" customHeight="1">
      <c r="A2156" t="s">
        <v>4638</v>
      </c>
      <c r="B2156" t="s">
        <v>4639</v>
      </c>
      <c r="C2156" s="21" t="s">
        <v>227</v>
      </c>
      <c r="D2156" t="s">
        <v>250</v>
      </c>
      <c r="E2156" t="s">
        <v>251</v>
      </c>
      <c r="M2156" s="19">
        <v>44897</v>
      </c>
      <c r="N2156" s="20"/>
      <c r="O2156" s="20"/>
    </row>
    <row r="2157" ht="15" customHeight="1">
      <c r="A2157" t="s">
        <v>4640</v>
      </c>
      <c r="B2157" t="s">
        <v>4641</v>
      </c>
      <c r="C2157" s="21" t="s">
        <v>227</v>
      </c>
      <c r="D2157" t="s">
        <v>250</v>
      </c>
      <c r="E2157" t="s">
        <v>251</v>
      </c>
      <c r="H2157">
        <v>11</v>
      </c>
      <c r="K2157" t="s">
        <v>2475</v>
      </c>
      <c r="M2157" s="19">
        <v>44897</v>
      </c>
      <c r="N2157" s="20"/>
      <c r="O2157" s="20"/>
    </row>
    <row r="2158" ht="15" customHeight="1">
      <c r="A2158" t="s">
        <v>4642</v>
      </c>
      <c r="B2158" t="s">
        <v>4643</v>
      </c>
      <c r="C2158" t="s">
        <v>1057</v>
      </c>
      <c r="D2158" t="s">
        <v>223</v>
      </c>
      <c r="E2158" t="s">
        <v>224</v>
      </c>
      <c r="H2158">
        <v>0</v>
      </c>
      <c r="K2158" t="s">
        <v>3785</v>
      </c>
      <c r="M2158" s="19">
        <v>44897</v>
      </c>
      <c r="N2158" s="20"/>
      <c r="O2158" s="20"/>
    </row>
    <row r="2159" ht="15" customHeight="1">
      <c r="A2159" t="s">
        <v>4644</v>
      </c>
      <c r="B2159" t="s">
        <v>4645</v>
      </c>
      <c r="C2159" s="21" t="s">
        <v>227</v>
      </c>
      <c r="D2159" t="s">
        <v>813</v>
      </c>
      <c r="E2159" t="s">
        <v>814</v>
      </c>
      <c r="K2159" t="s">
        <v>2934</v>
      </c>
      <c r="M2159" s="19">
        <v>44895</v>
      </c>
      <c r="N2159" s="19">
        <v>44910</v>
      </c>
      <c r="O2159" s="20"/>
    </row>
    <row r="2160" ht="15" customHeight="1">
      <c r="A2160" t="s">
        <v>4646</v>
      </c>
      <c r="B2160" t="s">
        <v>4647</v>
      </c>
      <c r="C2160" s="21" t="s">
        <v>227</v>
      </c>
      <c r="D2160" t="s">
        <v>813</v>
      </c>
      <c r="E2160" t="s">
        <v>814</v>
      </c>
      <c r="M2160" s="19">
        <v>44895</v>
      </c>
      <c r="N2160" s="20"/>
      <c r="O2160" s="20"/>
    </row>
    <row r="2161" ht="15" customHeight="1">
      <c r="A2161" t="s">
        <v>4648</v>
      </c>
      <c r="B2161" t="s">
        <v>4649</v>
      </c>
      <c r="C2161" s="21" t="s">
        <v>227</v>
      </c>
      <c r="D2161" t="s">
        <v>813</v>
      </c>
      <c r="E2161" t="s">
        <v>814</v>
      </c>
      <c r="M2161" s="19">
        <v>44895</v>
      </c>
      <c r="N2161" s="20"/>
      <c r="O2161" s="20"/>
    </row>
    <row r="2162" ht="15" customHeight="1">
      <c r="A2162" t="s">
        <v>4650</v>
      </c>
      <c r="B2162" t="s">
        <v>4651</v>
      </c>
      <c r="C2162" s="21" t="s">
        <v>227</v>
      </c>
      <c r="D2162" t="s">
        <v>813</v>
      </c>
      <c r="E2162" t="s">
        <v>814</v>
      </c>
      <c r="M2162" s="19">
        <v>44895</v>
      </c>
      <c r="N2162" s="20"/>
      <c r="O2162" s="20"/>
    </row>
    <row r="2163" ht="15" customHeight="1">
      <c r="A2163" t="s">
        <v>4652</v>
      </c>
      <c r="B2163" t="s">
        <v>4653</v>
      </c>
      <c r="C2163" s="21" t="s">
        <v>227</v>
      </c>
      <c r="D2163" t="s">
        <v>813</v>
      </c>
      <c r="E2163" t="s">
        <v>814</v>
      </c>
      <c r="H2163">
        <v>5</v>
      </c>
      <c r="K2163" t="s">
        <v>2927</v>
      </c>
      <c r="M2163" s="19">
        <v>44895</v>
      </c>
      <c r="N2163" s="19">
        <v>44938</v>
      </c>
      <c r="O2163" s="20"/>
    </row>
    <row r="2164" ht="15" customHeight="1">
      <c r="A2164" t="s">
        <v>4654</v>
      </c>
      <c r="B2164" t="s">
        <v>4655</v>
      </c>
      <c r="C2164" t="s">
        <v>222</v>
      </c>
      <c r="D2164" t="s">
        <v>223</v>
      </c>
      <c r="E2164" t="s">
        <v>224</v>
      </c>
      <c r="M2164" s="19">
        <v>44895</v>
      </c>
      <c r="N2164" s="20"/>
      <c r="O2164" s="20"/>
    </row>
    <row r="2165" ht="15" customHeight="1">
      <c r="A2165" t="s">
        <v>4656</v>
      </c>
      <c r="B2165" t="s">
        <v>4657</v>
      </c>
      <c r="C2165" t="s">
        <v>222</v>
      </c>
      <c r="D2165" t="s">
        <v>223</v>
      </c>
      <c r="E2165" t="s">
        <v>224</v>
      </c>
      <c r="M2165" s="19">
        <v>44895</v>
      </c>
      <c r="N2165" s="20"/>
      <c r="O2165" s="20"/>
    </row>
    <row r="2166" ht="15" customHeight="1">
      <c r="A2166" t="s">
        <v>4658</v>
      </c>
      <c r="B2166" t="s">
        <v>4659</v>
      </c>
      <c r="C2166" t="s">
        <v>1470</v>
      </c>
      <c r="D2166" t="s">
        <v>232</v>
      </c>
      <c r="E2166" t="s">
        <v>233</v>
      </c>
      <c r="M2166" s="19">
        <v>44893</v>
      </c>
      <c r="N2166" s="20"/>
      <c r="O2166" s="20"/>
    </row>
    <row r="2167" ht="15" customHeight="1">
      <c r="A2167" t="s">
        <v>4660</v>
      </c>
      <c r="B2167" t="s">
        <v>4661</v>
      </c>
      <c r="C2167" s="21" t="s">
        <v>227</v>
      </c>
      <c r="D2167" t="s">
        <v>813</v>
      </c>
      <c r="E2167" t="s">
        <v>814</v>
      </c>
      <c r="M2167" s="19">
        <v>44893</v>
      </c>
      <c r="N2167" s="20"/>
      <c r="O2167" s="20"/>
    </row>
    <row r="2168" ht="15" customHeight="1">
      <c r="A2168" t="s">
        <v>4662</v>
      </c>
      <c r="B2168" t="s">
        <v>4663</v>
      </c>
      <c r="C2168" s="21" t="s">
        <v>227</v>
      </c>
      <c r="D2168" t="s">
        <v>813</v>
      </c>
      <c r="E2168" t="s">
        <v>814</v>
      </c>
      <c r="M2168" s="19">
        <v>44893</v>
      </c>
      <c r="N2168" s="20"/>
      <c r="O2168" s="20"/>
    </row>
    <row r="2169" ht="15" customHeight="1">
      <c r="A2169" t="s">
        <v>4664</v>
      </c>
      <c r="B2169" t="s">
        <v>4665</v>
      </c>
      <c r="C2169" s="21" t="s">
        <v>227</v>
      </c>
      <c r="D2169" t="s">
        <v>813</v>
      </c>
      <c r="E2169" t="s">
        <v>814</v>
      </c>
      <c r="M2169" s="19">
        <v>44893</v>
      </c>
      <c r="N2169" s="20"/>
      <c r="O2169" s="20"/>
    </row>
    <row r="2170" ht="15" customHeight="1">
      <c r="A2170" t="s">
        <v>4666</v>
      </c>
      <c r="B2170" t="s">
        <v>4667</v>
      </c>
      <c r="C2170" s="21" t="s">
        <v>227</v>
      </c>
      <c r="D2170" t="s">
        <v>813</v>
      </c>
      <c r="E2170" t="s">
        <v>814</v>
      </c>
      <c r="M2170" s="19">
        <v>44893</v>
      </c>
      <c r="N2170" s="20"/>
      <c r="O2170" s="20"/>
    </row>
    <row r="2171" ht="15" customHeight="1">
      <c r="A2171" t="s">
        <v>4668</v>
      </c>
      <c r="B2171" t="s">
        <v>4669</v>
      </c>
      <c r="C2171" s="21" t="s">
        <v>227</v>
      </c>
      <c r="D2171" t="s">
        <v>813</v>
      </c>
      <c r="E2171" t="s">
        <v>814</v>
      </c>
      <c r="M2171" s="19">
        <v>44893</v>
      </c>
      <c r="N2171" s="20"/>
      <c r="O2171" s="20"/>
    </row>
    <row r="2172" ht="15" customHeight="1">
      <c r="A2172" t="s">
        <v>4670</v>
      </c>
      <c r="B2172" t="s">
        <v>4671</v>
      </c>
      <c r="C2172" s="21" t="s">
        <v>227</v>
      </c>
      <c r="D2172" t="s">
        <v>813</v>
      </c>
      <c r="E2172" t="s">
        <v>814</v>
      </c>
      <c r="H2172">
        <v>3</v>
      </c>
      <c r="M2172" s="19">
        <v>44893</v>
      </c>
      <c r="N2172" s="20"/>
      <c r="O2172" s="20"/>
    </row>
    <row r="2173" ht="15" customHeight="1">
      <c r="A2173" t="s">
        <v>4672</v>
      </c>
      <c r="B2173" t="s">
        <v>4113</v>
      </c>
      <c r="C2173" s="23" t="s">
        <v>309</v>
      </c>
      <c r="D2173" t="s">
        <v>232</v>
      </c>
      <c r="E2173" t="s">
        <v>233</v>
      </c>
      <c r="H2173">
        <v>5</v>
      </c>
      <c r="K2173" t="s">
        <v>2136</v>
      </c>
      <c r="M2173" s="19">
        <v>44886</v>
      </c>
      <c r="N2173" s="20"/>
      <c r="O2173" s="20"/>
    </row>
    <row r="2174" ht="15" customHeight="1">
      <c r="A2174" t="s">
        <v>4673</v>
      </c>
      <c r="B2174" t="s">
        <v>4674</v>
      </c>
      <c r="C2174" t="s">
        <v>1470</v>
      </c>
      <c r="D2174" t="s">
        <v>232</v>
      </c>
      <c r="E2174" t="s">
        <v>233</v>
      </c>
      <c r="M2174" s="19">
        <v>44883</v>
      </c>
      <c r="N2174" s="20"/>
      <c r="O2174" s="20"/>
    </row>
    <row r="2175" ht="15" customHeight="1">
      <c r="A2175" t="s">
        <v>4675</v>
      </c>
      <c r="B2175" t="s">
        <v>4676</v>
      </c>
      <c r="C2175" s="21" t="s">
        <v>227</v>
      </c>
      <c r="D2175" t="s">
        <v>813</v>
      </c>
      <c r="E2175" t="s">
        <v>814</v>
      </c>
      <c r="M2175" s="19">
        <v>44882</v>
      </c>
      <c r="N2175" s="20"/>
      <c r="O2175" s="20"/>
    </row>
    <row r="2176" ht="15" customHeight="1">
      <c r="A2176" t="s">
        <v>4677</v>
      </c>
      <c r="B2176" t="s">
        <v>4645</v>
      </c>
      <c r="C2176" s="21" t="s">
        <v>227</v>
      </c>
      <c r="D2176" t="s">
        <v>813</v>
      </c>
      <c r="E2176" t="s">
        <v>814</v>
      </c>
      <c r="H2176">
        <v>5</v>
      </c>
      <c r="K2176" t="s">
        <v>2934</v>
      </c>
      <c r="M2176" s="19">
        <v>44882</v>
      </c>
      <c r="N2176" s="19">
        <v>44910</v>
      </c>
      <c r="O2176" s="20"/>
    </row>
    <row r="2177" ht="15" customHeight="1">
      <c r="A2177" t="s">
        <v>4678</v>
      </c>
      <c r="B2177" t="s">
        <v>4679</v>
      </c>
      <c r="C2177" s="23" t="s">
        <v>309</v>
      </c>
      <c r="D2177" t="s">
        <v>813</v>
      </c>
      <c r="E2177" t="s">
        <v>814</v>
      </c>
      <c r="H2177">
        <v>2</v>
      </c>
      <c r="K2177" t="s">
        <v>2934</v>
      </c>
      <c r="L2177" t="s">
        <v>4554</v>
      </c>
      <c r="M2177" s="19">
        <v>44881</v>
      </c>
      <c r="N2177" s="19">
        <v>44938</v>
      </c>
      <c r="O2177" s="20"/>
    </row>
    <row r="2178" ht="15" customHeight="1">
      <c r="A2178" t="s">
        <v>4680</v>
      </c>
      <c r="B2178" t="s">
        <v>4681</v>
      </c>
      <c r="C2178" s="23" t="s">
        <v>309</v>
      </c>
      <c r="D2178" t="s">
        <v>813</v>
      </c>
      <c r="E2178" t="s">
        <v>814</v>
      </c>
      <c r="H2178">
        <v>1</v>
      </c>
      <c r="K2178" t="s">
        <v>3773</v>
      </c>
      <c r="L2178" t="s">
        <v>4554</v>
      </c>
      <c r="M2178" s="19">
        <v>44881</v>
      </c>
      <c r="N2178" s="19">
        <v>44896</v>
      </c>
      <c r="O2178" s="20"/>
    </row>
    <row r="2179" ht="15" customHeight="1">
      <c r="A2179" t="s">
        <v>4682</v>
      </c>
      <c r="B2179" t="s">
        <v>4683</v>
      </c>
      <c r="C2179" s="21" t="s">
        <v>227</v>
      </c>
      <c r="D2179" t="s">
        <v>250</v>
      </c>
      <c r="E2179" t="s">
        <v>251</v>
      </c>
      <c r="M2179" s="19">
        <v>44881</v>
      </c>
      <c r="N2179" s="19">
        <v>44909</v>
      </c>
      <c r="O2179" s="20"/>
    </row>
    <row r="2180" ht="15" customHeight="1">
      <c r="A2180" t="s">
        <v>4684</v>
      </c>
      <c r="B2180" t="s">
        <v>4685</v>
      </c>
      <c r="C2180" s="23" t="s">
        <v>309</v>
      </c>
      <c r="D2180" t="s">
        <v>813</v>
      </c>
      <c r="E2180" t="s">
        <v>814</v>
      </c>
      <c r="K2180" t="s">
        <v>3773</v>
      </c>
      <c r="L2180" t="s">
        <v>4686</v>
      </c>
      <c r="M2180" s="19">
        <v>44881</v>
      </c>
      <c r="N2180" s="19">
        <v>44882</v>
      </c>
      <c r="O2180" s="20"/>
    </row>
    <row r="2181" ht="15" customHeight="1">
      <c r="A2181" t="s">
        <v>4687</v>
      </c>
      <c r="B2181" t="s">
        <v>4688</v>
      </c>
      <c r="C2181" s="22" t="s">
        <v>55</v>
      </c>
      <c r="D2181" t="s">
        <v>223</v>
      </c>
      <c r="E2181" t="s">
        <v>224</v>
      </c>
      <c r="H2181">
        <v>0</v>
      </c>
      <c r="M2181" s="19">
        <v>44881</v>
      </c>
      <c r="N2181" s="20"/>
      <c r="O2181" s="20"/>
    </row>
    <row r="2182" ht="15" customHeight="1">
      <c r="A2182" t="s">
        <v>4689</v>
      </c>
      <c r="B2182" t="s">
        <v>4690</v>
      </c>
      <c r="C2182" s="23" t="s">
        <v>309</v>
      </c>
      <c r="D2182" t="s">
        <v>228</v>
      </c>
      <c r="E2182" t="s">
        <v>229</v>
      </c>
      <c r="H2182">
        <v>2</v>
      </c>
      <c r="L2182" t="s">
        <v>4691</v>
      </c>
      <c r="M2182" s="19">
        <v>44881</v>
      </c>
      <c r="N2182" s="19">
        <v>44924</v>
      </c>
      <c r="O2182" s="20"/>
    </row>
    <row r="2183" ht="15" customHeight="1">
      <c r="A2183" t="s">
        <v>4692</v>
      </c>
      <c r="B2183" t="s">
        <v>4693</v>
      </c>
      <c r="C2183" s="24" t="s">
        <v>322</v>
      </c>
      <c r="D2183" t="s">
        <v>813</v>
      </c>
      <c r="E2183" t="s">
        <v>814</v>
      </c>
      <c r="H2183">
        <v>5</v>
      </c>
      <c r="M2183" s="19">
        <v>44881</v>
      </c>
      <c r="N2183" s="20"/>
      <c r="O2183" s="20"/>
    </row>
    <row r="2184" ht="15" customHeight="1">
      <c r="A2184" t="s">
        <v>4694</v>
      </c>
      <c r="B2184" t="s">
        <v>4695</v>
      </c>
      <c r="C2184" s="21" t="s">
        <v>227</v>
      </c>
      <c r="D2184" t="s">
        <v>250</v>
      </c>
      <c r="E2184" t="s">
        <v>251</v>
      </c>
      <c r="H2184">
        <v>0</v>
      </c>
      <c r="M2184" s="19">
        <v>44881</v>
      </c>
      <c r="N2184" s="20"/>
      <c r="O2184" s="20"/>
    </row>
    <row r="2185" ht="15" customHeight="1">
      <c r="A2185" t="s">
        <v>4696</v>
      </c>
      <c r="B2185" t="s">
        <v>4697</v>
      </c>
      <c r="C2185" s="21" t="s">
        <v>227</v>
      </c>
      <c r="D2185" t="s">
        <v>813</v>
      </c>
      <c r="E2185" t="s">
        <v>814</v>
      </c>
      <c r="M2185" s="19">
        <v>44880</v>
      </c>
      <c r="N2185" s="20"/>
      <c r="O2185" s="20"/>
    </row>
    <row r="2186" ht="15" customHeight="1">
      <c r="A2186" t="s">
        <v>4698</v>
      </c>
      <c r="B2186" t="s">
        <v>4699</v>
      </c>
      <c r="C2186" t="s">
        <v>1057</v>
      </c>
      <c r="D2186" t="s">
        <v>223</v>
      </c>
      <c r="E2186" t="s">
        <v>224</v>
      </c>
      <c r="H2186">
        <v>0</v>
      </c>
      <c r="M2186" s="19">
        <v>44880</v>
      </c>
      <c r="N2186" s="20"/>
      <c r="O2186" s="20"/>
    </row>
    <row r="2187" ht="15" customHeight="1">
      <c r="A2187" t="s">
        <v>4700</v>
      </c>
      <c r="B2187" t="s">
        <v>4701</v>
      </c>
      <c r="C2187" s="23" t="s">
        <v>309</v>
      </c>
      <c r="D2187" t="s">
        <v>813</v>
      </c>
      <c r="E2187" t="s">
        <v>814</v>
      </c>
      <c r="K2187" t="s">
        <v>4553</v>
      </c>
      <c r="M2187" s="19">
        <v>44879</v>
      </c>
      <c r="N2187" s="19">
        <v>44882</v>
      </c>
      <c r="O2187" s="20"/>
    </row>
    <row r="2188" ht="15" customHeight="1">
      <c r="A2188" t="s">
        <v>4702</v>
      </c>
      <c r="B2188" t="s">
        <v>4703</v>
      </c>
      <c r="C2188" s="22" t="s">
        <v>55</v>
      </c>
      <c r="D2188" t="s">
        <v>223</v>
      </c>
      <c r="E2188" t="s">
        <v>224</v>
      </c>
      <c r="M2188" s="19">
        <v>44878</v>
      </c>
      <c r="N2188" s="20"/>
      <c r="O2188" s="20"/>
    </row>
    <row r="2189" ht="15" customHeight="1">
      <c r="A2189" t="s">
        <v>4704</v>
      </c>
      <c r="B2189" t="s">
        <v>4705</v>
      </c>
      <c r="C2189" s="23" t="s">
        <v>309</v>
      </c>
      <c r="D2189" t="s">
        <v>813</v>
      </c>
      <c r="E2189" t="s">
        <v>814</v>
      </c>
      <c r="H2189">
        <v>1</v>
      </c>
      <c r="K2189" t="s">
        <v>3773</v>
      </c>
      <c r="L2189" t="s">
        <v>4686</v>
      </c>
      <c r="M2189" s="19">
        <v>44878</v>
      </c>
      <c r="N2189" s="19">
        <v>44882</v>
      </c>
      <c r="O2189" s="20"/>
    </row>
    <row r="2190" ht="15" customHeight="1">
      <c r="A2190" t="s">
        <v>4706</v>
      </c>
      <c r="B2190" t="s">
        <v>4707</v>
      </c>
      <c r="C2190" s="21" t="s">
        <v>227</v>
      </c>
      <c r="D2190" t="s">
        <v>813</v>
      </c>
      <c r="E2190" t="s">
        <v>814</v>
      </c>
      <c r="M2190" s="19">
        <v>44878</v>
      </c>
      <c r="N2190" s="19">
        <v>44924</v>
      </c>
      <c r="O2190" s="20"/>
    </row>
    <row r="2191" ht="15" customHeight="1">
      <c r="A2191" t="s">
        <v>4708</v>
      </c>
      <c r="B2191" t="s">
        <v>4709</v>
      </c>
      <c r="C2191" t="s">
        <v>222</v>
      </c>
      <c r="D2191" t="s">
        <v>223</v>
      </c>
      <c r="E2191" t="s">
        <v>224</v>
      </c>
      <c r="M2191" s="19">
        <v>44878</v>
      </c>
      <c r="N2191" s="20"/>
      <c r="O2191" s="20"/>
    </row>
    <row r="2192" ht="15" customHeight="1">
      <c r="A2192" t="s">
        <v>4710</v>
      </c>
      <c r="B2192" t="s">
        <v>4711</v>
      </c>
      <c r="C2192" t="s">
        <v>222</v>
      </c>
      <c r="D2192" t="s">
        <v>223</v>
      </c>
      <c r="E2192" t="s">
        <v>224</v>
      </c>
      <c r="M2192" s="19">
        <v>44878</v>
      </c>
      <c r="N2192" s="20"/>
      <c r="O2192" s="20"/>
    </row>
    <row r="2193" ht="15" customHeight="1">
      <c r="A2193" t="s">
        <v>4712</v>
      </c>
      <c r="B2193" t="s">
        <v>4713</v>
      </c>
      <c r="C2193" t="s">
        <v>222</v>
      </c>
      <c r="D2193" t="s">
        <v>223</v>
      </c>
      <c r="E2193" t="s">
        <v>224</v>
      </c>
      <c r="M2193" s="19">
        <v>44878</v>
      </c>
      <c r="N2193" s="20"/>
      <c r="O2193" s="20"/>
    </row>
    <row r="2194" ht="15" customHeight="1">
      <c r="A2194" t="s">
        <v>4714</v>
      </c>
      <c r="B2194" t="s">
        <v>4715</v>
      </c>
      <c r="C2194" t="s">
        <v>222</v>
      </c>
      <c r="D2194" t="s">
        <v>223</v>
      </c>
      <c r="E2194" t="s">
        <v>224</v>
      </c>
      <c r="M2194" s="19">
        <v>44878</v>
      </c>
      <c r="N2194" s="20"/>
      <c r="O2194" s="20"/>
    </row>
    <row r="2195" ht="15" customHeight="1">
      <c r="A2195" t="s">
        <v>4716</v>
      </c>
      <c r="B2195" t="s">
        <v>4717</v>
      </c>
      <c r="C2195" t="s">
        <v>222</v>
      </c>
      <c r="D2195" t="s">
        <v>223</v>
      </c>
      <c r="E2195" t="s">
        <v>224</v>
      </c>
      <c r="M2195" s="19">
        <v>44878</v>
      </c>
      <c r="N2195" s="20"/>
      <c r="O2195" s="20"/>
    </row>
    <row r="2196" ht="15" customHeight="1">
      <c r="A2196" t="s">
        <v>4718</v>
      </c>
      <c r="B2196" t="s">
        <v>4719</v>
      </c>
      <c r="C2196" t="s">
        <v>222</v>
      </c>
      <c r="D2196" t="s">
        <v>223</v>
      </c>
      <c r="E2196" t="s">
        <v>224</v>
      </c>
      <c r="M2196" s="19">
        <v>44878</v>
      </c>
      <c r="N2196" s="20"/>
      <c r="O2196" s="20"/>
    </row>
    <row r="2197" ht="15" customHeight="1">
      <c r="A2197" t="s">
        <v>4720</v>
      </c>
      <c r="B2197" t="s">
        <v>4721</v>
      </c>
      <c r="C2197" t="s">
        <v>314</v>
      </c>
      <c r="D2197" t="s">
        <v>250</v>
      </c>
      <c r="E2197" t="s">
        <v>251</v>
      </c>
      <c r="K2197" t="s">
        <v>326</v>
      </c>
      <c r="L2197" t="s">
        <v>4722</v>
      </c>
      <c r="M2197" s="19">
        <v>44875</v>
      </c>
      <c r="N2197" s="19">
        <v>44895</v>
      </c>
      <c r="O2197" s="20"/>
    </row>
    <row r="2198" ht="15" customHeight="1">
      <c r="A2198" t="s">
        <v>4723</v>
      </c>
      <c r="B2198" t="s">
        <v>4724</v>
      </c>
      <c r="C2198" s="23" t="s">
        <v>309</v>
      </c>
      <c r="D2198" t="s">
        <v>813</v>
      </c>
      <c r="E2198" t="s">
        <v>814</v>
      </c>
      <c r="K2198" t="s">
        <v>3773</v>
      </c>
      <c r="L2198" t="s">
        <v>4686</v>
      </c>
      <c r="M2198" s="19">
        <v>44873</v>
      </c>
      <c r="N2198" s="19">
        <v>44882</v>
      </c>
      <c r="O2198" s="20"/>
    </row>
    <row r="2199" ht="15" customHeight="1">
      <c r="A2199" t="s">
        <v>4725</v>
      </c>
      <c r="B2199" t="s">
        <v>4726</v>
      </c>
      <c r="C2199" s="23" t="s">
        <v>309</v>
      </c>
      <c r="D2199" t="s">
        <v>813</v>
      </c>
      <c r="E2199" t="s">
        <v>814</v>
      </c>
      <c r="K2199" t="s">
        <v>3773</v>
      </c>
      <c r="L2199" t="s">
        <v>4686</v>
      </c>
      <c r="M2199" s="19">
        <v>44873</v>
      </c>
      <c r="N2199" s="19">
        <v>44882</v>
      </c>
      <c r="O2199" s="20"/>
    </row>
    <row r="2200" ht="15" customHeight="1">
      <c r="A2200" t="s">
        <v>4727</v>
      </c>
      <c r="B2200" t="s">
        <v>4728</v>
      </c>
      <c r="C2200" s="23" t="s">
        <v>309</v>
      </c>
      <c r="D2200" t="s">
        <v>250</v>
      </c>
      <c r="E2200" t="s">
        <v>251</v>
      </c>
      <c r="H2200">
        <v>30</v>
      </c>
      <c r="M2200" s="19">
        <v>44873</v>
      </c>
      <c r="N2200" s="20"/>
      <c r="O2200" s="20"/>
    </row>
    <row r="2201" ht="15" customHeight="1">
      <c r="A2201" t="s">
        <v>4729</v>
      </c>
      <c r="B2201" t="s">
        <v>4730</v>
      </c>
      <c r="C2201" t="s">
        <v>1470</v>
      </c>
      <c r="D2201" t="s">
        <v>813</v>
      </c>
      <c r="E2201" t="s">
        <v>814</v>
      </c>
      <c r="H2201">
        <v>3</v>
      </c>
      <c r="M2201" s="19">
        <v>44869</v>
      </c>
      <c r="N2201" s="20"/>
      <c r="O2201" s="20"/>
    </row>
    <row r="2202" ht="15" customHeight="1">
      <c r="A2202" t="s">
        <v>4731</v>
      </c>
      <c r="B2202" t="s">
        <v>4732</v>
      </c>
      <c r="C2202" s="21" t="s">
        <v>227</v>
      </c>
      <c r="D2202" t="s">
        <v>250</v>
      </c>
      <c r="E2202" t="s">
        <v>251</v>
      </c>
      <c r="H2202">
        <v>3</v>
      </c>
      <c r="M2202" s="19">
        <v>44869</v>
      </c>
      <c r="N2202" s="19">
        <v>44937</v>
      </c>
      <c r="O2202" s="20"/>
    </row>
    <row r="2203" ht="15" customHeight="1">
      <c r="A2203" t="s">
        <v>4733</v>
      </c>
      <c r="B2203" t="s">
        <v>4734</v>
      </c>
      <c r="C2203" s="23" t="s">
        <v>309</v>
      </c>
      <c r="D2203" t="s">
        <v>813</v>
      </c>
      <c r="E2203" t="s">
        <v>814</v>
      </c>
      <c r="H2203">
        <v>1</v>
      </c>
      <c r="K2203" t="s">
        <v>3773</v>
      </c>
      <c r="L2203" t="s">
        <v>4686</v>
      </c>
      <c r="M2203" s="19">
        <v>44869</v>
      </c>
      <c r="N2203" s="19">
        <v>44882</v>
      </c>
      <c r="O2203" s="20"/>
    </row>
    <row r="2204" ht="15" customHeight="1">
      <c r="A2204" t="s">
        <v>4735</v>
      </c>
      <c r="B2204" t="s">
        <v>4736</v>
      </c>
      <c r="C2204" s="21" t="s">
        <v>227</v>
      </c>
      <c r="D2204" t="s">
        <v>813</v>
      </c>
      <c r="E2204" t="s">
        <v>814</v>
      </c>
      <c r="K2204" t="s">
        <v>2927</v>
      </c>
      <c r="M2204" s="19">
        <v>44868</v>
      </c>
      <c r="N2204" s="20"/>
      <c r="O2204" s="20"/>
    </row>
    <row r="2205" ht="15" customHeight="1">
      <c r="A2205" t="s">
        <v>4737</v>
      </c>
      <c r="B2205" t="s">
        <v>4738</v>
      </c>
      <c r="C2205" t="s">
        <v>222</v>
      </c>
      <c r="D2205" t="s">
        <v>223</v>
      </c>
      <c r="E2205" t="s">
        <v>224</v>
      </c>
      <c r="M2205" s="19">
        <v>44867</v>
      </c>
      <c r="N2205" s="20"/>
      <c r="O2205" s="20"/>
    </row>
    <row r="2206" ht="15" customHeight="1">
      <c r="A2206" t="s">
        <v>4739</v>
      </c>
      <c r="B2206" t="s">
        <v>4740</v>
      </c>
      <c r="C2206" t="s">
        <v>222</v>
      </c>
      <c r="D2206" t="s">
        <v>223</v>
      </c>
      <c r="E2206" t="s">
        <v>224</v>
      </c>
      <c r="M2206" s="19">
        <v>44867</v>
      </c>
      <c r="N2206" s="20"/>
      <c r="O2206" s="20"/>
    </row>
    <row r="2207" ht="15" customHeight="1">
      <c r="A2207" t="s">
        <v>4741</v>
      </c>
      <c r="B2207" t="s">
        <v>4742</v>
      </c>
      <c r="C2207" t="s">
        <v>222</v>
      </c>
      <c r="D2207" t="s">
        <v>223</v>
      </c>
      <c r="E2207" t="s">
        <v>224</v>
      </c>
      <c r="M2207" s="19">
        <v>44867</v>
      </c>
      <c r="N2207" s="20"/>
      <c r="O2207" s="20"/>
    </row>
    <row r="2208" ht="15" customHeight="1">
      <c r="A2208" t="s">
        <v>4743</v>
      </c>
      <c r="B2208" t="s">
        <v>4744</v>
      </c>
      <c r="C2208" t="s">
        <v>222</v>
      </c>
      <c r="D2208" t="s">
        <v>223</v>
      </c>
      <c r="E2208" t="s">
        <v>224</v>
      </c>
      <c r="M2208" s="19">
        <v>44867</v>
      </c>
      <c r="N2208" s="20"/>
      <c r="O2208" s="20"/>
    </row>
    <row r="2209" ht="15" customHeight="1">
      <c r="A2209" t="s">
        <v>4745</v>
      </c>
      <c r="B2209" t="s">
        <v>4746</v>
      </c>
      <c r="C2209" t="s">
        <v>222</v>
      </c>
      <c r="D2209" t="s">
        <v>223</v>
      </c>
      <c r="E2209" t="s">
        <v>224</v>
      </c>
      <c r="M2209" s="19">
        <v>44867</v>
      </c>
      <c r="N2209" s="20"/>
      <c r="O2209" s="20"/>
    </row>
    <row r="2210" ht="15" customHeight="1">
      <c r="A2210" t="s">
        <v>4747</v>
      </c>
      <c r="B2210" t="s">
        <v>4748</v>
      </c>
      <c r="C2210" t="s">
        <v>222</v>
      </c>
      <c r="D2210" t="s">
        <v>223</v>
      </c>
      <c r="E2210" t="s">
        <v>224</v>
      </c>
      <c r="M2210" s="19">
        <v>44867</v>
      </c>
      <c r="N2210" s="20"/>
      <c r="O2210" s="20"/>
    </row>
    <row r="2211" ht="15" customHeight="1">
      <c r="A2211" t="s">
        <v>4749</v>
      </c>
      <c r="B2211" t="s">
        <v>4750</v>
      </c>
      <c r="C2211" t="s">
        <v>222</v>
      </c>
      <c r="D2211" t="s">
        <v>223</v>
      </c>
      <c r="E2211" t="s">
        <v>224</v>
      </c>
      <c r="M2211" s="19">
        <v>44867</v>
      </c>
      <c r="N2211" s="20"/>
      <c r="O2211" s="20"/>
    </row>
    <row r="2212" ht="15" customHeight="1">
      <c r="A2212" t="s">
        <v>4751</v>
      </c>
      <c r="B2212" t="s">
        <v>4752</v>
      </c>
      <c r="C2212" t="s">
        <v>222</v>
      </c>
      <c r="D2212" t="s">
        <v>223</v>
      </c>
      <c r="E2212" t="s">
        <v>224</v>
      </c>
      <c r="M2212" s="19">
        <v>44867</v>
      </c>
      <c r="N2212" s="20"/>
      <c r="O2212" s="20"/>
    </row>
    <row r="2213" ht="15" customHeight="1">
      <c r="A2213" t="s">
        <v>4753</v>
      </c>
      <c r="B2213" t="s">
        <v>4754</v>
      </c>
      <c r="C2213" t="s">
        <v>222</v>
      </c>
      <c r="D2213" t="s">
        <v>223</v>
      </c>
      <c r="E2213" t="s">
        <v>224</v>
      </c>
      <c r="M2213" s="19">
        <v>44867</v>
      </c>
      <c r="N2213" s="20"/>
      <c r="O2213" s="20"/>
    </row>
    <row r="2214" ht="15" customHeight="1">
      <c r="A2214" t="s">
        <v>4755</v>
      </c>
      <c r="B2214" t="s">
        <v>4756</v>
      </c>
      <c r="C2214" t="s">
        <v>222</v>
      </c>
      <c r="D2214" t="s">
        <v>223</v>
      </c>
      <c r="E2214" t="s">
        <v>224</v>
      </c>
      <c r="M2214" s="19">
        <v>44867</v>
      </c>
      <c r="N2214" s="20"/>
      <c r="O2214" s="20"/>
    </row>
    <row r="2215" ht="15" customHeight="1">
      <c r="A2215" t="s">
        <v>4757</v>
      </c>
      <c r="B2215" t="s">
        <v>4758</v>
      </c>
      <c r="C2215" s="25" t="s">
        <v>999</v>
      </c>
      <c r="D2215" t="s">
        <v>223</v>
      </c>
      <c r="E2215" t="s">
        <v>224</v>
      </c>
      <c r="M2215" s="19">
        <v>44867</v>
      </c>
      <c r="N2215" s="19">
        <v>44896</v>
      </c>
      <c r="O2215" s="20"/>
    </row>
    <row r="2216" ht="15" customHeight="1">
      <c r="A2216" t="s">
        <v>4759</v>
      </c>
      <c r="B2216" t="s">
        <v>4760</v>
      </c>
      <c r="C2216" t="s">
        <v>222</v>
      </c>
      <c r="D2216" t="s">
        <v>223</v>
      </c>
      <c r="E2216" t="s">
        <v>224</v>
      </c>
      <c r="M2216" s="19">
        <v>44867</v>
      </c>
      <c r="N2216" s="20"/>
      <c r="O2216" s="20"/>
    </row>
    <row r="2217" ht="15" customHeight="1">
      <c r="A2217" t="s">
        <v>4761</v>
      </c>
      <c r="B2217" t="s">
        <v>4762</v>
      </c>
      <c r="C2217" t="s">
        <v>222</v>
      </c>
      <c r="D2217" t="s">
        <v>223</v>
      </c>
      <c r="E2217" t="s">
        <v>224</v>
      </c>
      <c r="M2217" s="19">
        <v>44867</v>
      </c>
      <c r="N2217" s="20"/>
      <c r="O2217" s="20"/>
    </row>
    <row r="2218" ht="15" customHeight="1">
      <c r="A2218" t="s">
        <v>4763</v>
      </c>
      <c r="B2218" t="s">
        <v>4764</v>
      </c>
      <c r="C2218" t="s">
        <v>222</v>
      </c>
      <c r="D2218" t="s">
        <v>223</v>
      </c>
      <c r="E2218" t="s">
        <v>224</v>
      </c>
      <c r="M2218" s="19">
        <v>44867</v>
      </c>
      <c r="N2218" s="20"/>
      <c r="O2218" s="20"/>
    </row>
    <row r="2219" ht="15" customHeight="1">
      <c r="A2219" t="s">
        <v>4765</v>
      </c>
      <c r="B2219" t="s">
        <v>4766</v>
      </c>
      <c r="C2219" t="s">
        <v>222</v>
      </c>
      <c r="D2219" t="s">
        <v>223</v>
      </c>
      <c r="E2219" t="s">
        <v>224</v>
      </c>
      <c r="M2219" s="19">
        <v>44867</v>
      </c>
      <c r="N2219" s="19">
        <v>45049</v>
      </c>
      <c r="O2219" s="20"/>
    </row>
    <row r="2220" ht="15" customHeight="1">
      <c r="A2220" t="s">
        <v>4767</v>
      </c>
      <c r="B2220" t="s">
        <v>4764</v>
      </c>
      <c r="C2220" t="s">
        <v>222</v>
      </c>
      <c r="D2220" t="s">
        <v>223</v>
      </c>
      <c r="E2220" t="s">
        <v>224</v>
      </c>
      <c r="M2220" s="19">
        <v>44867</v>
      </c>
      <c r="N2220" s="20"/>
      <c r="O2220" s="20"/>
    </row>
    <row r="2221" ht="15" customHeight="1">
      <c r="A2221" t="s">
        <v>4768</v>
      </c>
      <c r="B2221" t="s">
        <v>4769</v>
      </c>
      <c r="C2221" t="s">
        <v>222</v>
      </c>
      <c r="D2221" t="s">
        <v>223</v>
      </c>
      <c r="E2221" t="s">
        <v>224</v>
      </c>
      <c r="M2221" s="19">
        <v>44867</v>
      </c>
      <c r="N2221" s="20"/>
      <c r="O2221" s="20"/>
    </row>
    <row r="2222" ht="15" customHeight="1">
      <c r="A2222" t="s">
        <v>4770</v>
      </c>
      <c r="B2222" t="s">
        <v>4771</v>
      </c>
      <c r="C2222" t="s">
        <v>1057</v>
      </c>
      <c r="D2222" t="s">
        <v>223</v>
      </c>
      <c r="E2222" t="s">
        <v>224</v>
      </c>
      <c r="H2222">
        <v>25</v>
      </c>
      <c r="M2222" s="19">
        <v>44867</v>
      </c>
      <c r="N2222" s="20"/>
      <c r="O2222" s="20"/>
    </row>
    <row r="2223" ht="15" customHeight="1">
      <c r="A2223" t="s">
        <v>4772</v>
      </c>
      <c r="B2223" t="s">
        <v>4773</v>
      </c>
      <c r="C2223" t="s">
        <v>1057</v>
      </c>
      <c r="D2223" t="s">
        <v>223</v>
      </c>
      <c r="E2223" t="s">
        <v>224</v>
      </c>
      <c r="H2223">
        <v>60</v>
      </c>
      <c r="M2223" s="19">
        <v>44867</v>
      </c>
      <c r="N2223" s="20"/>
      <c r="O2223" s="20"/>
    </row>
    <row r="2224" ht="15" customHeight="1">
      <c r="A2224" t="s">
        <v>4774</v>
      </c>
      <c r="B2224" t="s">
        <v>4775</v>
      </c>
      <c r="C2224" s="22" t="s">
        <v>55</v>
      </c>
      <c r="D2224" t="s">
        <v>223</v>
      </c>
      <c r="E2224" t="s">
        <v>224</v>
      </c>
      <c r="H2224">
        <v>31</v>
      </c>
      <c r="M2224" s="19">
        <v>44867</v>
      </c>
      <c r="N2224" s="20"/>
      <c r="O2224" s="20"/>
    </row>
    <row r="2225" ht="15" customHeight="1">
      <c r="A2225" t="s">
        <v>4776</v>
      </c>
      <c r="B2225" t="s">
        <v>4777</v>
      </c>
      <c r="C2225" s="22" t="s">
        <v>55</v>
      </c>
      <c r="D2225" t="s">
        <v>223</v>
      </c>
      <c r="E2225" t="s">
        <v>224</v>
      </c>
      <c r="H2225">
        <v>92</v>
      </c>
      <c r="M2225" s="19">
        <v>44867</v>
      </c>
      <c r="N2225" s="20"/>
      <c r="O2225" s="20"/>
    </row>
    <row r="2226" ht="15" customHeight="1">
      <c r="A2226" t="s">
        <v>4778</v>
      </c>
      <c r="B2226" t="s">
        <v>4779</v>
      </c>
      <c r="C2226" s="21" t="s">
        <v>227</v>
      </c>
      <c r="D2226" t="s">
        <v>813</v>
      </c>
      <c r="E2226" t="s">
        <v>814</v>
      </c>
      <c r="H2226">
        <v>2</v>
      </c>
      <c r="M2226" s="19">
        <v>44867</v>
      </c>
      <c r="N2226" s="19">
        <v>44896</v>
      </c>
      <c r="O2226" s="20"/>
    </row>
    <row r="2227" ht="15" customHeight="1">
      <c r="A2227" t="s">
        <v>4780</v>
      </c>
      <c r="B2227" t="s">
        <v>4781</v>
      </c>
      <c r="C2227" s="21" t="s">
        <v>227</v>
      </c>
      <c r="D2227" t="s">
        <v>813</v>
      </c>
      <c r="E2227" t="s">
        <v>814</v>
      </c>
      <c r="H2227">
        <v>8</v>
      </c>
      <c r="M2227" s="19">
        <v>44867</v>
      </c>
      <c r="N2227" s="19">
        <v>44910</v>
      </c>
      <c r="O2227" s="20"/>
    </row>
    <row r="2228" ht="15" customHeight="1">
      <c r="A2228" t="s">
        <v>4782</v>
      </c>
      <c r="B2228" t="s">
        <v>4783</v>
      </c>
      <c r="C2228" s="24" t="s">
        <v>322</v>
      </c>
      <c r="D2228" t="s">
        <v>813</v>
      </c>
      <c r="E2228" t="s">
        <v>814</v>
      </c>
      <c r="H2228">
        <v>3</v>
      </c>
      <c r="K2228" t="s">
        <v>4784</v>
      </c>
      <c r="M2228" s="19">
        <v>44867</v>
      </c>
      <c r="N2228" s="19">
        <v>44868</v>
      </c>
      <c r="O2228" s="20"/>
    </row>
    <row r="2229" ht="15" customHeight="1">
      <c r="A2229" t="s">
        <v>4785</v>
      </c>
      <c r="B2229" t="s">
        <v>4786</v>
      </c>
      <c r="C2229" s="24" t="s">
        <v>322</v>
      </c>
      <c r="D2229" t="s">
        <v>813</v>
      </c>
      <c r="E2229" t="s">
        <v>814</v>
      </c>
      <c r="H2229">
        <v>3</v>
      </c>
      <c r="M2229" s="19">
        <v>44867</v>
      </c>
      <c r="N2229" s="19">
        <v>44896</v>
      </c>
      <c r="O2229" s="20"/>
    </row>
    <row r="2230" ht="15" customHeight="1">
      <c r="A2230" t="s">
        <v>4787</v>
      </c>
      <c r="B2230" t="s">
        <v>4788</v>
      </c>
      <c r="C2230" s="21" t="s">
        <v>227</v>
      </c>
      <c r="D2230" t="s">
        <v>813</v>
      </c>
      <c r="E2230" t="s">
        <v>814</v>
      </c>
      <c r="H2230">
        <v>3</v>
      </c>
      <c r="M2230" s="19">
        <v>44867</v>
      </c>
      <c r="N2230" s="19">
        <v>44882</v>
      </c>
      <c r="O2230" s="20"/>
    </row>
    <row r="2231" ht="15" customHeight="1">
      <c r="A2231" t="s">
        <v>4789</v>
      </c>
      <c r="B2231" t="s">
        <v>4790</v>
      </c>
      <c r="C2231" t="s">
        <v>1470</v>
      </c>
      <c r="D2231" t="s">
        <v>232</v>
      </c>
      <c r="E2231" t="s">
        <v>233</v>
      </c>
      <c r="M2231" s="19">
        <v>44865</v>
      </c>
      <c r="N2231" s="20"/>
      <c r="O2231" s="20"/>
    </row>
    <row r="2232" ht="15" customHeight="1">
      <c r="A2232" t="s">
        <v>4791</v>
      </c>
      <c r="B2232" t="s">
        <v>4792</v>
      </c>
      <c r="C2232" t="s">
        <v>1057</v>
      </c>
      <c r="D2232" t="s">
        <v>223</v>
      </c>
      <c r="E2232" t="s">
        <v>224</v>
      </c>
      <c r="H2232">
        <v>0</v>
      </c>
      <c r="M2232" s="19">
        <v>44865</v>
      </c>
      <c r="N2232" s="20"/>
      <c r="O2232" s="20"/>
    </row>
    <row r="2233" ht="15" customHeight="1">
      <c r="A2233" t="s">
        <v>4793</v>
      </c>
      <c r="B2233" t="s">
        <v>4794</v>
      </c>
      <c r="C2233" s="23" t="s">
        <v>309</v>
      </c>
      <c r="D2233" t="s">
        <v>250</v>
      </c>
      <c r="E2233" t="s">
        <v>251</v>
      </c>
      <c r="K2233" t="s">
        <v>326</v>
      </c>
      <c r="L2233" t="s">
        <v>4795</v>
      </c>
      <c r="M2233" s="19">
        <v>44862</v>
      </c>
      <c r="N2233" s="19">
        <v>44868</v>
      </c>
      <c r="O2233" s="20"/>
    </row>
    <row r="2234" ht="15" customHeight="1">
      <c r="A2234" t="s">
        <v>4796</v>
      </c>
      <c r="B2234" t="s">
        <v>4797</v>
      </c>
      <c r="C2234" s="21" t="s">
        <v>227</v>
      </c>
      <c r="D2234" t="s">
        <v>813</v>
      </c>
      <c r="E2234" t="s">
        <v>814</v>
      </c>
      <c r="H2234">
        <v>5</v>
      </c>
      <c r="M2234" s="19">
        <v>44861</v>
      </c>
      <c r="N2234" s="20"/>
      <c r="O2234" s="20"/>
    </row>
    <row r="2235" ht="15" customHeight="1">
      <c r="A2235" t="s">
        <v>4798</v>
      </c>
      <c r="B2235" t="s">
        <v>4799</v>
      </c>
      <c r="C2235" s="23" t="s">
        <v>309</v>
      </c>
      <c r="D2235" t="s">
        <v>813</v>
      </c>
      <c r="E2235" t="s">
        <v>814</v>
      </c>
      <c r="H2235">
        <v>2</v>
      </c>
      <c r="M2235" s="19">
        <v>44861</v>
      </c>
      <c r="N2235" s="20"/>
      <c r="O2235" s="20"/>
    </row>
    <row r="2236" ht="15" customHeight="1">
      <c r="A2236" t="s">
        <v>4800</v>
      </c>
      <c r="B2236" t="s">
        <v>4801</v>
      </c>
      <c r="C2236" t="s">
        <v>1057</v>
      </c>
      <c r="D2236" t="s">
        <v>223</v>
      </c>
      <c r="E2236" t="s">
        <v>224</v>
      </c>
      <c r="H2236">
        <v>0</v>
      </c>
      <c r="M2236" s="19">
        <v>44859</v>
      </c>
      <c r="N2236" s="20"/>
      <c r="O2236" s="20"/>
    </row>
    <row r="2237" ht="15" customHeight="1">
      <c r="A2237" t="s">
        <v>4802</v>
      </c>
      <c r="B2237" t="s">
        <v>4803</v>
      </c>
      <c r="C2237" s="22" t="s">
        <v>55</v>
      </c>
      <c r="D2237" t="s">
        <v>223</v>
      </c>
      <c r="E2237" t="s">
        <v>224</v>
      </c>
      <c r="H2237">
        <v>130</v>
      </c>
      <c r="M2237" s="19">
        <v>44859</v>
      </c>
      <c r="N2237" s="20"/>
      <c r="O2237" s="20"/>
    </row>
    <row r="2238" ht="15" customHeight="1">
      <c r="A2238" t="s">
        <v>4804</v>
      </c>
      <c r="B2238" t="s">
        <v>4805</v>
      </c>
      <c r="C2238" s="22" t="s">
        <v>55</v>
      </c>
      <c r="D2238" t="s">
        <v>228</v>
      </c>
      <c r="E2238" t="s">
        <v>229</v>
      </c>
      <c r="H2238">
        <v>106</v>
      </c>
      <c r="K2238" t="s">
        <v>2136</v>
      </c>
      <c r="M2238" s="19">
        <v>44859</v>
      </c>
      <c r="N2238" s="20"/>
      <c r="O2238" s="20"/>
    </row>
    <row r="2239" ht="15" customHeight="1">
      <c r="A2239" t="s">
        <v>4806</v>
      </c>
      <c r="B2239" t="s">
        <v>4764</v>
      </c>
      <c r="C2239" t="s">
        <v>222</v>
      </c>
      <c r="D2239" t="s">
        <v>223</v>
      </c>
      <c r="E2239" t="s">
        <v>224</v>
      </c>
      <c r="M2239" s="19">
        <v>44858</v>
      </c>
      <c r="N2239" s="20"/>
      <c r="O2239" s="20"/>
    </row>
    <row r="2240" ht="15" customHeight="1">
      <c r="A2240" t="s">
        <v>4807</v>
      </c>
      <c r="B2240" t="s">
        <v>4808</v>
      </c>
      <c r="C2240" t="s">
        <v>222</v>
      </c>
      <c r="D2240" t="s">
        <v>223</v>
      </c>
      <c r="E2240" t="s">
        <v>224</v>
      </c>
      <c r="M2240" s="19">
        <v>44858</v>
      </c>
      <c r="N2240" s="20"/>
      <c r="O2240" s="20"/>
    </row>
    <row r="2241" ht="15" customHeight="1">
      <c r="A2241" t="s">
        <v>4809</v>
      </c>
      <c r="B2241" t="s">
        <v>4810</v>
      </c>
      <c r="C2241" t="s">
        <v>1057</v>
      </c>
      <c r="D2241" t="s">
        <v>223</v>
      </c>
      <c r="E2241" t="s">
        <v>224</v>
      </c>
      <c r="H2241">
        <v>0</v>
      </c>
      <c r="M2241" s="19">
        <v>44855</v>
      </c>
      <c r="N2241" s="20"/>
      <c r="O2241" s="20"/>
    </row>
    <row r="2242" ht="15" customHeight="1">
      <c r="A2242" t="s">
        <v>4811</v>
      </c>
      <c r="B2242" t="s">
        <v>4812</v>
      </c>
      <c r="C2242" t="s">
        <v>1057</v>
      </c>
      <c r="D2242" t="s">
        <v>223</v>
      </c>
      <c r="E2242" t="s">
        <v>224</v>
      </c>
      <c r="H2242">
        <v>9</v>
      </c>
      <c r="M2242" s="19">
        <v>44855</v>
      </c>
      <c r="N2242" s="20"/>
      <c r="O2242" s="20"/>
    </row>
    <row r="2243" ht="15" customHeight="1">
      <c r="A2243" t="s">
        <v>4813</v>
      </c>
      <c r="B2243" t="s">
        <v>4814</v>
      </c>
      <c r="C2243" s="21" t="s">
        <v>227</v>
      </c>
      <c r="D2243" t="s">
        <v>250</v>
      </c>
      <c r="E2243" t="s">
        <v>251</v>
      </c>
      <c r="M2243" s="19">
        <v>44854</v>
      </c>
      <c r="N2243" s="20"/>
      <c r="O2243" s="20"/>
    </row>
    <row r="2244" ht="15" customHeight="1">
      <c r="A2244" t="s">
        <v>4815</v>
      </c>
      <c r="B2244" t="s">
        <v>4816</v>
      </c>
      <c r="C2244" s="21" t="s">
        <v>227</v>
      </c>
      <c r="D2244" t="s">
        <v>250</v>
      </c>
      <c r="E2244" t="s">
        <v>251</v>
      </c>
      <c r="M2244" s="19">
        <v>44854</v>
      </c>
      <c r="N2244" s="20"/>
      <c r="O2244" s="20"/>
    </row>
    <row r="2245" ht="15" customHeight="1">
      <c r="A2245" t="s">
        <v>4817</v>
      </c>
      <c r="B2245" t="s">
        <v>4818</v>
      </c>
      <c r="C2245" t="s">
        <v>1470</v>
      </c>
      <c r="D2245" t="s">
        <v>232</v>
      </c>
      <c r="E2245" t="s">
        <v>233</v>
      </c>
      <c r="M2245" s="19">
        <v>44854</v>
      </c>
      <c r="N2245" s="20"/>
      <c r="O2245" s="20"/>
    </row>
    <row r="2246" ht="15" customHeight="1">
      <c r="A2246" t="s">
        <v>4819</v>
      </c>
      <c r="B2246" t="s">
        <v>4820</v>
      </c>
      <c r="C2246" s="21" t="s">
        <v>227</v>
      </c>
      <c r="D2246" t="s">
        <v>250</v>
      </c>
      <c r="E2246" t="s">
        <v>251</v>
      </c>
      <c r="M2246" s="19">
        <v>44853</v>
      </c>
      <c r="N2246" s="20"/>
      <c r="O2246" s="20"/>
    </row>
    <row r="2247" ht="15" customHeight="1">
      <c r="A2247" t="s">
        <v>4821</v>
      </c>
      <c r="B2247" t="s">
        <v>4822</v>
      </c>
      <c r="C2247" s="22" t="s">
        <v>55</v>
      </c>
      <c r="D2247" t="s">
        <v>250</v>
      </c>
      <c r="E2247" t="s">
        <v>251</v>
      </c>
      <c r="H2247">
        <v>22</v>
      </c>
      <c r="M2247" s="19">
        <v>44853</v>
      </c>
      <c r="N2247" s="20"/>
      <c r="O2247" s="20"/>
    </row>
    <row r="2248" ht="15" customHeight="1">
      <c r="A2248" t="s">
        <v>4823</v>
      </c>
      <c r="B2248" t="s">
        <v>4824</v>
      </c>
      <c r="C2248" s="21" t="s">
        <v>227</v>
      </c>
      <c r="D2248" t="s">
        <v>813</v>
      </c>
      <c r="E2248" t="s">
        <v>814</v>
      </c>
      <c r="M2248" s="19">
        <v>44853</v>
      </c>
      <c r="N2248" s="19">
        <v>44869</v>
      </c>
      <c r="O2248" s="20"/>
    </row>
    <row r="2249" ht="15" customHeight="1">
      <c r="A2249" t="s">
        <v>4825</v>
      </c>
      <c r="B2249" t="s">
        <v>4826</v>
      </c>
      <c r="C2249" s="21" t="s">
        <v>227</v>
      </c>
      <c r="D2249" t="s">
        <v>813</v>
      </c>
      <c r="E2249" t="s">
        <v>814</v>
      </c>
      <c r="M2249" s="19">
        <v>44853</v>
      </c>
      <c r="N2249" s="19">
        <v>44869</v>
      </c>
      <c r="O2249" s="20"/>
    </row>
    <row r="2250" ht="15" customHeight="1">
      <c r="A2250" t="s">
        <v>4827</v>
      </c>
      <c r="B2250" t="s">
        <v>4828</v>
      </c>
      <c r="C2250" s="23" t="s">
        <v>309</v>
      </c>
      <c r="D2250" t="s">
        <v>250</v>
      </c>
      <c r="E2250" t="s">
        <v>251</v>
      </c>
      <c r="H2250">
        <v>8</v>
      </c>
      <c r="L2250" t="s">
        <v>4722</v>
      </c>
      <c r="M2250" s="19">
        <v>44853</v>
      </c>
      <c r="N2250" s="19">
        <v>44895</v>
      </c>
      <c r="O2250" s="20"/>
    </row>
    <row r="2251" ht="15" customHeight="1">
      <c r="A2251" t="s">
        <v>4829</v>
      </c>
      <c r="B2251" t="s">
        <v>4830</v>
      </c>
      <c r="C2251" s="21" t="s">
        <v>227</v>
      </c>
      <c r="D2251" t="s">
        <v>250</v>
      </c>
      <c r="E2251" t="s">
        <v>251</v>
      </c>
      <c r="H2251">
        <v>13</v>
      </c>
      <c r="M2251" s="19">
        <v>44853</v>
      </c>
      <c r="N2251" s="19">
        <v>44951</v>
      </c>
      <c r="O2251" s="20"/>
    </row>
    <row r="2252" ht="15" customHeight="1">
      <c r="A2252" t="s">
        <v>4831</v>
      </c>
      <c r="B2252" t="s">
        <v>4832</v>
      </c>
      <c r="C2252" s="23" t="s">
        <v>309</v>
      </c>
      <c r="D2252" t="s">
        <v>250</v>
      </c>
      <c r="E2252" t="s">
        <v>251</v>
      </c>
      <c r="H2252">
        <v>8</v>
      </c>
      <c r="M2252" s="19">
        <v>44853</v>
      </c>
      <c r="N2252" s="19">
        <v>44923</v>
      </c>
      <c r="O2252" s="20"/>
    </row>
    <row r="2253" ht="15" customHeight="1">
      <c r="A2253" t="s">
        <v>4833</v>
      </c>
      <c r="B2253" t="s">
        <v>4834</v>
      </c>
      <c r="C2253" s="23" t="s">
        <v>309</v>
      </c>
      <c r="D2253" t="s">
        <v>250</v>
      </c>
      <c r="E2253" t="s">
        <v>251</v>
      </c>
      <c r="H2253">
        <v>13</v>
      </c>
      <c r="M2253" s="19">
        <v>44853</v>
      </c>
      <c r="N2253" s="19">
        <v>44951</v>
      </c>
      <c r="O2253" s="20"/>
    </row>
    <row r="2254" ht="15" customHeight="1">
      <c r="A2254" t="s">
        <v>4835</v>
      </c>
      <c r="B2254" t="s">
        <v>4836</v>
      </c>
      <c r="C2254" s="24" t="s">
        <v>322</v>
      </c>
      <c r="D2254" t="s">
        <v>250</v>
      </c>
      <c r="E2254" t="s">
        <v>251</v>
      </c>
      <c r="H2254">
        <v>8</v>
      </c>
      <c r="K2254" t="s">
        <v>1135</v>
      </c>
      <c r="L2254" t="s">
        <v>1486</v>
      </c>
      <c r="M2254" s="19">
        <v>44853</v>
      </c>
      <c r="N2254" s="20"/>
      <c r="O2254" s="20"/>
    </row>
    <row r="2255" ht="15" customHeight="1">
      <c r="A2255" t="s">
        <v>4837</v>
      </c>
      <c r="B2255" t="s">
        <v>4838</v>
      </c>
      <c r="C2255" s="21" t="s">
        <v>227</v>
      </c>
      <c r="D2255" t="s">
        <v>250</v>
      </c>
      <c r="E2255" t="s">
        <v>251</v>
      </c>
      <c r="H2255">
        <v>5</v>
      </c>
      <c r="L2255" t="s">
        <v>4492</v>
      </c>
      <c r="M2255" s="19">
        <v>44853</v>
      </c>
      <c r="N2255" s="19">
        <v>44951</v>
      </c>
      <c r="O2255" s="20"/>
    </row>
    <row r="2256" ht="15" customHeight="1">
      <c r="A2256" t="s">
        <v>4839</v>
      </c>
      <c r="B2256" t="s">
        <v>4840</v>
      </c>
      <c r="C2256" s="23" t="s">
        <v>309</v>
      </c>
      <c r="D2256" t="s">
        <v>250</v>
      </c>
      <c r="E2256" t="s">
        <v>251</v>
      </c>
      <c r="H2256">
        <v>20</v>
      </c>
      <c r="M2256" s="19">
        <v>44853</v>
      </c>
      <c r="N2256" s="19">
        <v>44951</v>
      </c>
      <c r="O2256" s="20"/>
    </row>
    <row r="2257" ht="15" customHeight="1">
      <c r="A2257" t="s">
        <v>4841</v>
      </c>
      <c r="B2257" t="s">
        <v>4842</v>
      </c>
      <c r="C2257" s="21" t="s">
        <v>227</v>
      </c>
      <c r="D2257" t="s">
        <v>250</v>
      </c>
      <c r="E2257" t="s">
        <v>251</v>
      </c>
      <c r="H2257">
        <v>5</v>
      </c>
      <c r="M2257" s="19">
        <v>44853</v>
      </c>
      <c r="N2257" s="20"/>
      <c r="O2257" s="20"/>
    </row>
    <row r="2258" ht="15" customHeight="1">
      <c r="A2258" t="s">
        <v>4843</v>
      </c>
      <c r="B2258" t="s">
        <v>4844</v>
      </c>
      <c r="C2258" s="21" t="s">
        <v>227</v>
      </c>
      <c r="D2258" t="s">
        <v>250</v>
      </c>
      <c r="E2258" t="s">
        <v>251</v>
      </c>
      <c r="H2258">
        <v>5</v>
      </c>
      <c r="M2258" s="19">
        <v>44853</v>
      </c>
      <c r="N2258" s="19">
        <v>45008</v>
      </c>
      <c r="O2258" s="20"/>
    </row>
    <row r="2259" ht="15" customHeight="1">
      <c r="A2259" t="s">
        <v>4845</v>
      </c>
      <c r="B2259" t="s">
        <v>4846</v>
      </c>
      <c r="C2259" s="21" t="s">
        <v>227</v>
      </c>
      <c r="D2259" t="s">
        <v>250</v>
      </c>
      <c r="E2259" t="s">
        <v>251</v>
      </c>
      <c r="H2259">
        <v>5</v>
      </c>
      <c r="M2259" s="19">
        <v>44853</v>
      </c>
      <c r="N2259" s="19">
        <v>45008</v>
      </c>
      <c r="O2259" s="20"/>
    </row>
    <row r="2260" ht="15" customHeight="1">
      <c r="A2260" t="s">
        <v>4847</v>
      </c>
      <c r="B2260" t="s">
        <v>4848</v>
      </c>
      <c r="C2260" s="21" t="s">
        <v>227</v>
      </c>
      <c r="D2260" t="s">
        <v>250</v>
      </c>
      <c r="E2260" t="s">
        <v>251</v>
      </c>
      <c r="H2260">
        <v>8</v>
      </c>
      <c r="M2260" s="19">
        <v>44853</v>
      </c>
      <c r="N2260" s="19">
        <v>45008</v>
      </c>
      <c r="O2260" s="20"/>
    </row>
    <row r="2261" ht="15" customHeight="1">
      <c r="A2261" t="s">
        <v>4849</v>
      </c>
      <c r="B2261" t="s">
        <v>4850</v>
      </c>
      <c r="C2261" s="21" t="s">
        <v>227</v>
      </c>
      <c r="D2261" t="s">
        <v>250</v>
      </c>
      <c r="E2261" t="s">
        <v>251</v>
      </c>
      <c r="H2261">
        <v>8</v>
      </c>
      <c r="M2261" s="19">
        <v>44853</v>
      </c>
      <c r="N2261" s="19">
        <v>45008</v>
      </c>
      <c r="O2261" s="20"/>
    </row>
    <row r="2262" ht="15" customHeight="1">
      <c r="A2262" t="s">
        <v>4851</v>
      </c>
      <c r="B2262" t="s">
        <v>4852</v>
      </c>
      <c r="C2262" s="21" t="s">
        <v>227</v>
      </c>
      <c r="D2262" t="s">
        <v>250</v>
      </c>
      <c r="E2262" t="s">
        <v>251</v>
      </c>
      <c r="M2262" s="19">
        <v>44853</v>
      </c>
      <c r="N2262" s="19">
        <v>44937</v>
      </c>
      <c r="O2262" s="20"/>
    </row>
    <row r="2263" ht="15" customHeight="1">
      <c r="A2263" t="s">
        <v>4853</v>
      </c>
      <c r="B2263" t="s">
        <v>4854</v>
      </c>
      <c r="C2263" t="s">
        <v>1057</v>
      </c>
      <c r="D2263" t="s">
        <v>223</v>
      </c>
      <c r="E2263" t="s">
        <v>224</v>
      </c>
      <c r="H2263">
        <v>2</v>
      </c>
      <c r="M2263" s="19">
        <v>44853</v>
      </c>
      <c r="N2263" s="20"/>
      <c r="O2263" s="20"/>
    </row>
    <row r="2264" ht="15" customHeight="1">
      <c r="A2264" t="s">
        <v>4855</v>
      </c>
      <c r="B2264" t="s">
        <v>4856</v>
      </c>
      <c r="C2264" s="21" t="s">
        <v>227</v>
      </c>
      <c r="D2264" t="s">
        <v>813</v>
      </c>
      <c r="E2264" t="s">
        <v>814</v>
      </c>
      <c r="M2264" s="19">
        <v>44853</v>
      </c>
      <c r="N2264" s="20"/>
      <c r="O2264" s="20"/>
    </row>
    <row r="2265" ht="15" customHeight="1">
      <c r="A2265" t="s">
        <v>4857</v>
      </c>
      <c r="B2265" t="s">
        <v>4858</v>
      </c>
      <c r="C2265" s="21" t="s">
        <v>227</v>
      </c>
      <c r="D2265" t="s">
        <v>813</v>
      </c>
      <c r="E2265" t="s">
        <v>814</v>
      </c>
      <c r="H2265">
        <v>3</v>
      </c>
      <c r="M2265" s="19">
        <v>44853</v>
      </c>
      <c r="N2265" s="19">
        <v>44938</v>
      </c>
      <c r="O2265" s="20"/>
    </row>
    <row r="2266" ht="15" customHeight="1">
      <c r="A2266" t="s">
        <v>4859</v>
      </c>
      <c r="B2266" t="s">
        <v>4860</v>
      </c>
      <c r="C2266" s="21" t="s">
        <v>227</v>
      </c>
      <c r="D2266" t="s">
        <v>813</v>
      </c>
      <c r="E2266" t="s">
        <v>814</v>
      </c>
      <c r="H2266">
        <v>8</v>
      </c>
      <c r="L2266" t="s">
        <v>4554</v>
      </c>
      <c r="M2266" s="19">
        <v>44853</v>
      </c>
      <c r="N2266" s="19">
        <v>44938</v>
      </c>
      <c r="O2266" s="20"/>
    </row>
    <row r="2267" ht="15" customHeight="1">
      <c r="A2267" t="s">
        <v>4861</v>
      </c>
      <c r="B2267" t="s">
        <v>4862</v>
      </c>
      <c r="C2267" s="22" t="s">
        <v>55</v>
      </c>
      <c r="D2267" t="s">
        <v>813</v>
      </c>
      <c r="E2267" t="s">
        <v>814</v>
      </c>
      <c r="H2267">
        <v>21</v>
      </c>
      <c r="M2267" s="19">
        <v>44853</v>
      </c>
      <c r="N2267" s="20"/>
      <c r="O2267" s="20"/>
    </row>
    <row r="2268" ht="15" customHeight="1">
      <c r="A2268" t="s">
        <v>4863</v>
      </c>
      <c r="B2268" t="s">
        <v>4864</v>
      </c>
      <c r="C2268" s="23" t="s">
        <v>309</v>
      </c>
      <c r="D2268" t="s">
        <v>813</v>
      </c>
      <c r="E2268" t="s">
        <v>814</v>
      </c>
      <c r="H2268">
        <v>8</v>
      </c>
      <c r="M2268" s="19">
        <v>44853</v>
      </c>
      <c r="N2268" s="19">
        <v>45092</v>
      </c>
      <c r="O2268" s="20"/>
    </row>
    <row r="2269" ht="15" customHeight="1">
      <c r="A2269" t="s">
        <v>4865</v>
      </c>
      <c r="B2269" t="s">
        <v>4866</v>
      </c>
      <c r="C2269" s="21" t="s">
        <v>227</v>
      </c>
      <c r="D2269" t="s">
        <v>250</v>
      </c>
      <c r="E2269" t="s">
        <v>251</v>
      </c>
      <c r="H2269">
        <v>52</v>
      </c>
      <c r="M2269" s="19">
        <v>44853</v>
      </c>
      <c r="N2269" s="20"/>
      <c r="O2269" s="20"/>
    </row>
    <row r="2270" ht="15" customHeight="1">
      <c r="A2270" t="s">
        <v>4867</v>
      </c>
      <c r="B2270" t="s">
        <v>4868</v>
      </c>
      <c r="C2270" s="22" t="s">
        <v>55</v>
      </c>
      <c r="D2270" t="s">
        <v>223</v>
      </c>
      <c r="E2270" t="s">
        <v>224</v>
      </c>
      <c r="H2270">
        <v>191</v>
      </c>
      <c r="M2270" s="19">
        <v>44852</v>
      </c>
      <c r="N2270" s="20"/>
      <c r="O2270" s="20"/>
    </row>
    <row r="2271" ht="15" customHeight="1">
      <c r="A2271" t="s">
        <v>4869</v>
      </c>
      <c r="B2271" t="s">
        <v>4870</v>
      </c>
      <c r="C2271" s="21" t="s">
        <v>227</v>
      </c>
      <c r="D2271" t="s">
        <v>813</v>
      </c>
      <c r="E2271" t="s">
        <v>814</v>
      </c>
      <c r="H2271">
        <v>2</v>
      </c>
      <c r="M2271" s="19">
        <v>44852</v>
      </c>
      <c r="N2271" s="19">
        <v>45147</v>
      </c>
      <c r="O2271" s="20"/>
    </row>
    <row r="2272" ht="15" customHeight="1">
      <c r="A2272" t="s">
        <v>4871</v>
      </c>
      <c r="B2272" t="s">
        <v>4872</v>
      </c>
      <c r="C2272" s="21" t="s">
        <v>227</v>
      </c>
      <c r="D2272" t="s">
        <v>813</v>
      </c>
      <c r="E2272" t="s">
        <v>814</v>
      </c>
      <c r="H2272">
        <v>3</v>
      </c>
      <c r="M2272" s="19">
        <v>44852</v>
      </c>
      <c r="N2272" s="19">
        <v>45147</v>
      </c>
      <c r="O2272" s="20"/>
    </row>
    <row r="2273" ht="15" customHeight="1">
      <c r="A2273" t="s">
        <v>4873</v>
      </c>
      <c r="B2273" t="s">
        <v>4874</v>
      </c>
      <c r="C2273" s="21" t="s">
        <v>227</v>
      </c>
      <c r="D2273" t="s">
        <v>813</v>
      </c>
      <c r="E2273" t="s">
        <v>814</v>
      </c>
      <c r="H2273">
        <v>2</v>
      </c>
      <c r="M2273" s="19">
        <v>44852</v>
      </c>
      <c r="N2273" s="19">
        <v>45147</v>
      </c>
      <c r="O2273" s="20"/>
    </row>
    <row r="2274" ht="15" customHeight="1">
      <c r="A2274" t="s">
        <v>4875</v>
      </c>
      <c r="B2274" t="s">
        <v>4876</v>
      </c>
      <c r="C2274" s="21" t="s">
        <v>227</v>
      </c>
      <c r="D2274" t="s">
        <v>813</v>
      </c>
      <c r="E2274" t="s">
        <v>814</v>
      </c>
      <c r="H2274">
        <v>2</v>
      </c>
      <c r="M2274" s="19">
        <v>44852</v>
      </c>
      <c r="N2274" s="19">
        <v>45147</v>
      </c>
      <c r="O2274" s="20"/>
    </row>
    <row r="2275" ht="15" customHeight="1">
      <c r="A2275" t="s">
        <v>4877</v>
      </c>
      <c r="B2275" t="s">
        <v>4878</v>
      </c>
      <c r="C2275" s="21" t="s">
        <v>227</v>
      </c>
      <c r="D2275" t="s">
        <v>813</v>
      </c>
      <c r="E2275" t="s">
        <v>814</v>
      </c>
      <c r="H2275">
        <v>3</v>
      </c>
      <c r="M2275" s="19">
        <v>44852</v>
      </c>
      <c r="N2275" s="19">
        <v>45147</v>
      </c>
      <c r="O2275" s="20"/>
    </row>
    <row r="2276" ht="15" customHeight="1">
      <c r="A2276" t="s">
        <v>4879</v>
      </c>
      <c r="B2276" t="s">
        <v>4880</v>
      </c>
      <c r="C2276" s="21" t="s">
        <v>227</v>
      </c>
      <c r="D2276" t="s">
        <v>813</v>
      </c>
      <c r="E2276" t="s">
        <v>814</v>
      </c>
      <c r="H2276">
        <v>14</v>
      </c>
      <c r="M2276" s="19">
        <v>44852</v>
      </c>
      <c r="N2276" s="20"/>
      <c r="O2276" s="20"/>
    </row>
    <row r="2277" ht="15" customHeight="1">
      <c r="A2277" t="s">
        <v>4881</v>
      </c>
      <c r="B2277" t="s">
        <v>4882</v>
      </c>
      <c r="C2277" t="s">
        <v>1470</v>
      </c>
      <c r="D2277" t="s">
        <v>813</v>
      </c>
      <c r="E2277" t="s">
        <v>814</v>
      </c>
      <c r="H2277">
        <v>8</v>
      </c>
      <c r="M2277" s="19">
        <v>44852</v>
      </c>
      <c r="N2277" s="19">
        <v>44924</v>
      </c>
      <c r="O2277" s="20"/>
    </row>
    <row r="2278" ht="15" customHeight="1">
      <c r="A2278" t="s">
        <v>4883</v>
      </c>
      <c r="B2278" t="s">
        <v>4884</v>
      </c>
      <c r="C2278" t="s">
        <v>1470</v>
      </c>
      <c r="D2278" t="s">
        <v>813</v>
      </c>
      <c r="E2278" t="s">
        <v>814</v>
      </c>
      <c r="H2278">
        <v>2</v>
      </c>
      <c r="M2278" s="19">
        <v>44852</v>
      </c>
      <c r="N2278" s="19">
        <v>44924</v>
      </c>
      <c r="O2278" s="20"/>
    </row>
    <row r="2279" ht="15" customHeight="1">
      <c r="A2279" t="s">
        <v>4885</v>
      </c>
      <c r="B2279" t="s">
        <v>4886</v>
      </c>
      <c r="C2279" t="s">
        <v>1470</v>
      </c>
      <c r="D2279" t="s">
        <v>813</v>
      </c>
      <c r="E2279" t="s">
        <v>814</v>
      </c>
      <c r="H2279">
        <v>2</v>
      </c>
      <c r="M2279" s="19">
        <v>44852</v>
      </c>
      <c r="N2279" s="19">
        <v>44924</v>
      </c>
      <c r="O2279" s="20"/>
    </row>
    <row r="2280" ht="15" customHeight="1">
      <c r="A2280" t="s">
        <v>4887</v>
      </c>
      <c r="B2280" t="s">
        <v>4888</v>
      </c>
      <c r="C2280" t="s">
        <v>1470</v>
      </c>
      <c r="D2280" t="s">
        <v>813</v>
      </c>
      <c r="E2280" t="s">
        <v>814</v>
      </c>
      <c r="H2280">
        <v>2</v>
      </c>
      <c r="M2280" s="19">
        <v>44852</v>
      </c>
      <c r="N2280" s="19">
        <v>44924</v>
      </c>
      <c r="O2280" s="20"/>
    </row>
    <row r="2281" ht="15" customHeight="1">
      <c r="A2281" t="s">
        <v>4889</v>
      </c>
      <c r="B2281" t="s">
        <v>4890</v>
      </c>
      <c r="C2281" s="22" t="s">
        <v>55</v>
      </c>
      <c r="D2281" t="s">
        <v>250</v>
      </c>
      <c r="E2281" t="s">
        <v>251</v>
      </c>
      <c r="H2281">
        <v>17</v>
      </c>
      <c r="M2281" s="19">
        <v>44852</v>
      </c>
      <c r="N2281" s="20"/>
      <c r="O2281" s="20"/>
    </row>
    <row r="2282" ht="15" customHeight="1">
      <c r="A2282" t="s">
        <v>4891</v>
      </c>
      <c r="B2282" t="s">
        <v>4892</v>
      </c>
      <c r="C2282" s="21" t="s">
        <v>227</v>
      </c>
      <c r="D2282" t="s">
        <v>813</v>
      </c>
      <c r="E2282" t="s">
        <v>814</v>
      </c>
      <c r="H2282">
        <v>2</v>
      </c>
      <c r="M2282" s="19">
        <v>44852</v>
      </c>
      <c r="N2282" s="19">
        <v>44896</v>
      </c>
      <c r="O2282" s="20"/>
    </row>
    <row r="2283" ht="15" customHeight="1">
      <c r="A2283" t="s">
        <v>4893</v>
      </c>
      <c r="B2283" t="s">
        <v>4894</v>
      </c>
      <c r="C2283" s="23" t="s">
        <v>309</v>
      </c>
      <c r="D2283" t="s">
        <v>813</v>
      </c>
      <c r="E2283" t="s">
        <v>814</v>
      </c>
      <c r="H2283">
        <v>2</v>
      </c>
      <c r="K2283" t="s">
        <v>3773</v>
      </c>
      <c r="L2283" t="s">
        <v>4686</v>
      </c>
      <c r="M2283" s="19">
        <v>44852</v>
      </c>
      <c r="N2283" s="19">
        <v>44882</v>
      </c>
      <c r="O2283" s="20"/>
    </row>
    <row r="2284" ht="15" customHeight="1">
      <c r="A2284" t="s">
        <v>4895</v>
      </c>
      <c r="B2284" t="s">
        <v>4896</v>
      </c>
      <c r="C2284" s="21" t="s">
        <v>227</v>
      </c>
      <c r="D2284" t="s">
        <v>813</v>
      </c>
      <c r="E2284" t="s">
        <v>814</v>
      </c>
      <c r="H2284">
        <v>2</v>
      </c>
      <c r="M2284" s="19">
        <v>44852</v>
      </c>
      <c r="N2284" s="19">
        <v>44896</v>
      </c>
      <c r="O2284" s="20"/>
    </row>
    <row r="2285" ht="15" customHeight="1">
      <c r="A2285" t="s">
        <v>4897</v>
      </c>
      <c r="B2285" t="s">
        <v>4898</v>
      </c>
      <c r="C2285" s="21" t="s">
        <v>227</v>
      </c>
      <c r="D2285" t="s">
        <v>813</v>
      </c>
      <c r="E2285" t="s">
        <v>814</v>
      </c>
      <c r="H2285">
        <v>3</v>
      </c>
      <c r="M2285" s="19">
        <v>44852</v>
      </c>
      <c r="N2285" s="19">
        <v>44924</v>
      </c>
      <c r="O2285" s="20"/>
    </row>
    <row r="2286" ht="15" customHeight="1">
      <c r="A2286" t="s">
        <v>4899</v>
      </c>
      <c r="B2286" t="s">
        <v>4900</v>
      </c>
      <c r="C2286" s="21" t="s">
        <v>227</v>
      </c>
      <c r="D2286" t="s">
        <v>813</v>
      </c>
      <c r="E2286" t="s">
        <v>814</v>
      </c>
      <c r="H2286">
        <v>3</v>
      </c>
      <c r="M2286" s="19">
        <v>44852</v>
      </c>
      <c r="N2286" s="19">
        <v>44924</v>
      </c>
      <c r="O2286" s="20"/>
    </row>
    <row r="2287" ht="15" customHeight="1">
      <c r="A2287" t="s">
        <v>4901</v>
      </c>
      <c r="B2287" t="s">
        <v>4902</v>
      </c>
      <c r="C2287" t="s">
        <v>1057</v>
      </c>
      <c r="D2287" t="s">
        <v>223</v>
      </c>
      <c r="E2287" t="s">
        <v>224</v>
      </c>
      <c r="H2287">
        <v>0</v>
      </c>
      <c r="M2287" s="19">
        <v>44852</v>
      </c>
      <c r="N2287" s="20"/>
      <c r="O2287" s="20"/>
    </row>
    <row r="2288" ht="15" customHeight="1">
      <c r="A2288" t="s">
        <v>4903</v>
      </c>
      <c r="B2288" t="s">
        <v>4904</v>
      </c>
      <c r="C2288" t="s">
        <v>1057</v>
      </c>
      <c r="D2288" t="s">
        <v>223</v>
      </c>
      <c r="E2288" t="s">
        <v>224</v>
      </c>
      <c r="H2288">
        <v>0</v>
      </c>
      <c r="M2288" s="19">
        <v>44852</v>
      </c>
      <c r="N2288" s="20"/>
      <c r="O2288" s="20"/>
    </row>
    <row r="2289" ht="15" customHeight="1">
      <c r="A2289" t="s">
        <v>4905</v>
      </c>
      <c r="B2289" t="s">
        <v>4906</v>
      </c>
      <c r="C2289" t="s">
        <v>1057</v>
      </c>
      <c r="D2289" t="s">
        <v>223</v>
      </c>
      <c r="E2289" t="s">
        <v>224</v>
      </c>
      <c r="H2289">
        <v>0</v>
      </c>
      <c r="M2289" s="19">
        <v>44852</v>
      </c>
      <c r="N2289" s="20"/>
      <c r="O2289" s="20"/>
    </row>
    <row r="2290" ht="15" customHeight="1">
      <c r="A2290" t="s">
        <v>4907</v>
      </c>
      <c r="B2290" t="s">
        <v>4908</v>
      </c>
      <c r="C2290" t="s">
        <v>1057</v>
      </c>
      <c r="D2290" t="s">
        <v>223</v>
      </c>
      <c r="E2290" t="s">
        <v>224</v>
      </c>
      <c r="H2290">
        <v>73</v>
      </c>
      <c r="M2290" s="19">
        <v>44852</v>
      </c>
      <c r="N2290" s="20"/>
      <c r="O2290" s="20"/>
    </row>
    <row r="2291" ht="15" customHeight="1">
      <c r="A2291" t="s">
        <v>4909</v>
      </c>
      <c r="B2291" t="s">
        <v>4910</v>
      </c>
      <c r="C2291" s="21" t="s">
        <v>227</v>
      </c>
      <c r="D2291" t="s">
        <v>250</v>
      </c>
      <c r="E2291" t="s">
        <v>251</v>
      </c>
      <c r="H2291">
        <v>164</v>
      </c>
      <c r="M2291" s="19">
        <v>44851</v>
      </c>
      <c r="N2291" s="20"/>
      <c r="O2291" s="20"/>
    </row>
    <row r="2292" ht="15" customHeight="1">
      <c r="A2292" t="s">
        <v>4911</v>
      </c>
      <c r="B2292" t="s">
        <v>4912</v>
      </c>
      <c r="C2292" s="23" t="s">
        <v>309</v>
      </c>
      <c r="D2292" t="s">
        <v>250</v>
      </c>
      <c r="E2292" t="s">
        <v>251</v>
      </c>
      <c r="H2292">
        <v>2</v>
      </c>
      <c r="M2292" s="19">
        <v>44846</v>
      </c>
      <c r="N2292" s="19">
        <v>44861</v>
      </c>
      <c r="O2292" s="20"/>
    </row>
    <row r="2293" ht="15" customHeight="1">
      <c r="A2293" t="s">
        <v>4913</v>
      </c>
      <c r="B2293" t="s">
        <v>4914</v>
      </c>
      <c r="C2293" s="23" t="s">
        <v>309</v>
      </c>
      <c r="D2293" t="s">
        <v>250</v>
      </c>
      <c r="E2293" t="s">
        <v>251</v>
      </c>
      <c r="M2293" s="19">
        <v>44845</v>
      </c>
      <c r="N2293" s="19">
        <v>44847</v>
      </c>
      <c r="O2293" s="20"/>
    </row>
    <row r="2294" ht="15" customHeight="1">
      <c r="A2294" t="s">
        <v>4915</v>
      </c>
      <c r="B2294" t="s">
        <v>4916</v>
      </c>
      <c r="C2294" s="23" t="s">
        <v>309</v>
      </c>
      <c r="D2294" t="s">
        <v>813</v>
      </c>
      <c r="E2294" t="s">
        <v>814</v>
      </c>
      <c r="K2294" t="s">
        <v>4553</v>
      </c>
      <c r="L2294" t="s">
        <v>4917</v>
      </c>
      <c r="M2294" s="19">
        <v>44841</v>
      </c>
      <c r="N2294" s="19">
        <v>44854</v>
      </c>
      <c r="O2294" s="20"/>
    </row>
    <row r="2295" ht="15" customHeight="1">
      <c r="A2295" t="s">
        <v>4918</v>
      </c>
      <c r="B2295" t="s">
        <v>4919</v>
      </c>
      <c r="C2295" t="s">
        <v>1057</v>
      </c>
      <c r="D2295" t="s">
        <v>223</v>
      </c>
      <c r="E2295" t="s">
        <v>224</v>
      </c>
      <c r="H2295">
        <v>0</v>
      </c>
      <c r="M2295" s="19">
        <v>44841</v>
      </c>
      <c r="N2295" s="20"/>
      <c r="O2295" s="20"/>
    </row>
    <row r="2296" ht="15" customHeight="1">
      <c r="A2296" t="s">
        <v>4920</v>
      </c>
      <c r="B2296" t="s">
        <v>4921</v>
      </c>
      <c r="C2296" s="21" t="s">
        <v>227</v>
      </c>
      <c r="D2296" t="s">
        <v>813</v>
      </c>
      <c r="E2296" t="s">
        <v>814</v>
      </c>
      <c r="M2296" s="19">
        <v>44840</v>
      </c>
      <c r="N2296" s="19">
        <v>44854</v>
      </c>
      <c r="O2296" s="20"/>
    </row>
    <row r="2297" ht="15" customHeight="1">
      <c r="A2297" t="s">
        <v>4922</v>
      </c>
      <c r="B2297" t="s">
        <v>4923</v>
      </c>
      <c r="C2297" s="21" t="s">
        <v>227</v>
      </c>
      <c r="D2297" t="s">
        <v>813</v>
      </c>
      <c r="E2297" t="s">
        <v>814</v>
      </c>
      <c r="H2297">
        <v>3</v>
      </c>
      <c r="K2297" t="s">
        <v>2934</v>
      </c>
      <c r="M2297" s="19">
        <v>44840</v>
      </c>
      <c r="N2297" s="19">
        <v>44896</v>
      </c>
      <c r="O2297" s="20"/>
    </row>
    <row r="2298" ht="15" customHeight="1">
      <c r="A2298" t="s">
        <v>4924</v>
      </c>
      <c r="B2298" t="s">
        <v>4925</v>
      </c>
      <c r="C2298" s="21" t="s">
        <v>227</v>
      </c>
      <c r="D2298" t="s">
        <v>813</v>
      </c>
      <c r="E2298" t="s">
        <v>814</v>
      </c>
      <c r="H2298">
        <v>3</v>
      </c>
      <c r="K2298" t="s">
        <v>2934</v>
      </c>
      <c r="M2298" s="19">
        <v>44840</v>
      </c>
      <c r="N2298" s="19">
        <v>44882</v>
      </c>
      <c r="O2298" s="20"/>
    </row>
    <row r="2299" ht="15" customHeight="1">
      <c r="A2299" t="s">
        <v>4926</v>
      </c>
      <c r="B2299" t="s">
        <v>4927</v>
      </c>
      <c r="C2299" s="21" t="s">
        <v>227</v>
      </c>
      <c r="D2299" t="s">
        <v>813</v>
      </c>
      <c r="E2299" t="s">
        <v>814</v>
      </c>
      <c r="H2299">
        <v>3</v>
      </c>
      <c r="M2299" s="19">
        <v>44840</v>
      </c>
      <c r="N2299" s="19">
        <v>44910</v>
      </c>
      <c r="O2299" s="20"/>
    </row>
    <row r="2300" ht="15" customHeight="1">
      <c r="A2300" t="s">
        <v>4928</v>
      </c>
      <c r="B2300" t="s">
        <v>4929</v>
      </c>
      <c r="C2300" s="21" t="s">
        <v>227</v>
      </c>
      <c r="D2300" t="s">
        <v>250</v>
      </c>
      <c r="E2300" t="s">
        <v>251</v>
      </c>
      <c r="M2300" s="19">
        <v>44838</v>
      </c>
      <c r="N2300" s="20"/>
      <c r="O2300" s="20"/>
    </row>
    <row r="2301" ht="15" customHeight="1">
      <c r="A2301" t="s">
        <v>4930</v>
      </c>
      <c r="B2301" t="s">
        <v>4931</v>
      </c>
      <c r="C2301" s="23" t="s">
        <v>309</v>
      </c>
      <c r="D2301" t="s">
        <v>813</v>
      </c>
      <c r="E2301" t="s">
        <v>814</v>
      </c>
      <c r="K2301" t="s">
        <v>4553</v>
      </c>
      <c r="L2301" t="s">
        <v>4932</v>
      </c>
      <c r="M2301" s="19">
        <v>44837</v>
      </c>
      <c r="N2301" s="19">
        <v>44840</v>
      </c>
      <c r="O2301" s="20"/>
    </row>
    <row r="2302" ht="15" customHeight="1">
      <c r="A2302" t="s">
        <v>4933</v>
      </c>
      <c r="B2302" t="s">
        <v>4934</v>
      </c>
      <c r="C2302" s="23" t="s">
        <v>309</v>
      </c>
      <c r="D2302" t="s">
        <v>813</v>
      </c>
      <c r="E2302" t="s">
        <v>814</v>
      </c>
      <c r="K2302" t="s">
        <v>4553</v>
      </c>
      <c r="L2302" t="s">
        <v>4932</v>
      </c>
      <c r="M2302" s="19">
        <v>44837</v>
      </c>
      <c r="N2302" s="19">
        <v>44840</v>
      </c>
      <c r="O2302" s="20"/>
    </row>
    <row r="2303" ht="15" customHeight="1">
      <c r="A2303" t="s">
        <v>4935</v>
      </c>
      <c r="B2303" t="s">
        <v>4936</v>
      </c>
      <c r="C2303" s="23" t="s">
        <v>309</v>
      </c>
      <c r="D2303" t="s">
        <v>232</v>
      </c>
      <c r="E2303" t="s">
        <v>233</v>
      </c>
      <c r="H2303">
        <v>1</v>
      </c>
      <c r="K2303" t="s">
        <v>3359</v>
      </c>
      <c r="M2303" s="19">
        <v>44837</v>
      </c>
      <c r="N2303" s="19">
        <v>45092</v>
      </c>
      <c r="O2303" s="20"/>
    </row>
    <row r="2304" ht="15" customHeight="1">
      <c r="A2304" t="s">
        <v>4937</v>
      </c>
      <c r="B2304" t="s">
        <v>4938</v>
      </c>
      <c r="C2304" s="21" t="s">
        <v>227</v>
      </c>
      <c r="D2304" t="s">
        <v>250</v>
      </c>
      <c r="E2304" t="s">
        <v>251</v>
      </c>
      <c r="H2304">
        <v>3</v>
      </c>
      <c r="M2304" s="19">
        <v>44834</v>
      </c>
      <c r="N2304" s="19">
        <v>44951</v>
      </c>
      <c r="O2304" s="20"/>
    </row>
    <row r="2305" ht="15" customHeight="1">
      <c r="A2305" t="s">
        <v>4939</v>
      </c>
      <c r="B2305" t="s">
        <v>4940</v>
      </c>
      <c r="C2305" s="23" t="s">
        <v>309</v>
      </c>
      <c r="D2305" t="s">
        <v>232</v>
      </c>
      <c r="E2305" t="s">
        <v>233</v>
      </c>
      <c r="K2305" t="s">
        <v>2978</v>
      </c>
      <c r="M2305" s="19">
        <v>44833</v>
      </c>
      <c r="N2305" s="19">
        <v>44854</v>
      </c>
      <c r="O2305" s="20"/>
    </row>
    <row r="2306" ht="15" customHeight="1">
      <c r="A2306" t="s">
        <v>4941</v>
      </c>
      <c r="B2306" t="s">
        <v>4942</v>
      </c>
      <c r="C2306" s="23" t="s">
        <v>309</v>
      </c>
      <c r="D2306" t="s">
        <v>232</v>
      </c>
      <c r="E2306" t="s">
        <v>233</v>
      </c>
      <c r="K2306" t="s">
        <v>2978</v>
      </c>
      <c r="M2306" s="19">
        <v>44833</v>
      </c>
      <c r="N2306" s="19">
        <v>44854</v>
      </c>
      <c r="O2306" s="20"/>
    </row>
    <row r="2307" ht="15" customHeight="1">
      <c r="A2307" t="s">
        <v>4943</v>
      </c>
      <c r="B2307" t="s">
        <v>4944</v>
      </c>
      <c r="C2307" s="21" t="s">
        <v>227</v>
      </c>
      <c r="D2307" t="s">
        <v>250</v>
      </c>
      <c r="E2307" t="s">
        <v>251</v>
      </c>
      <c r="M2307" s="19">
        <v>44833</v>
      </c>
      <c r="N2307" s="20"/>
      <c r="O2307" s="20"/>
    </row>
    <row r="2308" ht="15" customHeight="1">
      <c r="A2308" t="s">
        <v>4945</v>
      </c>
      <c r="B2308" t="s">
        <v>4946</v>
      </c>
      <c r="C2308" s="21" t="s">
        <v>227</v>
      </c>
      <c r="D2308" t="s">
        <v>250</v>
      </c>
      <c r="E2308" t="s">
        <v>251</v>
      </c>
      <c r="H2308">
        <v>8</v>
      </c>
      <c r="M2308" s="19">
        <v>44833</v>
      </c>
      <c r="N2308" s="20"/>
      <c r="O2308" s="20"/>
    </row>
    <row r="2309" ht="15" customHeight="1">
      <c r="A2309" t="s">
        <v>4947</v>
      </c>
      <c r="B2309" t="s">
        <v>4948</v>
      </c>
      <c r="C2309" s="23" t="s">
        <v>309</v>
      </c>
      <c r="D2309" t="s">
        <v>813</v>
      </c>
      <c r="E2309" t="s">
        <v>814</v>
      </c>
      <c r="H2309">
        <v>5</v>
      </c>
      <c r="K2309" t="s">
        <v>4553</v>
      </c>
      <c r="L2309" t="s">
        <v>4949</v>
      </c>
      <c r="M2309" s="19">
        <v>44833</v>
      </c>
      <c r="N2309" s="19">
        <v>44896</v>
      </c>
      <c r="O2309" s="20"/>
    </row>
    <row r="2310" ht="15" customHeight="1">
      <c r="A2310" t="s">
        <v>4950</v>
      </c>
      <c r="B2310" t="s">
        <v>4951</v>
      </c>
      <c r="C2310" s="21" t="s">
        <v>227</v>
      </c>
      <c r="D2310" t="s">
        <v>813</v>
      </c>
      <c r="E2310" t="s">
        <v>814</v>
      </c>
      <c r="H2310">
        <v>66</v>
      </c>
      <c r="M2310" s="19">
        <v>44831</v>
      </c>
      <c r="N2310" s="20"/>
      <c r="O2310" s="20"/>
    </row>
    <row r="2311" ht="15" customHeight="1">
      <c r="A2311" t="s">
        <v>4952</v>
      </c>
      <c r="B2311" t="s">
        <v>4953</v>
      </c>
      <c r="C2311" s="23" t="s">
        <v>309</v>
      </c>
      <c r="D2311" t="s">
        <v>813</v>
      </c>
      <c r="E2311" t="s">
        <v>814</v>
      </c>
      <c r="K2311" t="s">
        <v>4553</v>
      </c>
      <c r="L2311" t="s">
        <v>4932</v>
      </c>
      <c r="M2311" s="19">
        <v>44830</v>
      </c>
      <c r="N2311" s="19">
        <v>44840</v>
      </c>
      <c r="O2311" s="20"/>
    </row>
    <row r="2312" ht="15" customHeight="1">
      <c r="A2312" t="s">
        <v>4954</v>
      </c>
      <c r="B2312" t="s">
        <v>4955</v>
      </c>
      <c r="C2312" s="21" t="s">
        <v>227</v>
      </c>
      <c r="D2312" t="s">
        <v>813</v>
      </c>
      <c r="E2312" t="s">
        <v>814</v>
      </c>
      <c r="H2312">
        <v>15</v>
      </c>
      <c r="M2312" s="19">
        <v>44827</v>
      </c>
      <c r="N2312" s="20"/>
      <c r="O2312" s="20"/>
    </row>
    <row r="2313" ht="15" customHeight="1">
      <c r="A2313" t="s">
        <v>4956</v>
      </c>
      <c r="B2313" t="s">
        <v>4957</v>
      </c>
      <c r="C2313" s="21" t="s">
        <v>227</v>
      </c>
      <c r="D2313" t="s">
        <v>250</v>
      </c>
      <c r="E2313" t="s">
        <v>251</v>
      </c>
      <c r="M2313" s="19">
        <v>44826</v>
      </c>
      <c r="N2313" s="20"/>
      <c r="O2313" s="20"/>
    </row>
    <row r="2314" ht="15" customHeight="1">
      <c r="A2314" t="s">
        <v>4958</v>
      </c>
      <c r="B2314" t="s">
        <v>4959</v>
      </c>
      <c r="C2314" s="21" t="s">
        <v>227</v>
      </c>
      <c r="D2314" t="s">
        <v>250</v>
      </c>
      <c r="E2314" t="s">
        <v>251</v>
      </c>
      <c r="M2314" s="19">
        <v>44826</v>
      </c>
      <c r="N2314" s="20"/>
      <c r="O2314" s="20"/>
    </row>
    <row r="2315" ht="15" customHeight="1">
      <c r="A2315" t="s">
        <v>4960</v>
      </c>
      <c r="B2315" t="s">
        <v>4961</v>
      </c>
      <c r="C2315" s="21" t="s">
        <v>227</v>
      </c>
      <c r="D2315" t="s">
        <v>250</v>
      </c>
      <c r="E2315" t="s">
        <v>251</v>
      </c>
      <c r="M2315" s="19">
        <v>44826</v>
      </c>
      <c r="N2315" s="20"/>
      <c r="O2315" s="20"/>
    </row>
    <row r="2316" ht="15" customHeight="1">
      <c r="A2316" t="s">
        <v>4962</v>
      </c>
      <c r="B2316" t="s">
        <v>4963</v>
      </c>
      <c r="C2316" s="21" t="s">
        <v>227</v>
      </c>
      <c r="D2316" t="s">
        <v>250</v>
      </c>
      <c r="E2316" t="s">
        <v>251</v>
      </c>
      <c r="M2316" s="19">
        <v>44826</v>
      </c>
      <c r="N2316" s="20"/>
      <c r="O2316" s="20"/>
    </row>
    <row r="2317" ht="15" customHeight="1">
      <c r="A2317" t="s">
        <v>4964</v>
      </c>
      <c r="B2317" t="s">
        <v>4965</v>
      </c>
      <c r="C2317" s="23" t="s">
        <v>309</v>
      </c>
      <c r="D2317" t="s">
        <v>228</v>
      </c>
      <c r="E2317" t="s">
        <v>229</v>
      </c>
      <c r="M2317" s="19">
        <v>44825</v>
      </c>
      <c r="N2317" s="20"/>
      <c r="O2317" s="20"/>
    </row>
    <row r="2318" ht="15" customHeight="1">
      <c r="A2318" t="s">
        <v>4966</v>
      </c>
      <c r="B2318" t="s">
        <v>4967</v>
      </c>
      <c r="C2318" t="s">
        <v>1470</v>
      </c>
      <c r="D2318" t="s">
        <v>232</v>
      </c>
      <c r="E2318" t="s">
        <v>233</v>
      </c>
      <c r="M2318" s="19">
        <v>44824</v>
      </c>
      <c r="N2318" s="20"/>
      <c r="O2318" s="20"/>
    </row>
    <row r="2319" ht="15" customHeight="1">
      <c r="A2319" t="s">
        <v>4968</v>
      </c>
      <c r="B2319" t="s">
        <v>4969</v>
      </c>
      <c r="C2319" t="s">
        <v>1057</v>
      </c>
      <c r="D2319" t="s">
        <v>223</v>
      </c>
      <c r="E2319" t="s">
        <v>224</v>
      </c>
      <c r="H2319">
        <v>0</v>
      </c>
      <c r="M2319" s="19">
        <v>44820</v>
      </c>
      <c r="N2319" s="20"/>
      <c r="O2319" s="20"/>
    </row>
    <row r="2320" ht="15" customHeight="1">
      <c r="A2320" t="s">
        <v>4970</v>
      </c>
      <c r="B2320" t="s">
        <v>4971</v>
      </c>
      <c r="C2320" t="s">
        <v>1057</v>
      </c>
      <c r="D2320" t="s">
        <v>223</v>
      </c>
      <c r="E2320" t="s">
        <v>224</v>
      </c>
      <c r="H2320">
        <v>21</v>
      </c>
      <c r="M2320" s="19">
        <v>44819</v>
      </c>
      <c r="N2320" s="19">
        <v>44924</v>
      </c>
      <c r="O2320" s="20"/>
    </row>
    <row r="2321" ht="15" customHeight="1">
      <c r="A2321" t="s">
        <v>4972</v>
      </c>
      <c r="B2321" t="s">
        <v>4973</v>
      </c>
      <c r="C2321" s="22" t="s">
        <v>55</v>
      </c>
      <c r="D2321" t="s">
        <v>223</v>
      </c>
      <c r="E2321" t="s">
        <v>224</v>
      </c>
      <c r="H2321">
        <v>150</v>
      </c>
      <c r="M2321" s="19">
        <v>44819</v>
      </c>
      <c r="N2321" s="19">
        <v>44924</v>
      </c>
      <c r="O2321" s="20"/>
    </row>
    <row r="2322" ht="15" customHeight="1">
      <c r="A2322" t="s">
        <v>4974</v>
      </c>
      <c r="B2322" t="s">
        <v>4975</v>
      </c>
      <c r="C2322" s="23" t="s">
        <v>309</v>
      </c>
      <c r="D2322" t="s">
        <v>250</v>
      </c>
      <c r="E2322" t="s">
        <v>251</v>
      </c>
      <c r="H2322">
        <v>3</v>
      </c>
      <c r="K2322" t="s">
        <v>1135</v>
      </c>
      <c r="M2322" s="19">
        <v>44819</v>
      </c>
      <c r="N2322" s="19">
        <v>44833</v>
      </c>
      <c r="O2322" s="20"/>
    </row>
    <row r="2323" ht="15" customHeight="1">
      <c r="A2323" t="s">
        <v>4976</v>
      </c>
      <c r="B2323" t="s">
        <v>4977</v>
      </c>
      <c r="C2323" s="23" t="s">
        <v>309</v>
      </c>
      <c r="D2323" t="s">
        <v>813</v>
      </c>
      <c r="E2323" t="s">
        <v>814</v>
      </c>
      <c r="K2323" t="s">
        <v>4553</v>
      </c>
      <c r="L2323" t="s">
        <v>4978</v>
      </c>
      <c r="M2323" s="19">
        <v>44819</v>
      </c>
      <c r="N2323" s="19">
        <v>44826</v>
      </c>
      <c r="O2323" s="20"/>
    </row>
    <row r="2324" ht="15" customHeight="1">
      <c r="A2324" t="s">
        <v>4979</v>
      </c>
      <c r="B2324" t="s">
        <v>4980</v>
      </c>
      <c r="C2324" s="21" t="s">
        <v>227</v>
      </c>
      <c r="D2324" t="s">
        <v>250</v>
      </c>
      <c r="E2324" t="s">
        <v>251</v>
      </c>
      <c r="H2324">
        <v>3</v>
      </c>
      <c r="M2324" s="19">
        <v>44819</v>
      </c>
      <c r="N2324" s="19">
        <v>44847</v>
      </c>
      <c r="O2324" s="20"/>
    </row>
    <row r="2325" ht="15" customHeight="1">
      <c r="A2325" t="s">
        <v>4981</v>
      </c>
      <c r="B2325" t="s">
        <v>4982</v>
      </c>
      <c r="C2325" s="21" t="s">
        <v>227</v>
      </c>
      <c r="D2325" t="s">
        <v>250</v>
      </c>
      <c r="E2325" t="s">
        <v>251</v>
      </c>
      <c r="M2325" s="19">
        <v>44818</v>
      </c>
      <c r="N2325" s="20"/>
      <c r="O2325" s="20"/>
    </row>
    <row r="2326" ht="15" customHeight="1">
      <c r="A2326" t="s">
        <v>4983</v>
      </c>
      <c r="B2326" t="s">
        <v>4984</v>
      </c>
      <c r="C2326" s="21" t="s">
        <v>227</v>
      </c>
      <c r="D2326" t="s">
        <v>250</v>
      </c>
      <c r="E2326" t="s">
        <v>251</v>
      </c>
      <c r="M2326" s="19">
        <v>44817</v>
      </c>
      <c r="N2326" s="20"/>
      <c r="O2326" s="20"/>
    </row>
    <row r="2327" ht="15" customHeight="1">
      <c r="A2327" t="s">
        <v>4985</v>
      </c>
      <c r="B2327" t="s">
        <v>4986</v>
      </c>
      <c r="C2327" s="21" t="s">
        <v>227</v>
      </c>
      <c r="D2327" t="s">
        <v>250</v>
      </c>
      <c r="E2327" t="s">
        <v>251</v>
      </c>
      <c r="M2327" s="19">
        <v>44817</v>
      </c>
      <c r="N2327" s="20"/>
      <c r="O2327" s="20"/>
    </row>
    <row r="2328" ht="15" customHeight="1">
      <c r="A2328" t="s">
        <v>4987</v>
      </c>
      <c r="B2328" t="s">
        <v>4988</v>
      </c>
      <c r="C2328" s="21" t="s">
        <v>227</v>
      </c>
      <c r="D2328" t="s">
        <v>250</v>
      </c>
      <c r="E2328" t="s">
        <v>251</v>
      </c>
      <c r="M2328" s="19">
        <v>44817</v>
      </c>
      <c r="N2328" s="20"/>
      <c r="O2328" s="20"/>
    </row>
    <row r="2329" ht="15" customHeight="1">
      <c r="A2329" t="s">
        <v>4989</v>
      </c>
      <c r="B2329" t="s">
        <v>4990</v>
      </c>
      <c r="C2329" s="22" t="s">
        <v>55</v>
      </c>
      <c r="D2329" t="s">
        <v>232</v>
      </c>
      <c r="E2329" t="s">
        <v>233</v>
      </c>
      <c r="H2329">
        <v>48</v>
      </c>
      <c r="K2329" t="s">
        <v>2136</v>
      </c>
      <c r="M2329" s="19">
        <v>44816</v>
      </c>
      <c r="N2329" s="20"/>
      <c r="O2329" s="20"/>
    </row>
    <row r="2330" ht="15" customHeight="1">
      <c r="A2330" t="s">
        <v>4991</v>
      </c>
      <c r="B2330" t="s">
        <v>4992</v>
      </c>
      <c r="C2330" s="21" t="s">
        <v>227</v>
      </c>
      <c r="D2330" t="s">
        <v>813</v>
      </c>
      <c r="E2330" t="s">
        <v>814</v>
      </c>
      <c r="H2330">
        <v>0</v>
      </c>
      <c r="M2330" s="19">
        <v>44816</v>
      </c>
      <c r="N2330" s="20"/>
      <c r="O2330" s="20"/>
    </row>
    <row r="2331" ht="15" customHeight="1">
      <c r="A2331" t="s">
        <v>4993</v>
      </c>
      <c r="B2331" t="s">
        <v>4994</v>
      </c>
      <c r="C2331" s="21" t="s">
        <v>227</v>
      </c>
      <c r="D2331" t="s">
        <v>813</v>
      </c>
      <c r="E2331" t="s">
        <v>814</v>
      </c>
      <c r="M2331" s="19">
        <v>44811</v>
      </c>
      <c r="N2331" s="20"/>
      <c r="O2331" s="20"/>
    </row>
    <row r="2332" ht="15" customHeight="1">
      <c r="A2332" t="s">
        <v>4995</v>
      </c>
      <c r="B2332" t="s">
        <v>4996</v>
      </c>
      <c r="C2332" s="21" t="s">
        <v>227</v>
      </c>
      <c r="D2332" t="s">
        <v>813</v>
      </c>
      <c r="E2332" t="s">
        <v>814</v>
      </c>
      <c r="M2332" s="19">
        <v>44811</v>
      </c>
      <c r="N2332" s="20"/>
      <c r="O2332" s="20"/>
    </row>
    <row r="2333" ht="15" customHeight="1">
      <c r="A2333" t="s">
        <v>4997</v>
      </c>
      <c r="B2333" t="s">
        <v>4998</v>
      </c>
      <c r="C2333" s="21" t="s">
        <v>227</v>
      </c>
      <c r="D2333" t="s">
        <v>813</v>
      </c>
      <c r="E2333" t="s">
        <v>814</v>
      </c>
      <c r="M2333" s="19">
        <v>44810</v>
      </c>
      <c r="N2333" s="19">
        <v>44910</v>
      </c>
      <c r="O2333" s="20"/>
    </row>
    <row r="2334" ht="15" customHeight="1">
      <c r="A2334" t="s">
        <v>4999</v>
      </c>
      <c r="B2334" t="s">
        <v>5000</v>
      </c>
      <c r="C2334" s="23" t="s">
        <v>309</v>
      </c>
      <c r="D2334" t="s">
        <v>232</v>
      </c>
      <c r="E2334" t="s">
        <v>233</v>
      </c>
      <c r="M2334" s="19">
        <v>44810</v>
      </c>
      <c r="N2334" s="20"/>
      <c r="O2334" s="20"/>
    </row>
    <row r="2335" ht="15" customHeight="1">
      <c r="A2335" t="s">
        <v>5001</v>
      </c>
      <c r="B2335" t="s">
        <v>5002</v>
      </c>
      <c r="C2335" s="21" t="s">
        <v>227</v>
      </c>
      <c r="D2335" t="s">
        <v>250</v>
      </c>
      <c r="E2335" t="s">
        <v>251</v>
      </c>
      <c r="M2335" s="19">
        <v>44805</v>
      </c>
      <c r="N2335" s="20"/>
      <c r="O2335" s="20"/>
    </row>
    <row r="2336" ht="15" customHeight="1">
      <c r="A2336" t="s">
        <v>5003</v>
      </c>
      <c r="B2336" t="s">
        <v>5004</v>
      </c>
      <c r="C2336" s="21" t="s">
        <v>227</v>
      </c>
      <c r="D2336" t="s">
        <v>250</v>
      </c>
      <c r="E2336" t="s">
        <v>251</v>
      </c>
      <c r="M2336" s="19">
        <v>44804</v>
      </c>
      <c r="N2336" s="20"/>
      <c r="O2336" s="20"/>
    </row>
    <row r="2337" ht="15" customHeight="1">
      <c r="A2337" t="s">
        <v>5005</v>
      </c>
      <c r="B2337" t="s">
        <v>5006</v>
      </c>
      <c r="C2337" s="21" t="s">
        <v>227</v>
      </c>
      <c r="D2337" t="s">
        <v>250</v>
      </c>
      <c r="E2337" t="s">
        <v>251</v>
      </c>
      <c r="M2337" s="19">
        <v>44804</v>
      </c>
      <c r="N2337" s="20"/>
      <c r="O2337" s="20"/>
    </row>
    <row r="2338" ht="15" customHeight="1">
      <c r="A2338" t="s">
        <v>5007</v>
      </c>
      <c r="B2338" t="s">
        <v>5008</v>
      </c>
      <c r="C2338" t="s">
        <v>1470</v>
      </c>
      <c r="D2338" t="s">
        <v>228</v>
      </c>
      <c r="E2338" t="s">
        <v>229</v>
      </c>
      <c r="M2338" s="19">
        <v>44803</v>
      </c>
      <c r="N2338" s="20"/>
      <c r="O2338" s="20"/>
    </row>
    <row r="2339" ht="15" customHeight="1">
      <c r="A2339" t="s">
        <v>5009</v>
      </c>
      <c r="B2339" t="s">
        <v>5010</v>
      </c>
      <c r="C2339" s="23" t="s">
        <v>309</v>
      </c>
      <c r="D2339" t="s">
        <v>813</v>
      </c>
      <c r="E2339" t="s">
        <v>814</v>
      </c>
      <c r="K2339" t="s">
        <v>4553</v>
      </c>
      <c r="L2339" t="s">
        <v>5011</v>
      </c>
      <c r="M2339" s="19">
        <v>44802</v>
      </c>
      <c r="N2339" s="19">
        <v>44811</v>
      </c>
      <c r="O2339" s="20"/>
    </row>
    <row r="2340" ht="15" customHeight="1">
      <c r="A2340" t="s">
        <v>5012</v>
      </c>
      <c r="B2340" t="s">
        <v>5013</v>
      </c>
      <c r="C2340" s="23" t="s">
        <v>309</v>
      </c>
      <c r="D2340" t="s">
        <v>813</v>
      </c>
      <c r="E2340" t="s">
        <v>814</v>
      </c>
      <c r="K2340" t="s">
        <v>4553</v>
      </c>
      <c r="L2340" t="s">
        <v>5011</v>
      </c>
      <c r="M2340" s="19">
        <v>44802</v>
      </c>
      <c r="N2340" s="19">
        <v>44811</v>
      </c>
      <c r="O2340" s="20"/>
    </row>
    <row r="2341" ht="15" customHeight="1">
      <c r="A2341" t="s">
        <v>5014</v>
      </c>
      <c r="B2341" t="s">
        <v>5015</v>
      </c>
      <c r="C2341" t="s">
        <v>1470</v>
      </c>
      <c r="D2341" t="s">
        <v>228</v>
      </c>
      <c r="E2341" t="s">
        <v>229</v>
      </c>
      <c r="M2341" s="19">
        <v>44799</v>
      </c>
      <c r="N2341" s="20"/>
      <c r="O2341" s="20"/>
    </row>
    <row r="2342" ht="15" customHeight="1">
      <c r="A2342" t="s">
        <v>5016</v>
      </c>
      <c r="B2342" t="s">
        <v>5017</v>
      </c>
      <c r="C2342" s="23" t="s">
        <v>309</v>
      </c>
      <c r="D2342" t="s">
        <v>813</v>
      </c>
      <c r="E2342" t="s">
        <v>814</v>
      </c>
      <c r="K2342" t="s">
        <v>2927</v>
      </c>
      <c r="L2342" t="s">
        <v>4978</v>
      </c>
      <c r="M2342" s="19">
        <v>44799</v>
      </c>
      <c r="N2342" s="19">
        <v>44811</v>
      </c>
      <c r="O2342" s="20"/>
    </row>
    <row r="2343" ht="15" customHeight="1">
      <c r="A2343" t="s">
        <v>5018</v>
      </c>
      <c r="B2343" t="s">
        <v>5019</v>
      </c>
      <c r="C2343" s="21" t="s">
        <v>227</v>
      </c>
      <c r="D2343" t="s">
        <v>813</v>
      </c>
      <c r="E2343" t="s">
        <v>814</v>
      </c>
      <c r="H2343">
        <v>8</v>
      </c>
      <c r="M2343" s="19">
        <v>44799</v>
      </c>
      <c r="N2343" s="19">
        <v>44910</v>
      </c>
      <c r="O2343" s="20"/>
    </row>
    <row r="2344" ht="15" customHeight="1">
      <c r="A2344" t="s">
        <v>5020</v>
      </c>
      <c r="B2344" t="s">
        <v>5021</v>
      </c>
      <c r="C2344" s="23" t="s">
        <v>309</v>
      </c>
      <c r="D2344" t="s">
        <v>813</v>
      </c>
      <c r="E2344" t="s">
        <v>814</v>
      </c>
      <c r="M2344" s="19">
        <v>44798</v>
      </c>
      <c r="N2344" s="19">
        <v>44811</v>
      </c>
      <c r="O2344" s="20"/>
    </row>
    <row r="2345" ht="15" customHeight="1">
      <c r="A2345" t="s">
        <v>5022</v>
      </c>
      <c r="B2345" t="s">
        <v>5023</v>
      </c>
      <c r="C2345" s="23" t="s">
        <v>309</v>
      </c>
      <c r="D2345" t="s">
        <v>813</v>
      </c>
      <c r="E2345" t="s">
        <v>814</v>
      </c>
      <c r="H2345">
        <v>3</v>
      </c>
      <c r="K2345" t="s">
        <v>4553</v>
      </c>
      <c r="M2345" s="19">
        <v>44798</v>
      </c>
      <c r="N2345" s="20"/>
      <c r="O2345" s="20"/>
    </row>
    <row r="2346" ht="15" customHeight="1">
      <c r="A2346" t="s">
        <v>5024</v>
      </c>
      <c r="B2346" t="s">
        <v>5025</v>
      </c>
      <c r="C2346" s="21" t="s">
        <v>227</v>
      </c>
      <c r="D2346" t="s">
        <v>250</v>
      </c>
      <c r="E2346" t="s">
        <v>251</v>
      </c>
      <c r="M2346" s="19">
        <v>44798</v>
      </c>
      <c r="N2346" s="20"/>
      <c r="O2346" s="20"/>
    </row>
    <row r="2347" ht="15" customHeight="1">
      <c r="A2347" t="s">
        <v>5026</v>
      </c>
      <c r="B2347" t="s">
        <v>5027</v>
      </c>
      <c r="C2347" s="23" t="s">
        <v>309</v>
      </c>
      <c r="D2347" t="s">
        <v>813</v>
      </c>
      <c r="E2347" t="s">
        <v>814</v>
      </c>
      <c r="K2347" t="s">
        <v>2927</v>
      </c>
      <c r="L2347" t="s">
        <v>4978</v>
      </c>
      <c r="M2347" s="19">
        <v>44797</v>
      </c>
      <c r="N2347" s="20"/>
      <c r="O2347" s="20"/>
    </row>
    <row r="2348" ht="15" customHeight="1">
      <c r="A2348" t="s">
        <v>5028</v>
      </c>
      <c r="B2348" t="s">
        <v>5029</v>
      </c>
      <c r="C2348" s="21" t="s">
        <v>227</v>
      </c>
      <c r="D2348" t="s">
        <v>250</v>
      </c>
      <c r="E2348" t="s">
        <v>251</v>
      </c>
      <c r="M2348" s="19">
        <v>44797</v>
      </c>
      <c r="N2348" s="20"/>
      <c r="O2348" s="20"/>
    </row>
    <row r="2349" ht="15" customHeight="1">
      <c r="A2349" t="s">
        <v>5030</v>
      </c>
      <c r="B2349" t="s">
        <v>5031</v>
      </c>
      <c r="C2349" s="23" t="s">
        <v>309</v>
      </c>
      <c r="D2349" t="s">
        <v>813</v>
      </c>
      <c r="E2349" t="s">
        <v>814</v>
      </c>
      <c r="K2349" t="s">
        <v>2927</v>
      </c>
      <c r="M2349" s="19">
        <v>44795</v>
      </c>
      <c r="N2349" s="20"/>
      <c r="O2349" s="20"/>
    </row>
    <row r="2350" ht="15" customHeight="1">
      <c r="A2350" t="s">
        <v>5032</v>
      </c>
      <c r="B2350" t="s">
        <v>5033</v>
      </c>
      <c r="C2350" t="s">
        <v>1470</v>
      </c>
      <c r="D2350" t="s">
        <v>232</v>
      </c>
      <c r="E2350" t="s">
        <v>233</v>
      </c>
      <c r="M2350" s="19">
        <v>44792</v>
      </c>
      <c r="N2350" s="20"/>
      <c r="O2350" s="20"/>
    </row>
    <row r="2351" ht="15" customHeight="1">
      <c r="A2351" t="s">
        <v>5034</v>
      </c>
      <c r="B2351" t="s">
        <v>5035</v>
      </c>
      <c r="C2351" t="s">
        <v>1470</v>
      </c>
      <c r="D2351" t="s">
        <v>232</v>
      </c>
      <c r="E2351" t="s">
        <v>233</v>
      </c>
      <c r="M2351" s="19">
        <v>44792</v>
      </c>
      <c r="N2351" s="20"/>
      <c r="O2351" s="20"/>
    </row>
    <row r="2352" ht="15" customHeight="1">
      <c r="A2352" t="s">
        <v>5036</v>
      </c>
      <c r="B2352" t="s">
        <v>5037</v>
      </c>
      <c r="C2352" t="s">
        <v>1470</v>
      </c>
      <c r="D2352" t="s">
        <v>232</v>
      </c>
      <c r="E2352" t="s">
        <v>233</v>
      </c>
      <c r="M2352" s="19">
        <v>44792</v>
      </c>
      <c r="N2352" s="20"/>
      <c r="O2352" s="20"/>
    </row>
    <row r="2353" ht="15" customHeight="1">
      <c r="A2353" t="s">
        <v>5038</v>
      </c>
      <c r="B2353" t="s">
        <v>5039</v>
      </c>
      <c r="C2353" s="23" t="s">
        <v>309</v>
      </c>
      <c r="D2353" t="s">
        <v>232</v>
      </c>
      <c r="E2353" t="s">
        <v>233</v>
      </c>
      <c r="M2353" s="19">
        <v>44792</v>
      </c>
      <c r="N2353" s="20"/>
      <c r="O2353" s="20"/>
    </row>
    <row r="2354" ht="15" customHeight="1">
      <c r="A2354" t="s">
        <v>5040</v>
      </c>
      <c r="B2354" t="s">
        <v>5041</v>
      </c>
      <c r="C2354" t="s">
        <v>1470</v>
      </c>
      <c r="D2354" t="s">
        <v>232</v>
      </c>
      <c r="E2354" t="s">
        <v>233</v>
      </c>
      <c r="M2354" s="19">
        <v>44792</v>
      </c>
      <c r="N2354" s="20"/>
      <c r="O2354" s="20"/>
    </row>
    <row r="2355" ht="15" customHeight="1">
      <c r="A2355" t="s">
        <v>5042</v>
      </c>
      <c r="B2355" t="s">
        <v>5043</v>
      </c>
      <c r="C2355" s="21" t="s">
        <v>227</v>
      </c>
      <c r="D2355" t="s">
        <v>250</v>
      </c>
      <c r="E2355" t="s">
        <v>251</v>
      </c>
      <c r="M2355" s="19">
        <v>44790</v>
      </c>
      <c r="N2355" s="19">
        <v>44805</v>
      </c>
      <c r="O2355" s="20"/>
    </row>
    <row r="2356" ht="15" customHeight="1">
      <c r="A2356" t="s">
        <v>5044</v>
      </c>
      <c r="B2356" t="s">
        <v>5045</v>
      </c>
      <c r="C2356" s="21" t="s">
        <v>227</v>
      </c>
      <c r="D2356" t="s">
        <v>250</v>
      </c>
      <c r="E2356" t="s">
        <v>251</v>
      </c>
      <c r="M2356" s="19">
        <v>44790</v>
      </c>
      <c r="N2356" s="19">
        <v>44805</v>
      </c>
      <c r="O2356" s="20"/>
    </row>
    <row r="2357" ht="15" customHeight="1">
      <c r="A2357" t="s">
        <v>5046</v>
      </c>
      <c r="B2357" t="s">
        <v>5047</v>
      </c>
      <c r="C2357" s="23" t="s">
        <v>309</v>
      </c>
      <c r="D2357" t="s">
        <v>813</v>
      </c>
      <c r="E2357" t="s">
        <v>814</v>
      </c>
      <c r="H2357">
        <v>1</v>
      </c>
      <c r="K2357" t="s">
        <v>4553</v>
      </c>
      <c r="L2357" t="s">
        <v>5048</v>
      </c>
      <c r="M2357" s="19">
        <v>44789</v>
      </c>
      <c r="N2357" s="20"/>
      <c r="O2357" s="20"/>
    </row>
    <row r="2358" ht="15" customHeight="1">
      <c r="A2358" t="s">
        <v>5049</v>
      </c>
      <c r="B2358" t="s">
        <v>5050</v>
      </c>
      <c r="C2358" s="21" t="s">
        <v>227</v>
      </c>
      <c r="D2358" t="s">
        <v>250</v>
      </c>
      <c r="E2358" t="s">
        <v>251</v>
      </c>
      <c r="M2358" s="19">
        <v>44789</v>
      </c>
      <c r="N2358" s="20"/>
      <c r="O2358" s="20"/>
    </row>
    <row r="2359" ht="15" customHeight="1">
      <c r="A2359" t="s">
        <v>5051</v>
      </c>
      <c r="B2359" t="s">
        <v>5052</v>
      </c>
      <c r="C2359" s="21" t="s">
        <v>227</v>
      </c>
      <c r="D2359" t="s">
        <v>250</v>
      </c>
      <c r="E2359" t="s">
        <v>251</v>
      </c>
      <c r="M2359" s="19">
        <v>44789</v>
      </c>
      <c r="N2359" s="20"/>
      <c r="O2359" s="20"/>
    </row>
    <row r="2360" ht="15" customHeight="1">
      <c r="A2360" t="s">
        <v>5053</v>
      </c>
      <c r="B2360" t="s">
        <v>5054</v>
      </c>
      <c r="C2360" s="21" t="s">
        <v>227</v>
      </c>
      <c r="D2360" t="s">
        <v>813</v>
      </c>
      <c r="E2360" t="s">
        <v>814</v>
      </c>
      <c r="H2360">
        <v>7</v>
      </c>
      <c r="M2360" s="19">
        <v>44788</v>
      </c>
      <c r="N2360" s="20"/>
      <c r="O2360" s="20"/>
    </row>
    <row r="2361" ht="15" customHeight="1">
      <c r="A2361" t="s">
        <v>5055</v>
      </c>
      <c r="B2361" t="s">
        <v>5056</v>
      </c>
      <c r="C2361" s="21" t="s">
        <v>227</v>
      </c>
      <c r="D2361" t="s">
        <v>813</v>
      </c>
      <c r="E2361" t="s">
        <v>814</v>
      </c>
      <c r="H2361">
        <v>5</v>
      </c>
      <c r="M2361" s="19">
        <v>44788</v>
      </c>
      <c r="N2361" s="20"/>
      <c r="O2361" s="20"/>
    </row>
    <row r="2362" ht="15" customHeight="1">
      <c r="A2362" t="s">
        <v>5057</v>
      </c>
      <c r="B2362" t="s">
        <v>5058</v>
      </c>
      <c r="C2362" s="23" t="s">
        <v>309</v>
      </c>
      <c r="D2362" t="s">
        <v>813</v>
      </c>
      <c r="E2362" t="s">
        <v>814</v>
      </c>
      <c r="H2362">
        <v>5</v>
      </c>
      <c r="K2362" t="s">
        <v>4784</v>
      </c>
      <c r="M2362" s="19">
        <v>44788</v>
      </c>
      <c r="N2362" s="20"/>
      <c r="O2362" s="20"/>
    </row>
    <row r="2363" ht="15" customHeight="1">
      <c r="A2363" t="s">
        <v>5059</v>
      </c>
      <c r="B2363" t="s">
        <v>5060</v>
      </c>
      <c r="C2363" s="23" t="s">
        <v>309</v>
      </c>
      <c r="D2363" t="s">
        <v>813</v>
      </c>
      <c r="E2363" t="s">
        <v>814</v>
      </c>
      <c r="H2363">
        <v>8</v>
      </c>
      <c r="K2363" t="s">
        <v>4482</v>
      </c>
      <c r="L2363" t="s">
        <v>5061</v>
      </c>
      <c r="M2363" s="19">
        <v>44788</v>
      </c>
      <c r="N2363" s="19">
        <v>44798</v>
      </c>
      <c r="O2363" s="20"/>
    </row>
    <row r="2364" ht="15" customHeight="1">
      <c r="A2364" t="s">
        <v>5062</v>
      </c>
      <c r="B2364" t="s">
        <v>5063</v>
      </c>
      <c r="C2364" s="23" t="s">
        <v>309</v>
      </c>
      <c r="D2364" t="s">
        <v>813</v>
      </c>
      <c r="E2364" t="s">
        <v>814</v>
      </c>
      <c r="K2364" t="s">
        <v>4553</v>
      </c>
      <c r="L2364" t="s">
        <v>5061</v>
      </c>
      <c r="M2364" s="19">
        <v>44785</v>
      </c>
      <c r="N2364" s="19">
        <v>44798</v>
      </c>
      <c r="O2364" s="20"/>
    </row>
    <row r="2365" ht="15" customHeight="1">
      <c r="A2365" t="s">
        <v>5064</v>
      </c>
      <c r="B2365" t="s">
        <v>5065</v>
      </c>
      <c r="C2365" t="s">
        <v>1470</v>
      </c>
      <c r="D2365" t="s">
        <v>232</v>
      </c>
      <c r="E2365" t="s">
        <v>233</v>
      </c>
      <c r="M2365" s="19">
        <v>44785</v>
      </c>
      <c r="N2365" s="20"/>
      <c r="O2365" s="20"/>
    </row>
    <row r="2366" ht="15" customHeight="1">
      <c r="A2366" t="s">
        <v>5066</v>
      </c>
      <c r="B2366" t="s">
        <v>5067</v>
      </c>
      <c r="C2366" s="23" t="s">
        <v>309</v>
      </c>
      <c r="D2366" t="s">
        <v>813</v>
      </c>
      <c r="E2366" t="s">
        <v>814</v>
      </c>
      <c r="K2366" t="s">
        <v>4553</v>
      </c>
      <c r="L2366" t="s">
        <v>5061</v>
      </c>
      <c r="M2366" s="19">
        <v>44785</v>
      </c>
      <c r="N2366" s="19">
        <v>44784</v>
      </c>
      <c r="O2366" s="20"/>
    </row>
    <row r="2367" ht="15" customHeight="1">
      <c r="A2367" t="s">
        <v>5068</v>
      </c>
      <c r="B2367" t="s">
        <v>5069</v>
      </c>
      <c r="C2367" t="s">
        <v>222</v>
      </c>
      <c r="D2367" t="s">
        <v>223</v>
      </c>
      <c r="E2367" t="s">
        <v>224</v>
      </c>
      <c r="M2367" s="19">
        <v>44782</v>
      </c>
      <c r="N2367" s="20"/>
      <c r="O2367" s="20"/>
    </row>
    <row r="2368" ht="15" customHeight="1">
      <c r="A2368" t="s">
        <v>5070</v>
      </c>
      <c r="B2368" t="s">
        <v>5071</v>
      </c>
      <c r="C2368" s="21" t="s">
        <v>227</v>
      </c>
      <c r="D2368" t="s">
        <v>250</v>
      </c>
      <c r="E2368" t="s">
        <v>251</v>
      </c>
      <c r="H2368">
        <v>10</v>
      </c>
      <c r="K2368" t="s">
        <v>2133</v>
      </c>
      <c r="M2368" s="19">
        <v>44782</v>
      </c>
      <c r="N2368" s="20"/>
      <c r="O2368" s="20"/>
    </row>
    <row r="2369" ht="15" customHeight="1">
      <c r="A2369" t="s">
        <v>5072</v>
      </c>
      <c r="B2369" t="s">
        <v>5073</v>
      </c>
      <c r="C2369" s="21" t="s">
        <v>227</v>
      </c>
      <c r="D2369" t="s">
        <v>250</v>
      </c>
      <c r="E2369" t="s">
        <v>251</v>
      </c>
      <c r="M2369" s="19">
        <v>44781</v>
      </c>
      <c r="N2369" s="20"/>
      <c r="O2369" s="20"/>
    </row>
    <row r="2370" ht="15" customHeight="1">
      <c r="A2370" t="s">
        <v>5074</v>
      </c>
      <c r="B2370" t="s">
        <v>5075</v>
      </c>
      <c r="C2370" s="21" t="s">
        <v>227</v>
      </c>
      <c r="D2370" t="s">
        <v>250</v>
      </c>
      <c r="E2370" t="s">
        <v>251</v>
      </c>
      <c r="M2370" s="19">
        <v>44781</v>
      </c>
      <c r="N2370" s="20"/>
      <c r="O2370" s="20"/>
    </row>
    <row r="2371" ht="15" customHeight="1">
      <c r="A2371" t="s">
        <v>5076</v>
      </c>
      <c r="B2371" t="s">
        <v>5077</v>
      </c>
      <c r="C2371" s="22" t="s">
        <v>55</v>
      </c>
      <c r="D2371" t="s">
        <v>813</v>
      </c>
      <c r="E2371" t="s">
        <v>814</v>
      </c>
      <c r="K2371" t="s">
        <v>2927</v>
      </c>
      <c r="M2371" s="19">
        <v>44781</v>
      </c>
      <c r="N2371" s="19">
        <v>44784</v>
      </c>
      <c r="O2371" s="20"/>
    </row>
    <row r="2372" ht="15" customHeight="1">
      <c r="A2372" t="s">
        <v>5078</v>
      </c>
      <c r="B2372" t="s">
        <v>5079</v>
      </c>
      <c r="C2372" t="s">
        <v>1470</v>
      </c>
      <c r="D2372" t="s">
        <v>228</v>
      </c>
      <c r="E2372" t="s">
        <v>229</v>
      </c>
      <c r="M2372" s="19">
        <v>44778</v>
      </c>
      <c r="N2372" s="20"/>
      <c r="O2372" s="20"/>
    </row>
    <row r="2373" ht="15" customHeight="1">
      <c r="A2373" t="s">
        <v>5080</v>
      </c>
      <c r="B2373" t="s">
        <v>5081</v>
      </c>
      <c r="C2373" s="23" t="s">
        <v>309</v>
      </c>
      <c r="D2373" t="s">
        <v>250</v>
      </c>
      <c r="E2373" t="s">
        <v>251</v>
      </c>
      <c r="K2373" t="s">
        <v>2475</v>
      </c>
      <c r="M2373" s="19">
        <v>44778</v>
      </c>
      <c r="N2373" s="20"/>
      <c r="O2373" s="20"/>
    </row>
    <row r="2374" ht="15" customHeight="1">
      <c r="A2374" t="s">
        <v>5082</v>
      </c>
      <c r="B2374" t="s">
        <v>5083</v>
      </c>
      <c r="C2374" s="21" t="s">
        <v>227</v>
      </c>
      <c r="D2374" t="s">
        <v>250</v>
      </c>
      <c r="E2374" t="s">
        <v>251</v>
      </c>
      <c r="H2374">
        <v>5</v>
      </c>
      <c r="K2374" t="s">
        <v>1135</v>
      </c>
      <c r="M2374" s="19">
        <v>44776</v>
      </c>
      <c r="N2374" s="19">
        <v>44805</v>
      </c>
      <c r="O2374" s="20"/>
    </row>
    <row r="2375" ht="15" customHeight="1">
      <c r="A2375" t="s">
        <v>5084</v>
      </c>
      <c r="B2375" t="s">
        <v>5085</v>
      </c>
      <c r="C2375" s="23" t="s">
        <v>309</v>
      </c>
      <c r="D2375" t="s">
        <v>813</v>
      </c>
      <c r="E2375" t="s">
        <v>814</v>
      </c>
      <c r="K2375" t="s">
        <v>2934</v>
      </c>
      <c r="L2375" t="s">
        <v>5061</v>
      </c>
      <c r="M2375" s="19">
        <v>44774</v>
      </c>
      <c r="N2375" s="19">
        <v>44798</v>
      </c>
      <c r="O2375" s="20"/>
    </row>
    <row r="2376" ht="15" customHeight="1">
      <c r="A2376" t="s">
        <v>5086</v>
      </c>
      <c r="B2376" t="s">
        <v>5087</v>
      </c>
      <c r="C2376" s="23" t="s">
        <v>309</v>
      </c>
      <c r="D2376" t="s">
        <v>813</v>
      </c>
      <c r="E2376" t="s">
        <v>814</v>
      </c>
      <c r="H2376">
        <v>13</v>
      </c>
      <c r="K2376" t="s">
        <v>4784</v>
      </c>
      <c r="M2376" s="19">
        <v>44771</v>
      </c>
      <c r="N2376" s="19">
        <v>44811</v>
      </c>
      <c r="O2376" s="20"/>
    </row>
    <row r="2377" ht="15" customHeight="1">
      <c r="A2377" t="s">
        <v>5088</v>
      </c>
      <c r="B2377" t="s">
        <v>5089</v>
      </c>
      <c r="C2377" s="23" t="s">
        <v>309</v>
      </c>
      <c r="D2377" t="s">
        <v>813</v>
      </c>
      <c r="E2377" t="s">
        <v>814</v>
      </c>
      <c r="L2377" t="s">
        <v>4978</v>
      </c>
      <c r="M2377" s="19">
        <v>44770</v>
      </c>
      <c r="N2377" s="19">
        <v>44826</v>
      </c>
      <c r="O2377" s="20"/>
    </row>
    <row r="2378" ht="15" customHeight="1">
      <c r="A2378" t="s">
        <v>5090</v>
      </c>
      <c r="B2378" t="s">
        <v>5091</v>
      </c>
      <c r="C2378" s="21" t="s">
        <v>227</v>
      </c>
      <c r="D2378" t="s">
        <v>813</v>
      </c>
      <c r="E2378" t="s">
        <v>814</v>
      </c>
      <c r="H2378">
        <v>5</v>
      </c>
      <c r="L2378" t="s">
        <v>5061</v>
      </c>
      <c r="M2378" s="19">
        <v>44769</v>
      </c>
      <c r="N2378" s="20"/>
      <c r="O2378" s="20"/>
    </row>
    <row r="2379" ht="15" customHeight="1">
      <c r="A2379" t="s">
        <v>5092</v>
      </c>
      <c r="B2379" t="s">
        <v>5093</v>
      </c>
      <c r="C2379" s="23" t="s">
        <v>309</v>
      </c>
      <c r="D2379" t="s">
        <v>813</v>
      </c>
      <c r="E2379" t="s">
        <v>814</v>
      </c>
      <c r="L2379" t="s">
        <v>5061</v>
      </c>
      <c r="M2379" s="19">
        <v>44769</v>
      </c>
      <c r="N2379" s="20"/>
      <c r="O2379" s="20"/>
    </row>
    <row r="2380" ht="15" customHeight="1">
      <c r="A2380" t="s">
        <v>5094</v>
      </c>
      <c r="B2380" t="s">
        <v>5095</v>
      </c>
      <c r="C2380" s="23" t="s">
        <v>309</v>
      </c>
      <c r="D2380" t="s">
        <v>813</v>
      </c>
      <c r="E2380" t="s">
        <v>814</v>
      </c>
      <c r="M2380" s="19">
        <v>44768</v>
      </c>
      <c r="N2380" s="20"/>
      <c r="O2380" s="20"/>
    </row>
    <row r="2381" ht="15" customHeight="1">
      <c r="A2381" t="s">
        <v>5096</v>
      </c>
      <c r="B2381" t="s">
        <v>5097</v>
      </c>
      <c r="C2381" s="21" t="s">
        <v>227</v>
      </c>
      <c r="D2381" t="s">
        <v>250</v>
      </c>
      <c r="E2381" t="s">
        <v>251</v>
      </c>
      <c r="M2381" s="19">
        <v>44768</v>
      </c>
      <c r="N2381" s="20"/>
      <c r="O2381" s="20"/>
    </row>
    <row r="2382" ht="15" customHeight="1">
      <c r="A2382" t="s">
        <v>5098</v>
      </c>
      <c r="B2382" t="s">
        <v>5099</v>
      </c>
      <c r="C2382" s="21" t="s">
        <v>227</v>
      </c>
      <c r="D2382" t="s">
        <v>813</v>
      </c>
      <c r="E2382" t="s">
        <v>814</v>
      </c>
      <c r="H2382">
        <v>12</v>
      </c>
      <c r="K2382" t="s">
        <v>4784</v>
      </c>
      <c r="M2382" s="19">
        <v>44768</v>
      </c>
      <c r="N2382" s="20"/>
      <c r="O2382" s="20"/>
    </row>
    <row r="2383" ht="15" customHeight="1">
      <c r="A2383" t="s">
        <v>5100</v>
      </c>
      <c r="B2383" t="s">
        <v>5101</v>
      </c>
      <c r="C2383" t="s">
        <v>222</v>
      </c>
      <c r="D2383" t="s">
        <v>223</v>
      </c>
      <c r="E2383" t="s">
        <v>224</v>
      </c>
      <c r="M2383" s="19">
        <v>44768</v>
      </c>
      <c r="N2383" s="20"/>
      <c r="O2383" s="20"/>
    </row>
    <row r="2384" ht="15" customHeight="1">
      <c r="A2384" t="s">
        <v>5102</v>
      </c>
      <c r="B2384" t="s">
        <v>5103</v>
      </c>
      <c r="C2384" t="s">
        <v>1470</v>
      </c>
      <c r="D2384" t="s">
        <v>228</v>
      </c>
      <c r="E2384" t="s">
        <v>229</v>
      </c>
      <c r="M2384" s="19">
        <v>44767</v>
      </c>
      <c r="N2384" s="20"/>
      <c r="O2384" s="20"/>
    </row>
    <row r="2385" ht="15" customHeight="1">
      <c r="A2385" t="s">
        <v>5104</v>
      </c>
      <c r="B2385" t="s">
        <v>5105</v>
      </c>
      <c r="C2385" s="21" t="s">
        <v>227</v>
      </c>
      <c r="D2385" t="s">
        <v>813</v>
      </c>
      <c r="E2385" t="s">
        <v>814</v>
      </c>
      <c r="H2385">
        <v>5</v>
      </c>
      <c r="M2385" s="19">
        <v>44763</v>
      </c>
      <c r="N2385" s="20"/>
      <c r="O2385" s="20"/>
    </row>
    <row r="2386" ht="15" customHeight="1">
      <c r="A2386" t="s">
        <v>5106</v>
      </c>
      <c r="B2386" t="s">
        <v>5107</v>
      </c>
      <c r="C2386" s="23" t="s">
        <v>309</v>
      </c>
      <c r="D2386" t="s">
        <v>813</v>
      </c>
      <c r="E2386" t="s">
        <v>814</v>
      </c>
      <c r="K2386" t="s">
        <v>4482</v>
      </c>
      <c r="M2386" s="19">
        <v>44760</v>
      </c>
      <c r="N2386" s="19">
        <v>44770</v>
      </c>
      <c r="O2386" s="20"/>
    </row>
    <row r="2387" ht="15" customHeight="1">
      <c r="A2387" t="s">
        <v>5108</v>
      </c>
      <c r="B2387" t="s">
        <v>5109</v>
      </c>
      <c r="C2387" s="21" t="s">
        <v>227</v>
      </c>
      <c r="D2387" t="s">
        <v>813</v>
      </c>
      <c r="E2387" t="s">
        <v>814</v>
      </c>
      <c r="H2387">
        <v>3</v>
      </c>
      <c r="L2387" t="s">
        <v>5110</v>
      </c>
      <c r="M2387" s="19">
        <v>44755</v>
      </c>
      <c r="N2387" s="20"/>
      <c r="O2387" s="20"/>
    </row>
    <row r="2388" ht="15" customHeight="1">
      <c r="A2388" t="s">
        <v>5111</v>
      </c>
      <c r="B2388" t="s">
        <v>5112</v>
      </c>
      <c r="C2388" s="23" t="s">
        <v>309</v>
      </c>
      <c r="D2388" t="s">
        <v>813</v>
      </c>
      <c r="E2388" t="s">
        <v>814</v>
      </c>
      <c r="M2388" s="19">
        <v>44755</v>
      </c>
      <c r="N2388" s="20"/>
      <c r="O2388" s="20"/>
    </row>
    <row r="2389" ht="15" customHeight="1">
      <c r="A2389" t="s">
        <v>5113</v>
      </c>
      <c r="B2389" t="s">
        <v>5114</v>
      </c>
      <c r="C2389" s="21" t="s">
        <v>227</v>
      </c>
      <c r="D2389" t="s">
        <v>813</v>
      </c>
      <c r="E2389" t="s">
        <v>814</v>
      </c>
      <c r="H2389">
        <v>13</v>
      </c>
      <c r="M2389" s="19">
        <v>44755</v>
      </c>
      <c r="N2389" s="20"/>
      <c r="O2389" s="20"/>
    </row>
    <row r="2390" ht="15" customHeight="1">
      <c r="A2390" t="s">
        <v>5115</v>
      </c>
      <c r="B2390" t="s">
        <v>5116</v>
      </c>
      <c r="C2390" s="21" t="s">
        <v>227</v>
      </c>
      <c r="D2390" t="s">
        <v>813</v>
      </c>
      <c r="E2390" t="s">
        <v>814</v>
      </c>
      <c r="K2390" t="s">
        <v>2927</v>
      </c>
      <c r="M2390" s="19">
        <v>44755</v>
      </c>
      <c r="N2390" s="19">
        <v>44756</v>
      </c>
      <c r="O2390" s="20"/>
    </row>
    <row r="2391" ht="15" customHeight="1">
      <c r="A2391" t="s">
        <v>5117</v>
      </c>
      <c r="B2391" t="s">
        <v>5118</v>
      </c>
      <c r="C2391" s="21" t="s">
        <v>227</v>
      </c>
      <c r="D2391" t="s">
        <v>813</v>
      </c>
      <c r="E2391" t="s">
        <v>814</v>
      </c>
      <c r="K2391" t="s">
        <v>2927</v>
      </c>
      <c r="M2391" s="19">
        <v>44755</v>
      </c>
      <c r="N2391" s="19">
        <v>44756</v>
      </c>
      <c r="O2391" s="20"/>
    </row>
    <row r="2392" ht="15" customHeight="1">
      <c r="A2392" t="s">
        <v>5119</v>
      </c>
      <c r="B2392" t="s">
        <v>5120</v>
      </c>
      <c r="C2392" s="22" t="s">
        <v>55</v>
      </c>
      <c r="D2392" t="s">
        <v>813</v>
      </c>
      <c r="E2392" t="s">
        <v>814</v>
      </c>
      <c r="H2392">
        <v>44</v>
      </c>
      <c r="M2392" s="19">
        <v>44754</v>
      </c>
      <c r="N2392" s="20"/>
      <c r="O2392" s="20"/>
    </row>
    <row r="2393" ht="15" customHeight="1">
      <c r="A2393" t="s">
        <v>5121</v>
      </c>
      <c r="B2393" t="s">
        <v>5122</v>
      </c>
      <c r="C2393" s="21" t="s">
        <v>227</v>
      </c>
      <c r="D2393" t="s">
        <v>813</v>
      </c>
      <c r="E2393" t="s">
        <v>814</v>
      </c>
      <c r="M2393" s="19">
        <v>44754</v>
      </c>
      <c r="N2393" s="20"/>
      <c r="O2393" s="20"/>
    </row>
    <row r="2394" ht="15" customHeight="1">
      <c r="A2394" t="s">
        <v>5123</v>
      </c>
      <c r="B2394" t="s">
        <v>5124</v>
      </c>
      <c r="C2394" s="25" t="s">
        <v>999</v>
      </c>
      <c r="D2394" t="s">
        <v>223</v>
      </c>
      <c r="E2394" t="s">
        <v>224</v>
      </c>
      <c r="M2394" s="19">
        <v>44754</v>
      </c>
      <c r="N2394" s="20"/>
      <c r="O2394" s="20"/>
    </row>
    <row r="2395" ht="15" customHeight="1">
      <c r="A2395" t="s">
        <v>5125</v>
      </c>
      <c r="B2395" t="s">
        <v>5126</v>
      </c>
      <c r="C2395" s="22" t="s">
        <v>55</v>
      </c>
      <c r="D2395" t="s">
        <v>223</v>
      </c>
      <c r="E2395" t="s">
        <v>224</v>
      </c>
      <c r="H2395">
        <v>32</v>
      </c>
      <c r="M2395" s="19">
        <v>44754</v>
      </c>
      <c r="N2395" s="20"/>
      <c r="O2395" s="20"/>
    </row>
    <row r="2396" ht="15" customHeight="1">
      <c r="A2396" t="s">
        <v>5127</v>
      </c>
      <c r="B2396" t="s">
        <v>5128</v>
      </c>
      <c r="C2396" t="s">
        <v>222</v>
      </c>
      <c r="D2396" t="s">
        <v>223</v>
      </c>
      <c r="E2396" t="s">
        <v>224</v>
      </c>
      <c r="M2396" s="19">
        <v>44754</v>
      </c>
      <c r="N2396" s="20"/>
      <c r="O2396" s="20"/>
    </row>
    <row r="2397" ht="15" customHeight="1">
      <c r="A2397" t="s">
        <v>5129</v>
      </c>
      <c r="B2397" t="s">
        <v>5130</v>
      </c>
      <c r="C2397" s="21" t="s">
        <v>227</v>
      </c>
      <c r="D2397" t="s">
        <v>250</v>
      </c>
      <c r="E2397" t="s">
        <v>251</v>
      </c>
      <c r="K2397" t="s">
        <v>2133</v>
      </c>
      <c r="L2397" t="s">
        <v>5131</v>
      </c>
      <c r="M2397" s="19">
        <v>44754</v>
      </c>
      <c r="N2397" s="19">
        <v>44748</v>
      </c>
      <c r="O2397" s="20"/>
    </row>
    <row r="2398" ht="15" customHeight="1">
      <c r="A2398" t="s">
        <v>5132</v>
      </c>
      <c r="B2398" t="s">
        <v>5133</v>
      </c>
      <c r="C2398" t="s">
        <v>1470</v>
      </c>
      <c r="D2398" t="s">
        <v>228</v>
      </c>
      <c r="E2398" t="s">
        <v>229</v>
      </c>
      <c r="M2398" s="19">
        <v>44750</v>
      </c>
      <c r="N2398" s="20"/>
      <c r="O2398" s="20"/>
    </row>
    <row r="2399" ht="15" customHeight="1">
      <c r="A2399" t="s">
        <v>5134</v>
      </c>
      <c r="B2399" t="s">
        <v>5135</v>
      </c>
      <c r="C2399" s="21" t="s">
        <v>227</v>
      </c>
      <c r="D2399" t="s">
        <v>250</v>
      </c>
      <c r="E2399" t="s">
        <v>251</v>
      </c>
      <c r="H2399">
        <v>8</v>
      </c>
      <c r="M2399" s="19">
        <v>44749</v>
      </c>
      <c r="N2399" s="19">
        <v>44951</v>
      </c>
      <c r="O2399" s="20"/>
    </row>
    <row r="2400" ht="15" customHeight="1">
      <c r="A2400" t="s">
        <v>5136</v>
      </c>
      <c r="B2400" t="s">
        <v>5137</v>
      </c>
      <c r="C2400" s="23" t="s">
        <v>309</v>
      </c>
      <c r="D2400" t="s">
        <v>250</v>
      </c>
      <c r="E2400" t="s">
        <v>251</v>
      </c>
      <c r="M2400" s="19">
        <v>44749</v>
      </c>
      <c r="N2400" s="20"/>
      <c r="O2400" s="20"/>
    </row>
    <row r="2401" ht="15" customHeight="1">
      <c r="A2401" t="s">
        <v>5138</v>
      </c>
      <c r="B2401" t="s">
        <v>5139</v>
      </c>
      <c r="C2401" s="23" t="s">
        <v>309</v>
      </c>
      <c r="D2401" t="s">
        <v>250</v>
      </c>
      <c r="E2401" t="s">
        <v>251</v>
      </c>
      <c r="K2401" t="s">
        <v>2133</v>
      </c>
      <c r="L2401" t="s">
        <v>5131</v>
      </c>
      <c r="M2401" s="19">
        <v>44747</v>
      </c>
      <c r="N2401" s="20"/>
      <c r="O2401" s="20"/>
    </row>
    <row r="2402" ht="15" customHeight="1">
      <c r="A2402" t="s">
        <v>5140</v>
      </c>
      <c r="B2402" t="s">
        <v>5141</v>
      </c>
      <c r="C2402" s="23" t="s">
        <v>309</v>
      </c>
      <c r="D2402" t="s">
        <v>250</v>
      </c>
      <c r="E2402" t="s">
        <v>251</v>
      </c>
      <c r="K2402" t="s">
        <v>2133</v>
      </c>
      <c r="L2402" t="s">
        <v>5131</v>
      </c>
      <c r="M2402" s="19">
        <v>44747</v>
      </c>
      <c r="N2402" s="20"/>
      <c r="O2402" s="20"/>
    </row>
    <row r="2403" ht="15" customHeight="1">
      <c r="A2403" t="s">
        <v>5142</v>
      </c>
      <c r="B2403" t="s">
        <v>5143</v>
      </c>
      <c r="C2403" s="23" t="s">
        <v>309</v>
      </c>
      <c r="D2403" t="s">
        <v>232</v>
      </c>
      <c r="E2403" t="s">
        <v>233</v>
      </c>
      <c r="H2403">
        <v>3</v>
      </c>
      <c r="K2403" t="s">
        <v>3359</v>
      </c>
      <c r="M2403" s="19">
        <v>44742</v>
      </c>
      <c r="N2403" s="19">
        <v>44756</v>
      </c>
      <c r="O2403" s="20"/>
    </row>
    <row r="2404" ht="15" customHeight="1">
      <c r="A2404" t="s">
        <v>5144</v>
      </c>
      <c r="B2404" t="s">
        <v>5145</v>
      </c>
      <c r="C2404" s="21" t="s">
        <v>227</v>
      </c>
      <c r="D2404" t="s">
        <v>813</v>
      </c>
      <c r="E2404" t="s">
        <v>814</v>
      </c>
      <c r="H2404">
        <v>2</v>
      </c>
      <c r="M2404" s="19">
        <v>44742</v>
      </c>
      <c r="N2404" s="19">
        <v>44910</v>
      </c>
      <c r="O2404" s="20"/>
    </row>
    <row r="2405" ht="15" customHeight="1">
      <c r="A2405" t="s">
        <v>5146</v>
      </c>
      <c r="B2405" t="s">
        <v>5147</v>
      </c>
      <c r="C2405" s="21" t="s">
        <v>227</v>
      </c>
      <c r="D2405" t="s">
        <v>250</v>
      </c>
      <c r="E2405" t="s">
        <v>251</v>
      </c>
      <c r="M2405" s="19">
        <v>44741</v>
      </c>
      <c r="N2405" s="20"/>
      <c r="O2405" s="20"/>
    </row>
    <row r="2406" ht="15" customHeight="1">
      <c r="A2406" t="s">
        <v>5148</v>
      </c>
      <c r="B2406" t="s">
        <v>5149</v>
      </c>
      <c r="C2406" s="21" t="s">
        <v>227</v>
      </c>
      <c r="D2406" t="s">
        <v>250</v>
      </c>
      <c r="E2406" t="s">
        <v>251</v>
      </c>
      <c r="M2406" s="19">
        <v>44741</v>
      </c>
      <c r="N2406" s="20"/>
      <c r="O2406" s="20"/>
    </row>
    <row r="2407" ht="15" customHeight="1">
      <c r="A2407" t="s">
        <v>5150</v>
      </c>
      <c r="B2407" t="s">
        <v>5151</v>
      </c>
      <c r="C2407" s="21" t="s">
        <v>227</v>
      </c>
      <c r="D2407" t="s">
        <v>250</v>
      </c>
      <c r="E2407" t="s">
        <v>251</v>
      </c>
      <c r="M2407" s="19">
        <v>44741</v>
      </c>
      <c r="N2407" s="20"/>
      <c r="O2407" s="20"/>
    </row>
    <row r="2408" ht="15" customHeight="1">
      <c r="A2408" t="s">
        <v>5152</v>
      </c>
      <c r="B2408" t="s">
        <v>5153</v>
      </c>
      <c r="C2408" s="21" t="s">
        <v>227</v>
      </c>
      <c r="D2408" t="s">
        <v>250</v>
      </c>
      <c r="E2408" t="s">
        <v>251</v>
      </c>
      <c r="M2408" s="19">
        <v>44741</v>
      </c>
      <c r="N2408" s="20"/>
      <c r="O2408" s="20"/>
    </row>
    <row r="2409" ht="15" customHeight="1">
      <c r="A2409" t="s">
        <v>5154</v>
      </c>
      <c r="B2409" t="s">
        <v>5155</v>
      </c>
      <c r="C2409" t="s">
        <v>1057</v>
      </c>
      <c r="D2409" t="s">
        <v>223</v>
      </c>
      <c r="E2409" t="s">
        <v>224</v>
      </c>
      <c r="H2409">
        <v>7</v>
      </c>
      <c r="M2409" s="19">
        <v>44740</v>
      </c>
      <c r="N2409" s="19">
        <v>44926</v>
      </c>
      <c r="O2409" s="20"/>
    </row>
    <row r="2410" ht="15" customHeight="1">
      <c r="A2410" t="s">
        <v>5156</v>
      </c>
      <c r="B2410" t="s">
        <v>5157</v>
      </c>
      <c r="C2410" s="21" t="s">
        <v>227</v>
      </c>
      <c r="D2410" t="s">
        <v>250</v>
      </c>
      <c r="E2410" t="s">
        <v>251</v>
      </c>
      <c r="M2410" s="19">
        <v>44739</v>
      </c>
      <c r="N2410" s="20"/>
      <c r="O2410" s="20"/>
    </row>
    <row r="2411" ht="15" customHeight="1">
      <c r="A2411" t="s">
        <v>5158</v>
      </c>
      <c r="B2411" t="s">
        <v>5159</v>
      </c>
      <c r="C2411" s="23" t="s">
        <v>309</v>
      </c>
      <c r="D2411" t="s">
        <v>813</v>
      </c>
      <c r="E2411" t="s">
        <v>814</v>
      </c>
      <c r="M2411" s="19">
        <v>44735</v>
      </c>
      <c r="N2411" s="20"/>
      <c r="O2411" s="20"/>
    </row>
    <row r="2412" ht="15" customHeight="1">
      <c r="A2412" t="s">
        <v>5160</v>
      </c>
      <c r="B2412" t="s">
        <v>5161</v>
      </c>
      <c r="C2412" s="21" t="s">
        <v>227</v>
      </c>
      <c r="D2412" t="s">
        <v>813</v>
      </c>
      <c r="E2412" t="s">
        <v>814</v>
      </c>
      <c r="M2412" s="19">
        <v>44735</v>
      </c>
      <c r="N2412" s="20"/>
      <c r="O2412" s="20"/>
    </row>
    <row r="2413" ht="15" customHeight="1">
      <c r="A2413" t="s">
        <v>5162</v>
      </c>
      <c r="B2413" t="s">
        <v>5163</v>
      </c>
      <c r="C2413" s="21" t="s">
        <v>227</v>
      </c>
      <c r="D2413" t="s">
        <v>813</v>
      </c>
      <c r="E2413" t="s">
        <v>814</v>
      </c>
      <c r="H2413">
        <v>5</v>
      </c>
      <c r="L2413" t="s">
        <v>5110</v>
      </c>
      <c r="M2413" s="19">
        <v>44735</v>
      </c>
      <c r="N2413" s="20"/>
      <c r="O2413" s="20"/>
    </row>
    <row r="2414" ht="15" customHeight="1">
      <c r="A2414" t="s">
        <v>5164</v>
      </c>
      <c r="B2414" t="s">
        <v>5165</v>
      </c>
      <c r="C2414" s="23" t="s">
        <v>309</v>
      </c>
      <c r="D2414" t="s">
        <v>813</v>
      </c>
      <c r="E2414" t="s">
        <v>814</v>
      </c>
      <c r="M2414" s="19">
        <v>44735</v>
      </c>
      <c r="N2414" s="20"/>
      <c r="O2414" s="20"/>
    </row>
    <row r="2415" ht="15" customHeight="1">
      <c r="A2415" t="s">
        <v>5166</v>
      </c>
      <c r="B2415" t="s">
        <v>5167</v>
      </c>
      <c r="C2415" s="21" t="s">
        <v>227</v>
      </c>
      <c r="D2415" t="s">
        <v>813</v>
      </c>
      <c r="E2415" t="s">
        <v>814</v>
      </c>
      <c r="H2415">
        <v>5</v>
      </c>
      <c r="L2415" t="s">
        <v>5110</v>
      </c>
      <c r="M2415" s="19">
        <v>44735</v>
      </c>
      <c r="N2415" s="19">
        <v>44770</v>
      </c>
      <c r="O2415" s="20"/>
    </row>
    <row r="2416" ht="15" customHeight="1">
      <c r="A2416" t="s">
        <v>5168</v>
      </c>
      <c r="B2416" t="s">
        <v>5169</v>
      </c>
      <c r="C2416" s="23" t="s">
        <v>309</v>
      </c>
      <c r="D2416" t="s">
        <v>813</v>
      </c>
      <c r="E2416" t="s">
        <v>814</v>
      </c>
      <c r="M2416" s="19">
        <v>44735</v>
      </c>
      <c r="N2416" s="20"/>
      <c r="O2416" s="20"/>
    </row>
    <row r="2417" ht="15" customHeight="1">
      <c r="A2417" t="s">
        <v>5170</v>
      </c>
      <c r="B2417" t="s">
        <v>5171</v>
      </c>
      <c r="C2417" s="21" t="s">
        <v>227</v>
      </c>
      <c r="D2417" t="s">
        <v>813</v>
      </c>
      <c r="E2417" t="s">
        <v>814</v>
      </c>
      <c r="H2417">
        <v>5</v>
      </c>
      <c r="L2417" t="s">
        <v>5110</v>
      </c>
      <c r="M2417" s="19">
        <v>44735</v>
      </c>
      <c r="N2417" s="20"/>
      <c r="O2417" s="20"/>
    </row>
    <row r="2418" ht="15" customHeight="1">
      <c r="A2418" t="s">
        <v>5172</v>
      </c>
      <c r="B2418" t="s">
        <v>5173</v>
      </c>
      <c r="C2418" s="21" t="s">
        <v>227</v>
      </c>
      <c r="D2418" t="s">
        <v>813</v>
      </c>
      <c r="E2418" t="s">
        <v>814</v>
      </c>
      <c r="M2418" s="19">
        <v>44735</v>
      </c>
      <c r="N2418" s="20"/>
      <c r="O2418" s="20"/>
    </row>
    <row r="2419" ht="15" customHeight="1">
      <c r="A2419" t="s">
        <v>5174</v>
      </c>
      <c r="B2419" t="s">
        <v>5175</v>
      </c>
      <c r="C2419" s="23" t="s">
        <v>309</v>
      </c>
      <c r="D2419" t="s">
        <v>813</v>
      </c>
      <c r="E2419" t="s">
        <v>814</v>
      </c>
      <c r="M2419" s="19">
        <v>44735</v>
      </c>
      <c r="N2419" s="19">
        <v>44756</v>
      </c>
      <c r="O2419" s="20"/>
    </row>
    <row r="2420" ht="15" customHeight="1">
      <c r="A2420" t="s">
        <v>5176</v>
      </c>
      <c r="B2420" t="s">
        <v>5177</v>
      </c>
      <c r="C2420" s="21" t="s">
        <v>227</v>
      </c>
      <c r="D2420" t="s">
        <v>813</v>
      </c>
      <c r="E2420" t="s">
        <v>814</v>
      </c>
      <c r="M2420" s="19">
        <v>44735</v>
      </c>
      <c r="N2420" s="20"/>
      <c r="O2420" s="20"/>
    </row>
    <row r="2421" ht="15" customHeight="1">
      <c r="A2421" t="s">
        <v>5178</v>
      </c>
      <c r="B2421" t="s">
        <v>5179</v>
      </c>
      <c r="C2421" s="21" t="s">
        <v>227</v>
      </c>
      <c r="D2421" t="s">
        <v>813</v>
      </c>
      <c r="E2421" t="s">
        <v>814</v>
      </c>
      <c r="M2421" s="19">
        <v>44735</v>
      </c>
      <c r="N2421" s="20"/>
      <c r="O2421" s="20"/>
    </row>
    <row r="2422" ht="15" customHeight="1">
      <c r="A2422" t="s">
        <v>5180</v>
      </c>
      <c r="B2422" t="s">
        <v>5181</v>
      </c>
      <c r="C2422" s="23" t="s">
        <v>309</v>
      </c>
      <c r="D2422" t="s">
        <v>813</v>
      </c>
      <c r="E2422" t="s">
        <v>814</v>
      </c>
      <c r="M2422" s="19">
        <v>44735</v>
      </c>
      <c r="N2422" s="20"/>
      <c r="O2422" s="20"/>
    </row>
    <row r="2423" ht="15" customHeight="1">
      <c r="A2423" t="s">
        <v>5182</v>
      </c>
      <c r="B2423" t="s">
        <v>5183</v>
      </c>
      <c r="C2423" s="21" t="s">
        <v>227</v>
      </c>
      <c r="D2423" t="s">
        <v>813</v>
      </c>
      <c r="E2423" t="s">
        <v>814</v>
      </c>
      <c r="H2423">
        <v>5</v>
      </c>
      <c r="M2423" s="19">
        <v>44735</v>
      </c>
      <c r="N2423" s="20"/>
      <c r="O2423" s="20"/>
    </row>
    <row r="2424" ht="15" customHeight="1">
      <c r="A2424" t="s">
        <v>5184</v>
      </c>
      <c r="B2424" t="s">
        <v>5185</v>
      </c>
      <c r="C2424" s="23" t="s">
        <v>309</v>
      </c>
      <c r="D2424" t="s">
        <v>813</v>
      </c>
      <c r="E2424" t="s">
        <v>814</v>
      </c>
      <c r="H2424">
        <v>3</v>
      </c>
      <c r="K2424" t="s">
        <v>4553</v>
      </c>
      <c r="L2424" t="s">
        <v>5110</v>
      </c>
      <c r="M2424" s="19">
        <v>44735</v>
      </c>
      <c r="N2424" s="19">
        <v>44770</v>
      </c>
      <c r="O2424" s="20"/>
    </row>
    <row r="2425" ht="15" customHeight="1">
      <c r="A2425" t="s">
        <v>5186</v>
      </c>
      <c r="B2425" t="s">
        <v>5187</v>
      </c>
      <c r="C2425" s="21" t="s">
        <v>227</v>
      </c>
      <c r="D2425" t="s">
        <v>813</v>
      </c>
      <c r="E2425" t="s">
        <v>814</v>
      </c>
      <c r="M2425" s="19">
        <v>44735</v>
      </c>
      <c r="N2425" s="20"/>
      <c r="O2425" s="20"/>
    </row>
    <row r="2426" ht="15" customHeight="1">
      <c r="A2426" t="s">
        <v>5188</v>
      </c>
      <c r="B2426" t="s">
        <v>5189</v>
      </c>
      <c r="C2426" s="21" t="s">
        <v>227</v>
      </c>
      <c r="D2426" t="s">
        <v>813</v>
      </c>
      <c r="E2426" t="s">
        <v>814</v>
      </c>
      <c r="H2426">
        <v>5</v>
      </c>
      <c r="M2426" s="19">
        <v>44735</v>
      </c>
      <c r="N2426" s="19">
        <v>44910</v>
      </c>
      <c r="O2426" s="20"/>
    </row>
    <row r="2427" ht="15" customHeight="1">
      <c r="A2427" t="s">
        <v>5190</v>
      </c>
      <c r="B2427" t="s">
        <v>5191</v>
      </c>
      <c r="C2427" s="21" t="s">
        <v>227</v>
      </c>
      <c r="D2427" t="s">
        <v>813</v>
      </c>
      <c r="E2427" t="s">
        <v>814</v>
      </c>
      <c r="H2427">
        <v>0</v>
      </c>
      <c r="M2427" s="19">
        <v>44735</v>
      </c>
      <c r="N2427" s="20"/>
      <c r="O2427" s="20"/>
    </row>
    <row r="2428" ht="15" customHeight="1">
      <c r="A2428" t="s">
        <v>5192</v>
      </c>
      <c r="B2428" t="s">
        <v>5193</v>
      </c>
      <c r="C2428" s="21" t="s">
        <v>227</v>
      </c>
      <c r="D2428" t="s">
        <v>250</v>
      </c>
      <c r="E2428" t="s">
        <v>251</v>
      </c>
      <c r="M2428" s="19">
        <v>44735</v>
      </c>
      <c r="N2428" s="20"/>
      <c r="O2428" s="20"/>
    </row>
    <row r="2429" ht="15" customHeight="1">
      <c r="A2429" t="s">
        <v>5194</v>
      </c>
      <c r="B2429" t="s">
        <v>5195</v>
      </c>
      <c r="C2429" s="21" t="s">
        <v>227</v>
      </c>
      <c r="D2429" t="s">
        <v>250</v>
      </c>
      <c r="E2429" t="s">
        <v>251</v>
      </c>
      <c r="M2429" s="19">
        <v>44735</v>
      </c>
      <c r="N2429" s="20"/>
      <c r="O2429" s="20"/>
    </row>
    <row r="2430" ht="15" customHeight="1">
      <c r="A2430" t="s">
        <v>5196</v>
      </c>
      <c r="B2430" t="s">
        <v>5197</v>
      </c>
      <c r="C2430" s="21" t="s">
        <v>227</v>
      </c>
      <c r="D2430" t="s">
        <v>250</v>
      </c>
      <c r="E2430" t="s">
        <v>251</v>
      </c>
      <c r="M2430" s="19">
        <v>44735</v>
      </c>
      <c r="N2430" s="20"/>
      <c r="O2430" s="20"/>
    </row>
    <row r="2431" ht="15" customHeight="1">
      <c r="A2431" t="s">
        <v>5198</v>
      </c>
      <c r="B2431" t="s">
        <v>5199</v>
      </c>
      <c r="C2431" s="23" t="s">
        <v>309</v>
      </c>
      <c r="D2431" t="s">
        <v>250</v>
      </c>
      <c r="E2431" t="s">
        <v>251</v>
      </c>
      <c r="H2431">
        <v>3</v>
      </c>
      <c r="L2431" t="s">
        <v>5131</v>
      </c>
      <c r="M2431" s="19">
        <v>44734</v>
      </c>
      <c r="N2431" s="20"/>
      <c r="O2431" s="20"/>
    </row>
    <row r="2432" ht="15" customHeight="1">
      <c r="A2432" t="s">
        <v>5200</v>
      </c>
      <c r="B2432" t="s">
        <v>5201</v>
      </c>
      <c r="C2432" s="23" t="s">
        <v>309</v>
      </c>
      <c r="D2432" t="s">
        <v>813</v>
      </c>
      <c r="E2432" t="s">
        <v>814</v>
      </c>
      <c r="H2432">
        <v>5</v>
      </c>
      <c r="K2432" t="s">
        <v>5202</v>
      </c>
      <c r="L2432" t="s">
        <v>5203</v>
      </c>
      <c r="M2432" s="19">
        <v>44727</v>
      </c>
      <c r="N2432" s="20"/>
      <c r="O2432" s="20"/>
    </row>
    <row r="2433" ht="15" customHeight="1">
      <c r="A2433" t="s">
        <v>5204</v>
      </c>
      <c r="B2433" t="s">
        <v>5205</v>
      </c>
      <c r="C2433" t="s">
        <v>1057</v>
      </c>
      <c r="D2433" t="s">
        <v>223</v>
      </c>
      <c r="E2433" t="s">
        <v>224</v>
      </c>
      <c r="H2433">
        <v>0</v>
      </c>
      <c r="M2433" s="19">
        <v>44726</v>
      </c>
      <c r="N2433" s="20"/>
      <c r="O2433" s="20"/>
    </row>
    <row r="2434" ht="15" customHeight="1">
      <c r="A2434" t="s">
        <v>5206</v>
      </c>
      <c r="B2434" t="s">
        <v>5207</v>
      </c>
      <c r="C2434" s="22" t="s">
        <v>55</v>
      </c>
      <c r="D2434" t="s">
        <v>223</v>
      </c>
      <c r="E2434" t="s">
        <v>224</v>
      </c>
      <c r="H2434">
        <v>23</v>
      </c>
      <c r="M2434" s="19">
        <v>44726</v>
      </c>
      <c r="N2434" s="19">
        <v>44924</v>
      </c>
      <c r="O2434" s="20"/>
    </row>
    <row r="2435" ht="15" customHeight="1">
      <c r="A2435" t="s">
        <v>5208</v>
      </c>
      <c r="B2435" t="s">
        <v>5209</v>
      </c>
      <c r="C2435" t="s">
        <v>1057</v>
      </c>
      <c r="D2435" t="s">
        <v>223</v>
      </c>
      <c r="E2435" t="s">
        <v>224</v>
      </c>
      <c r="H2435">
        <v>0</v>
      </c>
      <c r="M2435" s="19">
        <v>44726</v>
      </c>
      <c r="N2435" s="20"/>
      <c r="O2435" s="20"/>
    </row>
    <row r="2436" ht="15" customHeight="1">
      <c r="A2436" t="s">
        <v>5210</v>
      </c>
      <c r="B2436" t="s">
        <v>5211</v>
      </c>
      <c r="C2436" t="s">
        <v>1057</v>
      </c>
      <c r="D2436" t="s">
        <v>223</v>
      </c>
      <c r="E2436" t="s">
        <v>224</v>
      </c>
      <c r="H2436">
        <v>0</v>
      </c>
      <c r="M2436" s="19">
        <v>44726</v>
      </c>
      <c r="N2436" s="20"/>
      <c r="O2436" s="20"/>
    </row>
    <row r="2437" ht="15" customHeight="1">
      <c r="A2437" t="s">
        <v>5212</v>
      </c>
      <c r="B2437" t="s">
        <v>5213</v>
      </c>
      <c r="C2437" t="s">
        <v>1057</v>
      </c>
      <c r="D2437" t="s">
        <v>223</v>
      </c>
      <c r="E2437" t="s">
        <v>224</v>
      </c>
      <c r="H2437">
        <v>11</v>
      </c>
      <c r="M2437" s="19">
        <v>44726</v>
      </c>
      <c r="N2437" s="19">
        <v>44924</v>
      </c>
      <c r="O2437" s="20"/>
    </row>
    <row r="2438" ht="15" customHeight="1">
      <c r="A2438" t="s">
        <v>5214</v>
      </c>
      <c r="B2438" t="s">
        <v>5215</v>
      </c>
      <c r="C2438" t="s">
        <v>222</v>
      </c>
      <c r="D2438" t="s">
        <v>223</v>
      </c>
      <c r="E2438" t="s">
        <v>224</v>
      </c>
      <c r="M2438" s="19">
        <v>44726</v>
      </c>
      <c r="N2438" s="20"/>
      <c r="O2438" s="20"/>
    </row>
    <row r="2439" ht="15" customHeight="1">
      <c r="A2439" t="s">
        <v>5216</v>
      </c>
      <c r="B2439" t="s">
        <v>5217</v>
      </c>
      <c r="C2439" s="23" t="s">
        <v>309</v>
      </c>
      <c r="D2439" t="s">
        <v>250</v>
      </c>
      <c r="E2439" t="s">
        <v>251</v>
      </c>
      <c r="H2439">
        <v>1</v>
      </c>
      <c r="K2439" t="s">
        <v>1135</v>
      </c>
      <c r="L2439" t="s">
        <v>5203</v>
      </c>
      <c r="M2439" s="19">
        <v>44725</v>
      </c>
      <c r="N2439" s="20"/>
      <c r="O2439" s="20"/>
    </row>
    <row r="2440" ht="15" customHeight="1">
      <c r="A2440" t="s">
        <v>5218</v>
      </c>
      <c r="B2440" t="s">
        <v>5219</v>
      </c>
      <c r="C2440" s="23" t="s">
        <v>309</v>
      </c>
      <c r="D2440" t="s">
        <v>813</v>
      </c>
      <c r="E2440" t="s">
        <v>814</v>
      </c>
      <c r="H2440">
        <v>3</v>
      </c>
      <c r="K2440" t="s">
        <v>5220</v>
      </c>
      <c r="M2440" s="19">
        <v>44722</v>
      </c>
      <c r="N2440" s="20"/>
      <c r="O2440" s="20"/>
    </row>
    <row r="2441" ht="15" customHeight="1">
      <c r="A2441" t="s">
        <v>5221</v>
      </c>
      <c r="B2441" t="s">
        <v>5222</v>
      </c>
      <c r="C2441" s="21" t="s">
        <v>227</v>
      </c>
      <c r="D2441" t="s">
        <v>250</v>
      </c>
      <c r="E2441" t="s">
        <v>251</v>
      </c>
      <c r="H2441">
        <v>61</v>
      </c>
      <c r="K2441" t="s">
        <v>2136</v>
      </c>
      <c r="M2441" s="19">
        <v>44722</v>
      </c>
      <c r="N2441" s="20"/>
      <c r="O2441" s="20"/>
    </row>
    <row r="2442" ht="15" customHeight="1">
      <c r="A2442" t="s">
        <v>5223</v>
      </c>
      <c r="B2442" t="s">
        <v>5224</v>
      </c>
      <c r="C2442" t="s">
        <v>1057</v>
      </c>
      <c r="D2442" t="s">
        <v>223</v>
      </c>
      <c r="E2442" t="s">
        <v>224</v>
      </c>
      <c r="H2442">
        <v>0</v>
      </c>
      <c r="M2442" s="19">
        <v>44722</v>
      </c>
      <c r="N2442" s="20"/>
      <c r="O2442" s="20"/>
    </row>
    <row r="2443" ht="15" customHeight="1">
      <c r="A2443" t="s">
        <v>5225</v>
      </c>
      <c r="B2443" t="s">
        <v>5226</v>
      </c>
      <c r="C2443" t="s">
        <v>222</v>
      </c>
      <c r="D2443" t="s">
        <v>223</v>
      </c>
      <c r="E2443" t="s">
        <v>224</v>
      </c>
      <c r="M2443" s="19">
        <v>44722</v>
      </c>
      <c r="N2443" s="20"/>
      <c r="O2443" s="20"/>
    </row>
    <row r="2444" ht="15" customHeight="1">
      <c r="A2444" t="s">
        <v>5227</v>
      </c>
      <c r="B2444" t="s">
        <v>5228</v>
      </c>
      <c r="C2444" s="21" t="s">
        <v>227</v>
      </c>
      <c r="D2444" t="s">
        <v>250</v>
      </c>
      <c r="E2444" t="s">
        <v>251</v>
      </c>
      <c r="M2444" s="19">
        <v>44721</v>
      </c>
      <c r="N2444" s="20"/>
      <c r="O2444" s="20"/>
    </row>
    <row r="2445" ht="15" customHeight="1">
      <c r="A2445" t="s">
        <v>5229</v>
      </c>
      <c r="B2445" t="s">
        <v>5230</v>
      </c>
      <c r="C2445" s="23" t="s">
        <v>309</v>
      </c>
      <c r="D2445" t="s">
        <v>813</v>
      </c>
      <c r="E2445" t="s">
        <v>814</v>
      </c>
      <c r="H2445">
        <v>1</v>
      </c>
      <c r="M2445" s="19">
        <v>44721</v>
      </c>
      <c r="N2445" s="20"/>
      <c r="O2445" s="20"/>
    </row>
    <row r="2446" ht="15" customHeight="1">
      <c r="A2446" t="s">
        <v>5231</v>
      </c>
      <c r="B2446" t="s">
        <v>5232</v>
      </c>
      <c r="C2446" s="21" t="s">
        <v>227</v>
      </c>
      <c r="D2446" t="s">
        <v>250</v>
      </c>
      <c r="E2446" t="s">
        <v>251</v>
      </c>
      <c r="M2446" s="19">
        <v>44720</v>
      </c>
      <c r="N2446" s="20"/>
      <c r="O2446" s="20"/>
    </row>
    <row r="2447" ht="15" customHeight="1">
      <c r="A2447" t="s">
        <v>5233</v>
      </c>
      <c r="B2447" t="s">
        <v>5234</v>
      </c>
      <c r="C2447" s="21" t="s">
        <v>227</v>
      </c>
      <c r="D2447" t="s">
        <v>250</v>
      </c>
      <c r="E2447" t="s">
        <v>251</v>
      </c>
      <c r="M2447" s="19">
        <v>44720</v>
      </c>
      <c r="N2447" s="20"/>
      <c r="O2447" s="20"/>
    </row>
    <row r="2448" ht="15" customHeight="1">
      <c r="A2448" t="s">
        <v>5235</v>
      </c>
      <c r="B2448" t="s">
        <v>5236</v>
      </c>
      <c r="C2448" s="21" t="s">
        <v>227</v>
      </c>
      <c r="D2448" t="s">
        <v>250</v>
      </c>
      <c r="E2448" t="s">
        <v>251</v>
      </c>
      <c r="M2448" s="19">
        <v>44720</v>
      </c>
      <c r="N2448" s="20"/>
      <c r="O2448" s="20"/>
    </row>
    <row r="2449" ht="15" customHeight="1">
      <c r="A2449" t="s">
        <v>5237</v>
      </c>
      <c r="B2449" t="s">
        <v>5238</v>
      </c>
      <c r="C2449" s="21" t="s">
        <v>227</v>
      </c>
      <c r="D2449" t="s">
        <v>250</v>
      </c>
      <c r="E2449" t="s">
        <v>251</v>
      </c>
      <c r="M2449" s="19">
        <v>44720</v>
      </c>
      <c r="N2449" s="20"/>
      <c r="O2449" s="20"/>
    </row>
    <row r="2450" ht="15" customHeight="1">
      <c r="A2450" t="s">
        <v>5239</v>
      </c>
      <c r="B2450" t="s">
        <v>5240</v>
      </c>
      <c r="C2450" s="21" t="s">
        <v>227</v>
      </c>
      <c r="D2450" t="s">
        <v>250</v>
      </c>
      <c r="E2450" t="s">
        <v>251</v>
      </c>
      <c r="M2450" s="19">
        <v>44720</v>
      </c>
      <c r="N2450" s="20"/>
      <c r="O2450" s="20"/>
    </row>
    <row r="2451" ht="15" customHeight="1">
      <c r="A2451" t="s">
        <v>5241</v>
      </c>
      <c r="B2451" t="s">
        <v>5242</v>
      </c>
      <c r="C2451" s="21" t="s">
        <v>227</v>
      </c>
      <c r="D2451" t="s">
        <v>250</v>
      </c>
      <c r="E2451" t="s">
        <v>251</v>
      </c>
      <c r="M2451" s="19">
        <v>44720</v>
      </c>
      <c r="N2451" s="20"/>
      <c r="O2451" s="20"/>
    </row>
    <row r="2452" ht="15" customHeight="1">
      <c r="A2452" t="s">
        <v>5243</v>
      </c>
      <c r="B2452" t="s">
        <v>5244</v>
      </c>
      <c r="C2452" s="21" t="s">
        <v>227</v>
      </c>
      <c r="D2452" t="s">
        <v>250</v>
      </c>
      <c r="E2452" t="s">
        <v>251</v>
      </c>
      <c r="M2452" s="19">
        <v>44720</v>
      </c>
      <c r="N2452" s="20"/>
      <c r="O2452" s="20"/>
    </row>
    <row r="2453" ht="15" customHeight="1">
      <c r="A2453" t="s">
        <v>5245</v>
      </c>
      <c r="B2453" t="s">
        <v>5246</v>
      </c>
      <c r="C2453" s="21" t="s">
        <v>227</v>
      </c>
      <c r="D2453" t="s">
        <v>250</v>
      </c>
      <c r="E2453" t="s">
        <v>251</v>
      </c>
      <c r="M2453" s="19">
        <v>44720</v>
      </c>
      <c r="N2453" s="20"/>
      <c r="O2453" s="20"/>
    </row>
    <row r="2454" ht="15" customHeight="1">
      <c r="A2454" t="s">
        <v>5247</v>
      </c>
      <c r="B2454" t="s">
        <v>5248</v>
      </c>
      <c r="C2454" s="21" t="s">
        <v>227</v>
      </c>
      <c r="D2454" t="s">
        <v>250</v>
      </c>
      <c r="E2454" t="s">
        <v>251</v>
      </c>
      <c r="M2454" s="19">
        <v>44720</v>
      </c>
      <c r="N2454" s="20"/>
      <c r="O2454" s="20"/>
    </row>
    <row r="2455" ht="15" customHeight="1">
      <c r="A2455" t="s">
        <v>5249</v>
      </c>
      <c r="B2455" t="s">
        <v>5250</v>
      </c>
      <c r="C2455" s="21" t="s">
        <v>227</v>
      </c>
      <c r="D2455" t="s">
        <v>250</v>
      </c>
      <c r="E2455" t="s">
        <v>251</v>
      </c>
      <c r="M2455" s="19">
        <v>44720</v>
      </c>
      <c r="N2455" s="20"/>
      <c r="O2455" s="20"/>
    </row>
    <row r="2456" ht="15" customHeight="1">
      <c r="A2456" t="s">
        <v>5251</v>
      </c>
      <c r="B2456" t="s">
        <v>5252</v>
      </c>
      <c r="C2456" s="21" t="s">
        <v>227</v>
      </c>
      <c r="D2456" t="s">
        <v>250</v>
      </c>
      <c r="E2456" t="s">
        <v>251</v>
      </c>
      <c r="M2456" s="19">
        <v>44720</v>
      </c>
      <c r="N2456" s="20"/>
      <c r="O2456" s="20"/>
    </row>
    <row r="2457" ht="15" customHeight="1">
      <c r="A2457" t="s">
        <v>5253</v>
      </c>
      <c r="B2457" t="s">
        <v>5254</v>
      </c>
      <c r="C2457" s="21" t="s">
        <v>227</v>
      </c>
      <c r="D2457" t="s">
        <v>250</v>
      </c>
      <c r="E2457" t="s">
        <v>251</v>
      </c>
      <c r="M2457" s="19">
        <v>44720</v>
      </c>
      <c r="N2457" s="20"/>
      <c r="O2457" s="20"/>
    </row>
    <row r="2458" ht="15" customHeight="1">
      <c r="A2458" t="s">
        <v>5255</v>
      </c>
      <c r="B2458" t="s">
        <v>5256</v>
      </c>
      <c r="C2458" s="23" t="s">
        <v>309</v>
      </c>
      <c r="D2458" t="s">
        <v>813</v>
      </c>
      <c r="E2458" t="s">
        <v>814</v>
      </c>
      <c r="H2458">
        <v>5</v>
      </c>
      <c r="K2458" t="s">
        <v>4553</v>
      </c>
      <c r="L2458" t="s">
        <v>5203</v>
      </c>
      <c r="M2458" s="19">
        <v>44720</v>
      </c>
      <c r="N2458" s="19">
        <v>44785</v>
      </c>
      <c r="O2458" s="20"/>
    </row>
    <row r="2459" ht="15" customHeight="1">
      <c r="A2459" t="s">
        <v>5257</v>
      </c>
      <c r="B2459" t="s">
        <v>5258</v>
      </c>
      <c r="C2459" s="23" t="s">
        <v>309</v>
      </c>
      <c r="D2459" t="s">
        <v>813</v>
      </c>
      <c r="E2459" t="s">
        <v>814</v>
      </c>
      <c r="K2459" t="s">
        <v>4553</v>
      </c>
      <c r="L2459" t="s">
        <v>5203</v>
      </c>
      <c r="M2459" s="19">
        <v>44720</v>
      </c>
      <c r="N2459" s="20"/>
      <c r="O2459" s="20"/>
    </row>
    <row r="2460" ht="15" customHeight="1">
      <c r="A2460" t="s">
        <v>5259</v>
      </c>
      <c r="B2460" t="s">
        <v>5260</v>
      </c>
      <c r="C2460" s="21" t="s">
        <v>227</v>
      </c>
      <c r="D2460" t="s">
        <v>813</v>
      </c>
      <c r="E2460" t="s">
        <v>814</v>
      </c>
      <c r="H2460">
        <v>2</v>
      </c>
      <c r="L2460" t="s">
        <v>5203</v>
      </c>
      <c r="M2460" s="19">
        <v>44720</v>
      </c>
      <c r="N2460" s="19">
        <v>44735</v>
      </c>
      <c r="O2460" s="20"/>
    </row>
    <row r="2461" ht="15" customHeight="1">
      <c r="A2461" t="s">
        <v>5261</v>
      </c>
      <c r="B2461" t="s">
        <v>5262</v>
      </c>
      <c r="C2461" s="21" t="s">
        <v>227</v>
      </c>
      <c r="D2461" t="s">
        <v>813</v>
      </c>
      <c r="E2461" t="s">
        <v>814</v>
      </c>
      <c r="H2461">
        <v>3</v>
      </c>
      <c r="M2461" s="19">
        <v>44720</v>
      </c>
      <c r="N2461" s="19">
        <v>44882</v>
      </c>
      <c r="O2461" s="20"/>
    </row>
    <row r="2462" ht="15" customHeight="1">
      <c r="A2462" t="s">
        <v>5263</v>
      </c>
      <c r="B2462" t="s">
        <v>5264</v>
      </c>
      <c r="C2462" t="s">
        <v>1057</v>
      </c>
      <c r="D2462" t="s">
        <v>223</v>
      </c>
      <c r="E2462" t="s">
        <v>224</v>
      </c>
      <c r="H2462">
        <v>17</v>
      </c>
      <c r="M2462" s="19">
        <v>44718</v>
      </c>
      <c r="N2462" s="20"/>
      <c r="O2462" s="20"/>
    </row>
    <row r="2463" ht="15" customHeight="1">
      <c r="A2463" t="s">
        <v>5265</v>
      </c>
      <c r="B2463" t="s">
        <v>5266</v>
      </c>
      <c r="C2463" t="s">
        <v>1057</v>
      </c>
      <c r="D2463" t="s">
        <v>223</v>
      </c>
      <c r="E2463" t="s">
        <v>224</v>
      </c>
      <c r="H2463">
        <v>0</v>
      </c>
      <c r="M2463" s="19">
        <v>44718</v>
      </c>
      <c r="N2463" s="20"/>
      <c r="O2463" s="20"/>
    </row>
    <row r="2464" ht="15" customHeight="1">
      <c r="A2464" t="s">
        <v>5267</v>
      </c>
      <c r="B2464" t="s">
        <v>5268</v>
      </c>
      <c r="C2464" t="s">
        <v>222</v>
      </c>
      <c r="D2464" t="s">
        <v>223</v>
      </c>
      <c r="E2464" t="s">
        <v>224</v>
      </c>
      <c r="M2464" s="19">
        <v>44718</v>
      </c>
      <c r="N2464" s="20"/>
      <c r="O2464" s="20"/>
    </row>
    <row r="2465" ht="15" customHeight="1">
      <c r="A2465" t="s">
        <v>5269</v>
      </c>
      <c r="B2465" t="s">
        <v>5270</v>
      </c>
      <c r="C2465" t="s">
        <v>1057</v>
      </c>
      <c r="D2465" t="s">
        <v>223</v>
      </c>
      <c r="E2465" t="s">
        <v>224</v>
      </c>
      <c r="H2465">
        <v>0</v>
      </c>
      <c r="M2465" s="19">
        <v>44717</v>
      </c>
      <c r="N2465" s="20"/>
      <c r="O2465" s="20"/>
    </row>
    <row r="2466" ht="15" customHeight="1">
      <c r="A2466" t="s">
        <v>5271</v>
      </c>
      <c r="B2466" t="s">
        <v>5272</v>
      </c>
      <c r="C2466" s="22" t="s">
        <v>55</v>
      </c>
      <c r="D2466" t="s">
        <v>223</v>
      </c>
      <c r="E2466" t="s">
        <v>224</v>
      </c>
      <c r="M2466" s="19">
        <v>44715</v>
      </c>
      <c r="N2466" s="20"/>
      <c r="O2466" s="20"/>
    </row>
    <row r="2467" ht="15" customHeight="1">
      <c r="A2467" t="s">
        <v>5273</v>
      </c>
      <c r="B2467" t="s">
        <v>5274</v>
      </c>
      <c r="C2467" t="s">
        <v>1470</v>
      </c>
      <c r="D2467" t="s">
        <v>232</v>
      </c>
      <c r="E2467" t="s">
        <v>233</v>
      </c>
      <c r="M2467" s="19">
        <v>44713</v>
      </c>
      <c r="N2467" s="20"/>
      <c r="O2467" s="20"/>
    </row>
    <row r="2468" ht="15" customHeight="1">
      <c r="A2468" t="s">
        <v>5275</v>
      </c>
      <c r="B2468" t="s">
        <v>5276</v>
      </c>
      <c r="C2468" t="s">
        <v>1057</v>
      </c>
      <c r="D2468" t="s">
        <v>223</v>
      </c>
      <c r="E2468" t="s">
        <v>224</v>
      </c>
      <c r="H2468">
        <v>0</v>
      </c>
      <c r="M2468" s="19">
        <v>44713</v>
      </c>
      <c r="N2468" s="20"/>
      <c r="O2468" s="20"/>
    </row>
    <row r="2469" ht="15" customHeight="1">
      <c r="A2469" t="s">
        <v>5277</v>
      </c>
      <c r="B2469" t="s">
        <v>5278</v>
      </c>
      <c r="C2469" t="s">
        <v>1057</v>
      </c>
      <c r="D2469" t="s">
        <v>223</v>
      </c>
      <c r="E2469" t="s">
        <v>224</v>
      </c>
      <c r="H2469">
        <v>0</v>
      </c>
      <c r="M2469" s="19">
        <v>44713</v>
      </c>
      <c r="N2469" s="20"/>
      <c r="O2469" s="20"/>
    </row>
    <row r="2470" ht="15" customHeight="1">
      <c r="A2470" t="s">
        <v>5279</v>
      </c>
      <c r="B2470" t="s">
        <v>5280</v>
      </c>
      <c r="C2470" t="s">
        <v>1057</v>
      </c>
      <c r="D2470" t="s">
        <v>223</v>
      </c>
      <c r="E2470" t="s">
        <v>224</v>
      </c>
      <c r="H2470">
        <v>0</v>
      </c>
      <c r="M2470" s="19">
        <v>44713</v>
      </c>
      <c r="N2470" s="20"/>
      <c r="O2470" s="20"/>
    </row>
    <row r="2471" ht="15" customHeight="1">
      <c r="A2471" t="s">
        <v>5281</v>
      </c>
      <c r="B2471" t="s">
        <v>5282</v>
      </c>
      <c r="C2471" t="s">
        <v>1057</v>
      </c>
      <c r="D2471" t="s">
        <v>223</v>
      </c>
      <c r="E2471" t="s">
        <v>224</v>
      </c>
      <c r="H2471">
        <v>0</v>
      </c>
      <c r="M2471" s="19">
        <v>44713</v>
      </c>
      <c r="N2471" s="20"/>
      <c r="O2471" s="20"/>
    </row>
    <row r="2472" ht="15" customHeight="1">
      <c r="A2472" t="s">
        <v>5283</v>
      </c>
      <c r="B2472" t="s">
        <v>4760</v>
      </c>
      <c r="C2472" t="s">
        <v>1057</v>
      </c>
      <c r="D2472" t="s">
        <v>223</v>
      </c>
      <c r="E2472" t="s">
        <v>224</v>
      </c>
      <c r="H2472">
        <v>0</v>
      </c>
      <c r="M2472" s="19">
        <v>44713</v>
      </c>
      <c r="N2472" s="20"/>
      <c r="O2472" s="20"/>
    </row>
    <row r="2473" ht="15" customHeight="1">
      <c r="A2473" t="s">
        <v>5284</v>
      </c>
      <c r="B2473" t="s">
        <v>5285</v>
      </c>
      <c r="C2473" t="s">
        <v>1057</v>
      </c>
      <c r="D2473" t="s">
        <v>223</v>
      </c>
      <c r="E2473" t="s">
        <v>224</v>
      </c>
      <c r="H2473">
        <v>0</v>
      </c>
      <c r="M2473" s="19">
        <v>44713</v>
      </c>
      <c r="N2473" s="20"/>
      <c r="O2473" s="20"/>
    </row>
    <row r="2474" ht="15" customHeight="1">
      <c r="A2474" t="s">
        <v>5286</v>
      </c>
      <c r="B2474" t="s">
        <v>5287</v>
      </c>
      <c r="C2474" t="s">
        <v>1057</v>
      </c>
      <c r="D2474" t="s">
        <v>223</v>
      </c>
      <c r="E2474" t="s">
        <v>224</v>
      </c>
      <c r="H2474">
        <v>0</v>
      </c>
      <c r="M2474" s="19">
        <v>44713</v>
      </c>
      <c r="N2474" s="20"/>
      <c r="O2474" s="20"/>
    </row>
    <row r="2475" ht="15" customHeight="1">
      <c r="A2475" t="s">
        <v>5288</v>
      </c>
      <c r="B2475" t="s">
        <v>5289</v>
      </c>
      <c r="C2475" t="s">
        <v>1057</v>
      </c>
      <c r="D2475" t="s">
        <v>223</v>
      </c>
      <c r="E2475" t="s">
        <v>224</v>
      </c>
      <c r="H2475">
        <v>0</v>
      </c>
      <c r="M2475" s="19">
        <v>44713</v>
      </c>
      <c r="N2475" s="20"/>
      <c r="O2475" s="20"/>
    </row>
    <row r="2476" ht="15" customHeight="1">
      <c r="A2476" t="s">
        <v>5290</v>
      </c>
      <c r="B2476" t="s">
        <v>5291</v>
      </c>
      <c r="C2476" t="s">
        <v>222</v>
      </c>
      <c r="D2476" t="s">
        <v>223</v>
      </c>
      <c r="E2476" t="s">
        <v>224</v>
      </c>
      <c r="M2476" s="19">
        <v>44713</v>
      </c>
      <c r="N2476" s="20"/>
      <c r="O2476" s="20"/>
    </row>
    <row r="2477" ht="15" customHeight="1">
      <c r="A2477" t="s">
        <v>5292</v>
      </c>
      <c r="B2477" t="s">
        <v>5293</v>
      </c>
      <c r="C2477" t="s">
        <v>222</v>
      </c>
      <c r="D2477" t="s">
        <v>223</v>
      </c>
      <c r="E2477" t="s">
        <v>224</v>
      </c>
      <c r="M2477" s="19">
        <v>44713</v>
      </c>
      <c r="N2477" s="20"/>
      <c r="O2477" s="20"/>
    </row>
    <row r="2478" ht="15" customHeight="1">
      <c r="A2478" t="s">
        <v>5294</v>
      </c>
      <c r="B2478" t="s">
        <v>5295</v>
      </c>
      <c r="C2478" s="22" t="s">
        <v>55</v>
      </c>
      <c r="D2478" t="s">
        <v>223</v>
      </c>
      <c r="E2478" t="s">
        <v>224</v>
      </c>
      <c r="K2478" t="s">
        <v>5296</v>
      </c>
      <c r="M2478" s="19">
        <v>44713</v>
      </c>
      <c r="N2478" s="19">
        <v>44925</v>
      </c>
      <c r="O2478" s="20"/>
    </row>
    <row r="2479" ht="15" customHeight="1">
      <c r="A2479" t="s">
        <v>5297</v>
      </c>
      <c r="B2479" t="s">
        <v>5298</v>
      </c>
      <c r="C2479" t="s">
        <v>1057</v>
      </c>
      <c r="D2479" t="s">
        <v>223</v>
      </c>
      <c r="E2479" t="s">
        <v>224</v>
      </c>
      <c r="H2479">
        <v>0</v>
      </c>
      <c r="M2479" s="19">
        <v>44712</v>
      </c>
      <c r="N2479" s="20"/>
      <c r="O2479" s="20"/>
    </row>
    <row r="2480" ht="15" customHeight="1">
      <c r="A2480" t="s">
        <v>5299</v>
      </c>
      <c r="B2480" t="s">
        <v>5300</v>
      </c>
      <c r="C2480" t="s">
        <v>1057</v>
      </c>
      <c r="D2480" t="s">
        <v>223</v>
      </c>
      <c r="E2480" t="s">
        <v>224</v>
      </c>
      <c r="H2480">
        <v>0</v>
      </c>
      <c r="M2480" s="19">
        <v>44712</v>
      </c>
      <c r="N2480" s="20"/>
      <c r="O2480" s="20"/>
    </row>
    <row r="2481" ht="15" customHeight="1">
      <c r="A2481" t="s">
        <v>5301</v>
      </c>
      <c r="B2481" t="s">
        <v>5302</v>
      </c>
      <c r="C2481" t="s">
        <v>1057</v>
      </c>
      <c r="D2481" t="s">
        <v>223</v>
      </c>
      <c r="E2481" t="s">
        <v>224</v>
      </c>
      <c r="H2481">
        <v>0</v>
      </c>
      <c r="M2481" s="19">
        <v>44712</v>
      </c>
      <c r="N2481" s="20"/>
      <c r="O2481" s="20"/>
    </row>
    <row r="2482" ht="15" customHeight="1">
      <c r="A2482" t="s">
        <v>5303</v>
      </c>
      <c r="B2482" t="s">
        <v>5304</v>
      </c>
      <c r="C2482" s="25" t="s">
        <v>999</v>
      </c>
      <c r="D2482" t="s">
        <v>223</v>
      </c>
      <c r="E2482" t="s">
        <v>224</v>
      </c>
      <c r="M2482" s="19">
        <v>44712</v>
      </c>
      <c r="N2482" s="20"/>
      <c r="O2482" s="20"/>
    </row>
    <row r="2483" ht="15" customHeight="1">
      <c r="A2483" t="s">
        <v>5305</v>
      </c>
      <c r="B2483" t="s">
        <v>5306</v>
      </c>
      <c r="C2483" s="25" t="s">
        <v>999</v>
      </c>
      <c r="D2483" t="s">
        <v>223</v>
      </c>
      <c r="E2483" t="s">
        <v>224</v>
      </c>
      <c r="M2483" s="19">
        <v>44712</v>
      </c>
      <c r="N2483" s="20"/>
      <c r="O2483" s="20"/>
    </row>
    <row r="2484" ht="15" customHeight="1">
      <c r="A2484" t="s">
        <v>5307</v>
      </c>
      <c r="B2484" t="s">
        <v>5308</v>
      </c>
      <c r="C2484" s="22" t="s">
        <v>55</v>
      </c>
      <c r="D2484" t="s">
        <v>223</v>
      </c>
      <c r="E2484" t="s">
        <v>224</v>
      </c>
      <c r="M2484" s="19">
        <v>44712</v>
      </c>
      <c r="N2484" s="20"/>
      <c r="O2484" s="20"/>
    </row>
    <row r="2485" ht="15" customHeight="1">
      <c r="A2485" t="s">
        <v>5309</v>
      </c>
      <c r="B2485" t="s">
        <v>5310</v>
      </c>
      <c r="C2485" t="s">
        <v>222</v>
      </c>
      <c r="D2485" t="s">
        <v>223</v>
      </c>
      <c r="E2485" t="s">
        <v>224</v>
      </c>
      <c r="M2485" s="19">
        <v>44712</v>
      </c>
      <c r="N2485" s="20"/>
      <c r="O2485" s="20"/>
    </row>
    <row r="2486" ht="15" customHeight="1">
      <c r="A2486" t="s">
        <v>5311</v>
      </c>
      <c r="B2486" t="s">
        <v>5312</v>
      </c>
      <c r="C2486" s="22" t="s">
        <v>55</v>
      </c>
      <c r="D2486" t="s">
        <v>223</v>
      </c>
      <c r="E2486" t="s">
        <v>224</v>
      </c>
      <c r="M2486" s="19">
        <v>44712</v>
      </c>
      <c r="N2486" s="20"/>
      <c r="O2486" s="20"/>
    </row>
    <row r="2487" ht="15" customHeight="1">
      <c r="A2487" t="s">
        <v>5313</v>
      </c>
      <c r="B2487" t="s">
        <v>5314</v>
      </c>
      <c r="C2487" t="s">
        <v>222</v>
      </c>
      <c r="D2487" t="s">
        <v>223</v>
      </c>
      <c r="E2487" t="s">
        <v>224</v>
      </c>
      <c r="M2487" s="19">
        <v>44708</v>
      </c>
      <c r="N2487" s="20"/>
      <c r="O2487" s="20"/>
    </row>
    <row r="2488" ht="15" customHeight="1">
      <c r="A2488" t="s">
        <v>5315</v>
      </c>
      <c r="B2488" t="s">
        <v>5316</v>
      </c>
      <c r="C2488" s="25" t="s">
        <v>999</v>
      </c>
      <c r="D2488" t="s">
        <v>223</v>
      </c>
      <c r="E2488" t="s">
        <v>224</v>
      </c>
      <c r="M2488" s="19">
        <v>44708</v>
      </c>
      <c r="N2488" s="20"/>
      <c r="O2488" s="20"/>
    </row>
    <row r="2489" ht="15" customHeight="1">
      <c r="A2489" t="s">
        <v>5317</v>
      </c>
      <c r="B2489" t="s">
        <v>5318</v>
      </c>
      <c r="C2489" s="21" t="s">
        <v>227</v>
      </c>
      <c r="D2489" t="s">
        <v>250</v>
      </c>
      <c r="E2489" t="s">
        <v>251</v>
      </c>
      <c r="M2489" s="19">
        <v>44705</v>
      </c>
      <c r="N2489" s="20"/>
      <c r="O2489" s="20"/>
    </row>
    <row r="2490" ht="15" customHeight="1">
      <c r="A2490" t="s">
        <v>5319</v>
      </c>
      <c r="B2490" t="s">
        <v>5320</v>
      </c>
      <c r="C2490" s="21" t="s">
        <v>227</v>
      </c>
      <c r="D2490" t="s">
        <v>250</v>
      </c>
      <c r="E2490" t="s">
        <v>251</v>
      </c>
      <c r="H2490">
        <v>1</v>
      </c>
      <c r="M2490" s="19">
        <v>44705</v>
      </c>
      <c r="N2490" s="20"/>
      <c r="O2490" s="20"/>
    </row>
    <row r="2491" ht="15" customHeight="1">
      <c r="A2491" t="s">
        <v>5321</v>
      </c>
      <c r="B2491" t="s">
        <v>5322</v>
      </c>
      <c r="C2491" s="21" t="s">
        <v>227</v>
      </c>
      <c r="D2491" t="s">
        <v>250</v>
      </c>
      <c r="E2491" t="s">
        <v>251</v>
      </c>
      <c r="H2491">
        <v>5</v>
      </c>
      <c r="M2491" s="19">
        <v>44705</v>
      </c>
      <c r="N2491" s="20"/>
      <c r="O2491" s="20"/>
    </row>
    <row r="2492" ht="15" customHeight="1">
      <c r="A2492" t="s">
        <v>5323</v>
      </c>
      <c r="B2492" t="s">
        <v>5324</v>
      </c>
      <c r="C2492" s="21" t="s">
        <v>227</v>
      </c>
      <c r="D2492" t="s">
        <v>250</v>
      </c>
      <c r="E2492" t="s">
        <v>251</v>
      </c>
      <c r="M2492" s="19">
        <v>44705</v>
      </c>
      <c r="N2492" s="20"/>
      <c r="O2492" s="20"/>
    </row>
    <row r="2493" ht="15" customHeight="1">
      <c r="A2493" t="s">
        <v>5325</v>
      </c>
      <c r="B2493" t="s">
        <v>5326</v>
      </c>
      <c r="C2493" s="21" t="s">
        <v>227</v>
      </c>
      <c r="D2493" t="s">
        <v>250</v>
      </c>
      <c r="E2493" t="s">
        <v>251</v>
      </c>
      <c r="H2493">
        <v>2</v>
      </c>
      <c r="M2493" s="19">
        <v>44705</v>
      </c>
      <c r="N2493" s="20"/>
      <c r="O2493" s="20"/>
    </row>
    <row r="2494" ht="15" customHeight="1">
      <c r="A2494" t="s">
        <v>5327</v>
      </c>
      <c r="B2494" t="s">
        <v>5328</v>
      </c>
      <c r="C2494" s="23" t="s">
        <v>309</v>
      </c>
      <c r="D2494" t="s">
        <v>813</v>
      </c>
      <c r="E2494" t="s">
        <v>814</v>
      </c>
      <c r="H2494">
        <v>3</v>
      </c>
      <c r="M2494" s="19">
        <v>44705</v>
      </c>
      <c r="N2494" s="19">
        <v>44756</v>
      </c>
      <c r="O2494" s="20"/>
    </row>
    <row r="2495" ht="15" customHeight="1">
      <c r="A2495" t="s">
        <v>5329</v>
      </c>
      <c r="B2495" t="s">
        <v>5330</v>
      </c>
      <c r="C2495" s="21" t="s">
        <v>227</v>
      </c>
      <c r="D2495" t="s">
        <v>250</v>
      </c>
      <c r="E2495" t="s">
        <v>251</v>
      </c>
      <c r="M2495" s="19">
        <v>44704</v>
      </c>
      <c r="N2495" s="20"/>
      <c r="O2495" s="20"/>
    </row>
    <row r="2496" ht="15" customHeight="1">
      <c r="A2496" t="s">
        <v>5331</v>
      </c>
      <c r="B2496" t="s">
        <v>5332</v>
      </c>
      <c r="C2496" t="s">
        <v>1057</v>
      </c>
      <c r="D2496" t="s">
        <v>223</v>
      </c>
      <c r="E2496" t="s">
        <v>224</v>
      </c>
      <c r="H2496">
        <v>0</v>
      </c>
      <c r="M2496" s="19">
        <v>44699</v>
      </c>
      <c r="N2496" s="20"/>
      <c r="O2496" s="20"/>
    </row>
    <row r="2497" ht="15" customHeight="1">
      <c r="A2497" t="s">
        <v>5333</v>
      </c>
      <c r="B2497" t="s">
        <v>5334</v>
      </c>
      <c r="C2497" t="s">
        <v>1057</v>
      </c>
      <c r="D2497" t="s">
        <v>223</v>
      </c>
      <c r="E2497" t="s">
        <v>224</v>
      </c>
      <c r="H2497">
        <v>0</v>
      </c>
      <c r="M2497" s="19">
        <v>44699</v>
      </c>
      <c r="N2497" s="20"/>
      <c r="O2497" s="20"/>
    </row>
    <row r="2498" ht="15" customHeight="1">
      <c r="A2498" t="s">
        <v>5335</v>
      </c>
      <c r="B2498" t="s">
        <v>5336</v>
      </c>
      <c r="C2498" t="s">
        <v>1470</v>
      </c>
      <c r="D2498" t="s">
        <v>232</v>
      </c>
      <c r="E2498" t="s">
        <v>233</v>
      </c>
      <c r="M2498" s="19">
        <v>44698</v>
      </c>
      <c r="N2498" s="20"/>
      <c r="O2498" s="20"/>
    </row>
    <row r="2499" ht="15" customHeight="1">
      <c r="A2499" t="s">
        <v>5337</v>
      </c>
      <c r="B2499" t="s">
        <v>5338</v>
      </c>
      <c r="C2499" s="23" t="s">
        <v>309</v>
      </c>
      <c r="D2499" t="s">
        <v>813</v>
      </c>
      <c r="E2499" t="s">
        <v>814</v>
      </c>
      <c r="H2499">
        <v>1</v>
      </c>
      <c r="K2499" t="s">
        <v>2927</v>
      </c>
      <c r="L2499" t="s">
        <v>5203</v>
      </c>
      <c r="M2499" s="19">
        <v>44697</v>
      </c>
      <c r="N2499" s="20"/>
      <c r="O2499" s="20"/>
    </row>
    <row r="2500" ht="15" customHeight="1">
      <c r="A2500" t="s">
        <v>5339</v>
      </c>
      <c r="B2500" t="s">
        <v>5340</v>
      </c>
      <c r="C2500" s="21" t="s">
        <v>227</v>
      </c>
      <c r="D2500" t="s">
        <v>250</v>
      </c>
      <c r="E2500" t="s">
        <v>251</v>
      </c>
      <c r="M2500" s="19">
        <v>44694</v>
      </c>
      <c r="N2500" s="20"/>
      <c r="O2500" s="20"/>
    </row>
    <row r="2501" ht="15" customHeight="1">
      <c r="A2501" t="s">
        <v>5341</v>
      </c>
      <c r="B2501" t="s">
        <v>5342</v>
      </c>
      <c r="C2501" s="21" t="s">
        <v>227</v>
      </c>
      <c r="D2501" t="s">
        <v>250</v>
      </c>
      <c r="E2501" t="s">
        <v>251</v>
      </c>
      <c r="M2501" s="19">
        <v>44694</v>
      </c>
      <c r="N2501" s="20"/>
      <c r="O2501" s="20"/>
    </row>
    <row r="2502" ht="15" customHeight="1">
      <c r="A2502" t="s">
        <v>5343</v>
      </c>
      <c r="B2502" t="s">
        <v>5344</v>
      </c>
      <c r="C2502" s="21" t="s">
        <v>227</v>
      </c>
      <c r="D2502" t="s">
        <v>250</v>
      </c>
      <c r="E2502" t="s">
        <v>251</v>
      </c>
      <c r="M2502" s="19">
        <v>44694</v>
      </c>
      <c r="N2502" s="20"/>
      <c r="O2502" s="20"/>
    </row>
    <row r="2503" ht="15" customHeight="1">
      <c r="A2503" t="s">
        <v>5345</v>
      </c>
      <c r="B2503" t="s">
        <v>5346</v>
      </c>
      <c r="C2503" s="23" t="s">
        <v>309</v>
      </c>
      <c r="D2503" t="s">
        <v>813</v>
      </c>
      <c r="E2503" t="s">
        <v>814</v>
      </c>
      <c r="H2503">
        <v>2</v>
      </c>
      <c r="K2503" t="s">
        <v>2927</v>
      </c>
      <c r="L2503" t="s">
        <v>5203</v>
      </c>
      <c r="M2503" s="19">
        <v>44692</v>
      </c>
      <c r="N2503" s="20"/>
      <c r="O2503" s="20"/>
    </row>
    <row r="2504" ht="15" customHeight="1">
      <c r="A2504" t="s">
        <v>5347</v>
      </c>
      <c r="B2504" t="s">
        <v>5348</v>
      </c>
      <c r="C2504" s="25" t="s">
        <v>999</v>
      </c>
      <c r="D2504" t="s">
        <v>223</v>
      </c>
      <c r="E2504" t="s">
        <v>224</v>
      </c>
      <c r="K2504" t="s">
        <v>5349</v>
      </c>
      <c r="M2504" s="19">
        <v>44692</v>
      </c>
      <c r="N2504" s="20"/>
      <c r="O2504" s="20"/>
    </row>
    <row r="2505" ht="15" customHeight="1">
      <c r="A2505" t="s">
        <v>5350</v>
      </c>
      <c r="B2505" t="s">
        <v>5351</v>
      </c>
      <c r="C2505" s="25" t="s">
        <v>999</v>
      </c>
      <c r="D2505" t="s">
        <v>223</v>
      </c>
      <c r="E2505" t="s">
        <v>224</v>
      </c>
      <c r="K2505" t="s">
        <v>5349</v>
      </c>
      <c r="M2505" s="19">
        <v>44692</v>
      </c>
      <c r="N2505" s="20"/>
      <c r="O2505" s="20"/>
    </row>
    <row r="2506" ht="15" customHeight="1">
      <c r="A2506" t="s">
        <v>5352</v>
      </c>
      <c r="B2506" t="s">
        <v>5353</v>
      </c>
      <c r="C2506" s="25" t="s">
        <v>999</v>
      </c>
      <c r="D2506" t="s">
        <v>223</v>
      </c>
      <c r="E2506" t="s">
        <v>224</v>
      </c>
      <c r="K2506" t="s">
        <v>3785</v>
      </c>
      <c r="M2506" s="19">
        <v>44692</v>
      </c>
      <c r="N2506" s="20"/>
      <c r="O2506" s="20"/>
    </row>
    <row r="2507" ht="15" customHeight="1">
      <c r="A2507" t="s">
        <v>5354</v>
      </c>
      <c r="B2507" t="s">
        <v>5355</v>
      </c>
      <c r="C2507" s="23" t="s">
        <v>309</v>
      </c>
      <c r="D2507" t="s">
        <v>813</v>
      </c>
      <c r="E2507" t="s">
        <v>814</v>
      </c>
      <c r="M2507" s="19">
        <v>44691</v>
      </c>
      <c r="N2507" s="20"/>
      <c r="O2507" s="20"/>
    </row>
    <row r="2508" ht="15" customHeight="1">
      <c r="A2508" t="s">
        <v>5356</v>
      </c>
      <c r="B2508" t="s">
        <v>5357</v>
      </c>
      <c r="C2508" s="21" t="s">
        <v>227</v>
      </c>
      <c r="D2508" t="s">
        <v>250</v>
      </c>
      <c r="E2508" t="s">
        <v>251</v>
      </c>
      <c r="M2508" s="19">
        <v>44690</v>
      </c>
      <c r="N2508" s="20"/>
      <c r="O2508" s="20"/>
    </row>
    <row r="2509" ht="15" customHeight="1">
      <c r="A2509" t="s">
        <v>5358</v>
      </c>
      <c r="B2509" t="s">
        <v>5359</v>
      </c>
      <c r="C2509" s="23" t="s">
        <v>309</v>
      </c>
      <c r="D2509" t="s">
        <v>813</v>
      </c>
      <c r="E2509" t="s">
        <v>814</v>
      </c>
      <c r="M2509" s="19">
        <v>44686</v>
      </c>
      <c r="N2509" s="20"/>
      <c r="O2509" s="20"/>
    </row>
    <row r="2510" ht="15" customHeight="1">
      <c r="A2510" t="s">
        <v>5360</v>
      </c>
      <c r="B2510" t="s">
        <v>5361</v>
      </c>
      <c r="C2510" s="23" t="s">
        <v>309</v>
      </c>
      <c r="D2510" t="s">
        <v>813</v>
      </c>
      <c r="E2510" t="s">
        <v>814</v>
      </c>
      <c r="M2510" s="19">
        <v>44686</v>
      </c>
      <c r="N2510" s="20"/>
      <c r="O2510" s="20"/>
    </row>
    <row r="2511" ht="15" customHeight="1">
      <c r="A2511" t="s">
        <v>5362</v>
      </c>
      <c r="B2511" t="s">
        <v>5363</v>
      </c>
      <c r="C2511" s="23" t="s">
        <v>309</v>
      </c>
      <c r="D2511" t="s">
        <v>813</v>
      </c>
      <c r="E2511" t="s">
        <v>814</v>
      </c>
      <c r="M2511" s="19">
        <v>44686</v>
      </c>
      <c r="N2511" s="20"/>
      <c r="O2511" s="20"/>
    </row>
    <row r="2512" ht="15" customHeight="1">
      <c r="A2512" t="s">
        <v>5364</v>
      </c>
      <c r="B2512" t="s">
        <v>5365</v>
      </c>
      <c r="C2512" s="24" t="s">
        <v>322</v>
      </c>
      <c r="D2512" t="s">
        <v>813</v>
      </c>
      <c r="E2512" t="s">
        <v>814</v>
      </c>
      <c r="H2512">
        <v>1</v>
      </c>
      <c r="K2512" t="s">
        <v>1135</v>
      </c>
      <c r="L2512" t="s">
        <v>5366</v>
      </c>
      <c r="M2512" s="19">
        <v>44685</v>
      </c>
      <c r="N2512" s="20"/>
      <c r="O2512" s="20"/>
    </row>
    <row r="2513" ht="15" customHeight="1">
      <c r="A2513" t="s">
        <v>5367</v>
      </c>
      <c r="B2513" t="s">
        <v>5368</v>
      </c>
      <c r="C2513" s="21" t="s">
        <v>227</v>
      </c>
      <c r="D2513" t="s">
        <v>250</v>
      </c>
      <c r="E2513" t="s">
        <v>251</v>
      </c>
      <c r="H2513">
        <v>2</v>
      </c>
      <c r="L2513" t="s">
        <v>5366</v>
      </c>
      <c r="M2513" s="19">
        <v>44684</v>
      </c>
      <c r="N2513" s="20"/>
      <c r="O2513" s="20"/>
    </row>
    <row r="2514" ht="15" customHeight="1">
      <c r="A2514" t="s">
        <v>5369</v>
      </c>
      <c r="B2514" t="s">
        <v>5370</v>
      </c>
      <c r="C2514" s="21" t="s">
        <v>227</v>
      </c>
      <c r="D2514" t="s">
        <v>813</v>
      </c>
      <c r="E2514" t="s">
        <v>814</v>
      </c>
      <c r="L2514" t="s">
        <v>5366</v>
      </c>
      <c r="M2514" s="19">
        <v>44683</v>
      </c>
      <c r="N2514" s="20"/>
      <c r="O2514" s="20"/>
    </row>
    <row r="2515" ht="15" customHeight="1">
      <c r="A2515" t="s">
        <v>5371</v>
      </c>
      <c r="B2515" t="s">
        <v>5372</v>
      </c>
      <c r="C2515" s="21" t="s">
        <v>227</v>
      </c>
      <c r="D2515" t="s">
        <v>813</v>
      </c>
      <c r="E2515" t="s">
        <v>814</v>
      </c>
      <c r="L2515" t="s">
        <v>5366</v>
      </c>
      <c r="M2515" s="19">
        <v>44683</v>
      </c>
      <c r="N2515" s="20"/>
      <c r="O2515" s="20"/>
    </row>
    <row r="2516" ht="15" customHeight="1">
      <c r="A2516" t="s">
        <v>5373</v>
      </c>
      <c r="B2516" t="s">
        <v>5374</v>
      </c>
      <c r="C2516" s="21" t="s">
        <v>227</v>
      </c>
      <c r="D2516" t="s">
        <v>250</v>
      </c>
      <c r="E2516" t="s">
        <v>251</v>
      </c>
      <c r="H2516">
        <v>34</v>
      </c>
      <c r="M2516" s="19">
        <v>44680</v>
      </c>
      <c r="N2516" s="20"/>
      <c r="O2516" s="20"/>
    </row>
    <row r="2517" ht="15" customHeight="1">
      <c r="A2517" t="s">
        <v>5375</v>
      </c>
      <c r="B2517" t="s">
        <v>5376</v>
      </c>
      <c r="C2517" s="21" t="s">
        <v>227</v>
      </c>
      <c r="D2517" t="s">
        <v>250</v>
      </c>
      <c r="E2517" t="s">
        <v>251</v>
      </c>
      <c r="H2517">
        <v>71</v>
      </c>
      <c r="M2517" s="19">
        <v>44680</v>
      </c>
      <c r="N2517" s="20"/>
      <c r="O2517" s="20"/>
    </row>
    <row r="2518" ht="15" customHeight="1">
      <c r="A2518" t="s">
        <v>5377</v>
      </c>
      <c r="B2518" t="s">
        <v>5378</v>
      </c>
      <c r="C2518" s="21" t="s">
        <v>227</v>
      </c>
      <c r="D2518" t="s">
        <v>250</v>
      </c>
      <c r="E2518" t="s">
        <v>251</v>
      </c>
      <c r="M2518" s="19">
        <v>44680</v>
      </c>
      <c r="N2518" s="20"/>
      <c r="O2518" s="20"/>
    </row>
    <row r="2519" ht="15" customHeight="1">
      <c r="A2519" t="s">
        <v>5379</v>
      </c>
      <c r="B2519" t="s">
        <v>5380</v>
      </c>
      <c r="C2519" s="23" t="s">
        <v>309</v>
      </c>
      <c r="D2519" t="s">
        <v>813</v>
      </c>
      <c r="E2519" t="s">
        <v>814</v>
      </c>
      <c r="K2519" t="s">
        <v>2927</v>
      </c>
      <c r="L2519" t="s">
        <v>5381</v>
      </c>
      <c r="M2519" s="19">
        <v>44680</v>
      </c>
      <c r="N2519" s="20"/>
      <c r="O2519" s="20"/>
    </row>
    <row r="2520" ht="15" customHeight="1">
      <c r="A2520" t="s">
        <v>5382</v>
      </c>
      <c r="B2520" t="s">
        <v>5181</v>
      </c>
      <c r="C2520" s="23" t="s">
        <v>309</v>
      </c>
      <c r="D2520" t="s">
        <v>813</v>
      </c>
      <c r="E2520" t="s">
        <v>814</v>
      </c>
      <c r="H2520">
        <v>3</v>
      </c>
      <c r="K2520" t="s">
        <v>2927</v>
      </c>
      <c r="L2520" t="s">
        <v>5203</v>
      </c>
      <c r="M2520" s="19">
        <v>44678</v>
      </c>
      <c r="N2520" s="20"/>
      <c r="O2520" s="20"/>
    </row>
    <row r="2521" ht="15" customHeight="1">
      <c r="A2521" t="s">
        <v>5383</v>
      </c>
      <c r="B2521" t="s">
        <v>5384</v>
      </c>
      <c r="C2521" s="23" t="s">
        <v>309</v>
      </c>
      <c r="D2521" t="s">
        <v>813</v>
      </c>
      <c r="E2521" t="s">
        <v>814</v>
      </c>
      <c r="M2521" s="19">
        <v>44678</v>
      </c>
      <c r="N2521" s="20"/>
      <c r="O2521" s="20"/>
    </row>
    <row r="2522" ht="15" customHeight="1">
      <c r="A2522" t="s">
        <v>5385</v>
      </c>
      <c r="B2522" t="s">
        <v>5386</v>
      </c>
      <c r="C2522" s="23" t="s">
        <v>309</v>
      </c>
      <c r="D2522" t="s">
        <v>813</v>
      </c>
      <c r="E2522" t="s">
        <v>814</v>
      </c>
      <c r="H2522">
        <v>5</v>
      </c>
      <c r="K2522" t="s">
        <v>3773</v>
      </c>
      <c r="L2522" t="s">
        <v>5381</v>
      </c>
      <c r="M2522" s="19">
        <v>44678</v>
      </c>
      <c r="N2522" s="20"/>
      <c r="O2522" s="20"/>
    </row>
    <row r="2523" ht="15" customHeight="1">
      <c r="A2523" t="s">
        <v>5387</v>
      </c>
      <c r="B2523" t="s">
        <v>5388</v>
      </c>
      <c r="C2523" s="21" t="s">
        <v>227</v>
      </c>
      <c r="D2523" t="s">
        <v>250</v>
      </c>
      <c r="E2523" t="s">
        <v>251</v>
      </c>
      <c r="M2523" s="19">
        <v>44677</v>
      </c>
      <c r="N2523" s="20"/>
      <c r="O2523" s="20"/>
    </row>
    <row r="2524" ht="15" customHeight="1">
      <c r="A2524" t="s">
        <v>5389</v>
      </c>
      <c r="B2524" t="s">
        <v>5390</v>
      </c>
      <c r="C2524" s="21" t="s">
        <v>227</v>
      </c>
      <c r="D2524" t="s">
        <v>250</v>
      </c>
      <c r="E2524" t="s">
        <v>251</v>
      </c>
      <c r="M2524" s="19">
        <v>44677</v>
      </c>
      <c r="N2524" s="20"/>
      <c r="O2524" s="20"/>
    </row>
    <row r="2525" ht="15" customHeight="1">
      <c r="A2525" t="s">
        <v>5391</v>
      </c>
      <c r="B2525" t="s">
        <v>5392</v>
      </c>
      <c r="C2525" s="23" t="s">
        <v>309</v>
      </c>
      <c r="D2525" t="s">
        <v>250</v>
      </c>
      <c r="E2525" t="s">
        <v>251</v>
      </c>
      <c r="H2525">
        <v>8</v>
      </c>
      <c r="M2525" s="19">
        <v>44677</v>
      </c>
      <c r="N2525" s="20"/>
      <c r="O2525" s="20"/>
    </row>
    <row r="2526" ht="15" customHeight="1">
      <c r="A2526" t="s">
        <v>5393</v>
      </c>
      <c r="B2526" t="s">
        <v>5394</v>
      </c>
      <c r="C2526" s="21" t="s">
        <v>227</v>
      </c>
      <c r="D2526" t="s">
        <v>250</v>
      </c>
      <c r="E2526" t="s">
        <v>251</v>
      </c>
      <c r="H2526">
        <v>5</v>
      </c>
      <c r="M2526" s="19">
        <v>44677</v>
      </c>
      <c r="N2526" s="20"/>
      <c r="O2526" s="20"/>
    </row>
    <row r="2527" ht="15" customHeight="1">
      <c r="A2527" t="s">
        <v>5395</v>
      </c>
      <c r="B2527" t="s">
        <v>5396</v>
      </c>
      <c r="C2527" s="21" t="s">
        <v>227</v>
      </c>
      <c r="D2527" t="s">
        <v>250</v>
      </c>
      <c r="E2527" t="s">
        <v>251</v>
      </c>
      <c r="M2527" s="19">
        <v>44676</v>
      </c>
      <c r="N2527" s="20"/>
      <c r="O2527" s="20"/>
    </row>
    <row r="2528" ht="15" customHeight="1">
      <c r="A2528" t="s">
        <v>5397</v>
      </c>
      <c r="B2528" t="s">
        <v>5398</v>
      </c>
      <c r="C2528" s="21" t="s">
        <v>227</v>
      </c>
      <c r="D2528" t="s">
        <v>250</v>
      </c>
      <c r="E2528" t="s">
        <v>251</v>
      </c>
      <c r="M2528" s="19">
        <v>44676</v>
      </c>
      <c r="N2528" s="20"/>
      <c r="O2528" s="20"/>
    </row>
    <row r="2529" ht="15" customHeight="1">
      <c r="A2529" t="s">
        <v>5399</v>
      </c>
      <c r="B2529" t="s">
        <v>5400</v>
      </c>
      <c r="C2529" s="21" t="s">
        <v>227</v>
      </c>
      <c r="D2529" t="s">
        <v>250</v>
      </c>
      <c r="E2529" t="s">
        <v>251</v>
      </c>
      <c r="M2529" s="19">
        <v>44676</v>
      </c>
      <c r="N2529" s="20"/>
      <c r="O2529" s="20"/>
    </row>
    <row r="2530" ht="15" customHeight="1">
      <c r="A2530" t="s">
        <v>5401</v>
      </c>
      <c r="B2530" t="s">
        <v>5402</v>
      </c>
      <c r="C2530" s="21" t="s">
        <v>227</v>
      </c>
      <c r="D2530" t="s">
        <v>250</v>
      </c>
      <c r="E2530" t="s">
        <v>251</v>
      </c>
      <c r="H2530">
        <v>3</v>
      </c>
      <c r="M2530" s="19">
        <v>44676</v>
      </c>
      <c r="N2530" s="20"/>
      <c r="O2530" s="20"/>
    </row>
    <row r="2531" ht="15" customHeight="1">
      <c r="A2531" t="s">
        <v>5403</v>
      </c>
      <c r="B2531" t="s">
        <v>5404</v>
      </c>
      <c r="C2531" s="21" t="s">
        <v>227</v>
      </c>
      <c r="D2531" t="s">
        <v>250</v>
      </c>
      <c r="E2531" t="s">
        <v>251</v>
      </c>
      <c r="M2531" s="19">
        <v>44673</v>
      </c>
      <c r="N2531" s="20"/>
      <c r="O2531" s="20"/>
    </row>
    <row r="2532" ht="15" customHeight="1">
      <c r="A2532" t="s">
        <v>5405</v>
      </c>
      <c r="B2532" t="s">
        <v>5406</v>
      </c>
      <c r="C2532" s="21" t="s">
        <v>227</v>
      </c>
      <c r="D2532" t="s">
        <v>250</v>
      </c>
      <c r="E2532" t="s">
        <v>251</v>
      </c>
      <c r="H2532">
        <v>3</v>
      </c>
      <c r="M2532" s="19">
        <v>44672</v>
      </c>
      <c r="N2532" s="20"/>
      <c r="O2532" s="20"/>
    </row>
    <row r="2533" ht="15" customHeight="1">
      <c r="A2533" t="s">
        <v>5407</v>
      </c>
      <c r="B2533" t="s">
        <v>5408</v>
      </c>
      <c r="C2533" s="21" t="s">
        <v>227</v>
      </c>
      <c r="D2533" t="s">
        <v>250</v>
      </c>
      <c r="E2533" t="s">
        <v>251</v>
      </c>
      <c r="M2533" s="19">
        <v>44671</v>
      </c>
      <c r="N2533" s="20"/>
      <c r="O2533" s="20"/>
    </row>
    <row r="2534" ht="15" customHeight="1">
      <c r="A2534" t="s">
        <v>5409</v>
      </c>
      <c r="B2534" t="s">
        <v>5410</v>
      </c>
      <c r="C2534" s="21" t="s">
        <v>227</v>
      </c>
      <c r="D2534" t="s">
        <v>250</v>
      </c>
      <c r="E2534" t="s">
        <v>251</v>
      </c>
      <c r="M2534" s="19">
        <v>44671</v>
      </c>
      <c r="N2534" s="20"/>
      <c r="O2534" s="20"/>
    </row>
    <row r="2535" ht="15" customHeight="1">
      <c r="A2535" t="s">
        <v>5411</v>
      </c>
      <c r="B2535" t="s">
        <v>5412</v>
      </c>
      <c r="C2535" s="21" t="s">
        <v>227</v>
      </c>
      <c r="D2535" t="s">
        <v>250</v>
      </c>
      <c r="E2535" t="s">
        <v>251</v>
      </c>
      <c r="M2535" s="19">
        <v>44671</v>
      </c>
      <c r="N2535" s="20"/>
      <c r="O2535" s="20"/>
    </row>
    <row r="2536" ht="15" customHeight="1">
      <c r="A2536" t="s">
        <v>5413</v>
      </c>
      <c r="B2536" t="s">
        <v>5414</v>
      </c>
      <c r="C2536" s="21" t="s">
        <v>227</v>
      </c>
      <c r="D2536" t="s">
        <v>250</v>
      </c>
      <c r="E2536" t="s">
        <v>251</v>
      </c>
      <c r="M2536" s="19">
        <v>44671</v>
      </c>
      <c r="N2536" s="20"/>
      <c r="O2536" s="20"/>
    </row>
    <row r="2537" ht="15" customHeight="1">
      <c r="A2537" t="s">
        <v>5415</v>
      </c>
      <c r="B2537" t="s">
        <v>5416</v>
      </c>
      <c r="C2537" s="21" t="s">
        <v>227</v>
      </c>
      <c r="D2537" t="s">
        <v>250</v>
      </c>
      <c r="E2537" t="s">
        <v>251</v>
      </c>
      <c r="M2537" s="19">
        <v>44671</v>
      </c>
      <c r="N2537" s="20"/>
      <c r="O2537" s="20"/>
    </row>
    <row r="2538" ht="15" customHeight="1">
      <c r="A2538" t="s">
        <v>5417</v>
      </c>
      <c r="B2538" t="s">
        <v>5418</v>
      </c>
      <c r="C2538" s="21" t="s">
        <v>227</v>
      </c>
      <c r="D2538" t="s">
        <v>250</v>
      </c>
      <c r="E2538" t="s">
        <v>251</v>
      </c>
      <c r="M2538" s="19">
        <v>44671</v>
      </c>
      <c r="N2538" s="20"/>
      <c r="O2538" s="20"/>
    </row>
    <row r="2539" ht="15" customHeight="1">
      <c r="A2539" t="s">
        <v>5419</v>
      </c>
      <c r="B2539" t="s">
        <v>5420</v>
      </c>
      <c r="C2539" s="23" t="s">
        <v>309</v>
      </c>
      <c r="D2539" t="s">
        <v>813</v>
      </c>
      <c r="E2539" t="s">
        <v>814</v>
      </c>
      <c r="M2539" s="19">
        <v>44671</v>
      </c>
      <c r="N2539" s="20"/>
      <c r="O2539" s="20"/>
    </row>
    <row r="2540" ht="15" customHeight="1">
      <c r="A2540" t="s">
        <v>5421</v>
      </c>
      <c r="B2540" t="s">
        <v>5422</v>
      </c>
      <c r="C2540" t="s">
        <v>1057</v>
      </c>
      <c r="D2540" t="s">
        <v>223</v>
      </c>
      <c r="E2540" t="s">
        <v>224</v>
      </c>
      <c r="H2540">
        <v>0</v>
      </c>
      <c r="M2540" s="19">
        <v>44671</v>
      </c>
      <c r="N2540" s="20"/>
      <c r="O2540" s="20"/>
    </row>
    <row r="2541" ht="15" customHeight="1">
      <c r="A2541" t="s">
        <v>5423</v>
      </c>
      <c r="B2541" t="s">
        <v>5424</v>
      </c>
      <c r="C2541" s="21" t="s">
        <v>227</v>
      </c>
      <c r="D2541" t="s">
        <v>250</v>
      </c>
      <c r="E2541" t="s">
        <v>251</v>
      </c>
      <c r="M2541" s="19">
        <v>44671</v>
      </c>
      <c r="N2541" s="20"/>
      <c r="O2541" s="20"/>
    </row>
    <row r="2542" ht="15" customHeight="1">
      <c r="A2542" t="s">
        <v>5425</v>
      </c>
      <c r="B2542" t="s">
        <v>5426</v>
      </c>
      <c r="C2542" t="s">
        <v>1057</v>
      </c>
      <c r="D2542" t="s">
        <v>223</v>
      </c>
      <c r="E2542" t="s">
        <v>224</v>
      </c>
      <c r="H2542">
        <v>0</v>
      </c>
      <c r="K2542" t="s">
        <v>3809</v>
      </c>
      <c r="M2542" s="19">
        <v>44671</v>
      </c>
      <c r="N2542" s="20"/>
      <c r="O2542" s="20"/>
    </row>
    <row r="2543" ht="15" customHeight="1">
      <c r="A2543" t="s">
        <v>5427</v>
      </c>
      <c r="B2543" t="s">
        <v>5428</v>
      </c>
      <c r="C2543" s="23" t="s">
        <v>309</v>
      </c>
      <c r="D2543" t="s">
        <v>813</v>
      </c>
      <c r="E2543" t="s">
        <v>814</v>
      </c>
      <c r="H2543">
        <v>2</v>
      </c>
      <c r="M2543" s="19">
        <v>44664</v>
      </c>
      <c r="N2543" s="20"/>
      <c r="O2543" s="20"/>
    </row>
    <row r="2544" ht="15" customHeight="1">
      <c r="A2544" t="s">
        <v>5429</v>
      </c>
      <c r="B2544" t="s">
        <v>5430</v>
      </c>
      <c r="C2544" s="23" t="s">
        <v>309</v>
      </c>
      <c r="D2544" t="s">
        <v>813</v>
      </c>
      <c r="E2544" t="s">
        <v>814</v>
      </c>
      <c r="H2544">
        <v>2</v>
      </c>
      <c r="M2544" s="19">
        <v>44664</v>
      </c>
      <c r="N2544" s="20"/>
      <c r="O2544" s="20"/>
    </row>
    <row r="2545" ht="15" customHeight="1">
      <c r="A2545" t="s">
        <v>5431</v>
      </c>
      <c r="B2545" t="s">
        <v>5432</v>
      </c>
      <c r="C2545" s="23" t="s">
        <v>309</v>
      </c>
      <c r="D2545" t="s">
        <v>813</v>
      </c>
      <c r="E2545" t="s">
        <v>814</v>
      </c>
      <c r="H2545">
        <v>2</v>
      </c>
      <c r="K2545" t="s">
        <v>4784</v>
      </c>
      <c r="L2545" t="s">
        <v>5381</v>
      </c>
      <c r="M2545" s="19">
        <v>44664</v>
      </c>
      <c r="N2545" s="20"/>
      <c r="O2545" s="20"/>
    </row>
    <row r="2546" ht="15" customHeight="1">
      <c r="A2546" t="s">
        <v>5433</v>
      </c>
      <c r="B2546" t="s">
        <v>5434</v>
      </c>
      <c r="C2546" s="23" t="s">
        <v>309</v>
      </c>
      <c r="D2546" t="s">
        <v>250</v>
      </c>
      <c r="E2546" t="s">
        <v>251</v>
      </c>
      <c r="K2546" t="s">
        <v>2475</v>
      </c>
      <c r="M2546" s="19">
        <v>44658</v>
      </c>
      <c r="N2546" s="20"/>
      <c r="O2546" s="19">
        <v>45754</v>
      </c>
    </row>
    <row r="2547" ht="15" customHeight="1">
      <c r="A2547" t="s">
        <v>5435</v>
      </c>
      <c r="B2547" t="s">
        <v>5436</v>
      </c>
      <c r="C2547" s="21" t="s">
        <v>227</v>
      </c>
      <c r="D2547" t="s">
        <v>813</v>
      </c>
      <c r="E2547" t="s">
        <v>814</v>
      </c>
      <c r="M2547" s="19">
        <v>44642</v>
      </c>
      <c r="N2547" s="20"/>
      <c r="O2547" s="20"/>
    </row>
    <row r="2548" ht="15" customHeight="1">
      <c r="A2548" t="s">
        <v>5437</v>
      </c>
      <c r="B2548" t="s">
        <v>5438</v>
      </c>
      <c r="C2548" s="21" t="s">
        <v>227</v>
      </c>
      <c r="D2548" t="s">
        <v>250</v>
      </c>
      <c r="E2548" t="s">
        <v>251</v>
      </c>
      <c r="H2548">
        <v>5</v>
      </c>
      <c r="M2548" s="19">
        <v>44638</v>
      </c>
      <c r="N2548" s="20"/>
      <c r="O2548" s="20"/>
    </row>
    <row r="2549" ht="15" customHeight="1">
      <c r="A2549" t="s">
        <v>5439</v>
      </c>
      <c r="B2549" t="s">
        <v>5440</v>
      </c>
      <c r="C2549" s="21" t="s">
        <v>227</v>
      </c>
      <c r="D2549" t="s">
        <v>250</v>
      </c>
      <c r="E2549" t="s">
        <v>251</v>
      </c>
      <c r="K2549" t="s">
        <v>2475</v>
      </c>
      <c r="M2549" s="19">
        <v>44636</v>
      </c>
      <c r="N2549" s="20"/>
      <c r="O2549" s="20"/>
    </row>
    <row r="2550" ht="15" customHeight="1">
      <c r="A2550" t="s">
        <v>5441</v>
      </c>
      <c r="B2550" t="s">
        <v>5442</v>
      </c>
      <c r="C2550" s="21" t="s">
        <v>227</v>
      </c>
      <c r="D2550" t="s">
        <v>250</v>
      </c>
      <c r="E2550" t="s">
        <v>251</v>
      </c>
      <c r="K2550" t="s">
        <v>2475</v>
      </c>
      <c r="M2550" s="19">
        <v>44636</v>
      </c>
      <c r="N2550" s="20"/>
      <c r="O2550" s="20"/>
    </row>
    <row r="2551" ht="15" customHeight="1">
      <c r="A2551" t="s">
        <v>5443</v>
      </c>
      <c r="B2551" t="s">
        <v>5444</v>
      </c>
      <c r="C2551" s="21" t="s">
        <v>227</v>
      </c>
      <c r="D2551" t="s">
        <v>250</v>
      </c>
      <c r="E2551" t="s">
        <v>251</v>
      </c>
      <c r="M2551" s="19">
        <v>44636</v>
      </c>
      <c r="N2551" s="20"/>
      <c r="O2551" s="20"/>
    </row>
    <row r="2552" ht="15" customHeight="1">
      <c r="A2552" t="s">
        <v>5445</v>
      </c>
      <c r="B2552" t="s">
        <v>5446</v>
      </c>
      <c r="C2552" s="21" t="s">
        <v>227</v>
      </c>
      <c r="D2552" t="s">
        <v>250</v>
      </c>
      <c r="E2552" t="s">
        <v>251</v>
      </c>
      <c r="H2552">
        <v>2</v>
      </c>
      <c r="L2552" t="s">
        <v>5447</v>
      </c>
      <c r="M2552" s="19">
        <v>44636</v>
      </c>
      <c r="N2552" s="20"/>
      <c r="O2552" s="20"/>
    </row>
    <row r="2553" ht="15" customHeight="1">
      <c r="A2553" t="s">
        <v>5448</v>
      </c>
      <c r="B2553" t="s">
        <v>5449</v>
      </c>
      <c r="C2553" s="22" t="s">
        <v>55</v>
      </c>
      <c r="D2553" t="s">
        <v>250</v>
      </c>
      <c r="E2553" t="s">
        <v>251</v>
      </c>
      <c r="K2553" t="s">
        <v>2475</v>
      </c>
      <c r="M2553" s="19">
        <v>44635</v>
      </c>
      <c r="N2553" s="19">
        <v>44742</v>
      </c>
      <c r="O2553" s="20"/>
    </row>
    <row r="2554" ht="15" customHeight="1">
      <c r="A2554" t="s">
        <v>5450</v>
      </c>
      <c r="B2554" t="s">
        <v>5451</v>
      </c>
      <c r="C2554" s="21" t="s">
        <v>227</v>
      </c>
      <c r="D2554" t="s">
        <v>250</v>
      </c>
      <c r="E2554" t="s">
        <v>251</v>
      </c>
      <c r="H2554">
        <v>1</v>
      </c>
      <c r="M2554" s="19">
        <v>44635</v>
      </c>
      <c r="N2554" s="20"/>
      <c r="O2554" s="20"/>
    </row>
    <row r="2555" ht="15" customHeight="1">
      <c r="A2555" t="s">
        <v>5452</v>
      </c>
      <c r="B2555" t="s">
        <v>5451</v>
      </c>
      <c r="C2555" s="21" t="s">
        <v>227</v>
      </c>
      <c r="D2555" t="s">
        <v>250</v>
      </c>
      <c r="E2555" t="s">
        <v>251</v>
      </c>
      <c r="H2555">
        <v>1</v>
      </c>
      <c r="M2555" s="19">
        <v>44635</v>
      </c>
      <c r="N2555" s="20"/>
      <c r="O2555" s="20"/>
    </row>
    <row r="2556" ht="15" customHeight="1">
      <c r="A2556" t="s">
        <v>5453</v>
      </c>
      <c r="B2556" t="s">
        <v>5451</v>
      </c>
      <c r="C2556" s="21" t="s">
        <v>227</v>
      </c>
      <c r="D2556" t="s">
        <v>250</v>
      </c>
      <c r="E2556" t="s">
        <v>251</v>
      </c>
      <c r="H2556">
        <v>1</v>
      </c>
      <c r="M2556" s="19">
        <v>44635</v>
      </c>
      <c r="N2556" s="20"/>
      <c r="O2556" s="20"/>
    </row>
    <row r="2557" ht="15" customHeight="1">
      <c r="A2557" t="s">
        <v>5454</v>
      </c>
      <c r="B2557" t="s">
        <v>5451</v>
      </c>
      <c r="C2557" s="21" t="s">
        <v>227</v>
      </c>
      <c r="D2557" t="s">
        <v>250</v>
      </c>
      <c r="E2557" t="s">
        <v>251</v>
      </c>
      <c r="H2557">
        <v>1</v>
      </c>
      <c r="M2557" s="19">
        <v>44635</v>
      </c>
      <c r="N2557" s="20"/>
      <c r="O2557" s="20"/>
    </row>
    <row r="2558" ht="15" customHeight="1">
      <c r="A2558" t="s">
        <v>5455</v>
      </c>
      <c r="B2558" t="s">
        <v>5451</v>
      </c>
      <c r="C2558" s="21" t="s">
        <v>227</v>
      </c>
      <c r="D2558" t="s">
        <v>250</v>
      </c>
      <c r="E2558" t="s">
        <v>251</v>
      </c>
      <c r="H2558">
        <v>1</v>
      </c>
      <c r="M2558" s="19">
        <v>44635</v>
      </c>
      <c r="N2558" s="20"/>
      <c r="O2558" s="20"/>
    </row>
    <row r="2559" ht="15" customHeight="1">
      <c r="A2559" t="s">
        <v>5456</v>
      </c>
      <c r="B2559" t="s">
        <v>5451</v>
      </c>
      <c r="C2559" s="21" t="s">
        <v>227</v>
      </c>
      <c r="D2559" t="s">
        <v>250</v>
      </c>
      <c r="E2559" t="s">
        <v>251</v>
      </c>
      <c r="H2559">
        <v>1</v>
      </c>
      <c r="M2559" s="19">
        <v>44635</v>
      </c>
      <c r="N2559" s="20"/>
      <c r="O2559" s="20"/>
    </row>
    <row r="2560" ht="15" customHeight="1">
      <c r="A2560" t="s">
        <v>5457</v>
      </c>
      <c r="B2560" t="s">
        <v>5451</v>
      </c>
      <c r="C2560" s="21" t="s">
        <v>227</v>
      </c>
      <c r="D2560" t="s">
        <v>250</v>
      </c>
      <c r="E2560" t="s">
        <v>251</v>
      </c>
      <c r="H2560">
        <v>1</v>
      </c>
      <c r="M2560" s="19">
        <v>44635</v>
      </c>
      <c r="N2560" s="20"/>
      <c r="O2560" s="20"/>
    </row>
    <row r="2561" ht="15" customHeight="1">
      <c r="A2561" t="s">
        <v>5458</v>
      </c>
      <c r="B2561" t="s">
        <v>5451</v>
      </c>
      <c r="C2561" s="21" t="s">
        <v>227</v>
      </c>
      <c r="D2561" t="s">
        <v>250</v>
      </c>
      <c r="E2561" t="s">
        <v>251</v>
      </c>
      <c r="H2561">
        <v>1</v>
      </c>
      <c r="M2561" s="19">
        <v>44635</v>
      </c>
      <c r="N2561" s="20"/>
      <c r="O2561" s="20"/>
    </row>
    <row r="2562" ht="15" customHeight="1">
      <c r="A2562" t="s">
        <v>5459</v>
      </c>
      <c r="B2562" t="s">
        <v>5451</v>
      </c>
      <c r="C2562" s="21" t="s">
        <v>227</v>
      </c>
      <c r="D2562" t="s">
        <v>250</v>
      </c>
      <c r="E2562" t="s">
        <v>251</v>
      </c>
      <c r="H2562">
        <v>1</v>
      </c>
      <c r="M2562" s="19">
        <v>44635</v>
      </c>
      <c r="N2562" s="20"/>
      <c r="O2562" s="20"/>
    </row>
    <row r="2563" ht="15" customHeight="1">
      <c r="A2563" t="s">
        <v>5460</v>
      </c>
      <c r="B2563" t="s">
        <v>5451</v>
      </c>
      <c r="C2563" s="21" t="s">
        <v>227</v>
      </c>
      <c r="D2563" t="s">
        <v>250</v>
      </c>
      <c r="E2563" t="s">
        <v>251</v>
      </c>
      <c r="H2563">
        <v>1</v>
      </c>
      <c r="M2563" s="19">
        <v>44635</v>
      </c>
      <c r="N2563" s="20"/>
      <c r="O2563" s="20"/>
    </row>
    <row r="2564" ht="15" customHeight="1">
      <c r="A2564" t="s">
        <v>5461</v>
      </c>
      <c r="B2564" t="s">
        <v>5451</v>
      </c>
      <c r="C2564" s="21" t="s">
        <v>227</v>
      </c>
      <c r="D2564" t="s">
        <v>250</v>
      </c>
      <c r="E2564" t="s">
        <v>251</v>
      </c>
      <c r="H2564">
        <v>1</v>
      </c>
      <c r="M2564" s="19">
        <v>44635</v>
      </c>
      <c r="N2564" s="20"/>
      <c r="O2564" s="20"/>
    </row>
    <row r="2565" ht="15" customHeight="1">
      <c r="A2565" t="s">
        <v>5462</v>
      </c>
      <c r="B2565" t="s">
        <v>5451</v>
      </c>
      <c r="C2565" s="21" t="s">
        <v>227</v>
      </c>
      <c r="D2565" t="s">
        <v>250</v>
      </c>
      <c r="E2565" t="s">
        <v>251</v>
      </c>
      <c r="H2565">
        <v>1</v>
      </c>
      <c r="M2565" s="19">
        <v>44635</v>
      </c>
      <c r="N2565" s="20"/>
      <c r="O2565" s="20"/>
    </row>
    <row r="2566" ht="15" customHeight="1">
      <c r="A2566" t="s">
        <v>5463</v>
      </c>
      <c r="B2566" t="s">
        <v>5451</v>
      </c>
      <c r="C2566" s="21" t="s">
        <v>227</v>
      </c>
      <c r="D2566" t="s">
        <v>250</v>
      </c>
      <c r="E2566" t="s">
        <v>251</v>
      </c>
      <c r="H2566">
        <v>1</v>
      </c>
      <c r="M2566" s="19">
        <v>44635</v>
      </c>
      <c r="N2566" s="20"/>
      <c r="O2566" s="20"/>
    </row>
    <row r="2567" ht="15" customHeight="1">
      <c r="A2567" t="s">
        <v>5464</v>
      </c>
      <c r="B2567" t="s">
        <v>5451</v>
      </c>
      <c r="C2567" s="21" t="s">
        <v>227</v>
      </c>
      <c r="D2567" t="s">
        <v>250</v>
      </c>
      <c r="E2567" t="s">
        <v>251</v>
      </c>
      <c r="H2567">
        <v>1</v>
      </c>
      <c r="M2567" s="19">
        <v>44635</v>
      </c>
      <c r="N2567" s="20"/>
      <c r="O2567" s="20"/>
    </row>
    <row r="2568" ht="15" customHeight="1">
      <c r="A2568" t="s">
        <v>5465</v>
      </c>
      <c r="B2568" t="s">
        <v>5451</v>
      </c>
      <c r="C2568" s="21" t="s">
        <v>227</v>
      </c>
      <c r="D2568" t="s">
        <v>250</v>
      </c>
      <c r="E2568" t="s">
        <v>251</v>
      </c>
      <c r="H2568">
        <v>1</v>
      </c>
      <c r="M2568" s="19">
        <v>44635</v>
      </c>
      <c r="N2568" s="20"/>
      <c r="O2568" s="20"/>
    </row>
    <row r="2569" ht="15" customHeight="1">
      <c r="A2569" t="s">
        <v>5466</v>
      </c>
      <c r="B2569" t="s">
        <v>5451</v>
      </c>
      <c r="C2569" s="21" t="s">
        <v>227</v>
      </c>
      <c r="D2569" t="s">
        <v>250</v>
      </c>
      <c r="E2569" t="s">
        <v>251</v>
      </c>
      <c r="H2569">
        <v>1</v>
      </c>
      <c r="M2569" s="19">
        <v>44635</v>
      </c>
      <c r="N2569" s="20"/>
      <c r="O2569" s="20"/>
    </row>
    <row r="2570" ht="15" customHeight="1">
      <c r="A2570" t="s">
        <v>5467</v>
      </c>
      <c r="B2570" t="s">
        <v>5451</v>
      </c>
      <c r="C2570" s="21" t="s">
        <v>227</v>
      </c>
      <c r="D2570" t="s">
        <v>250</v>
      </c>
      <c r="E2570" t="s">
        <v>251</v>
      </c>
      <c r="H2570">
        <v>1</v>
      </c>
      <c r="M2570" s="19">
        <v>44635</v>
      </c>
      <c r="N2570" s="20"/>
      <c r="O2570" s="20"/>
    </row>
    <row r="2571" ht="15" customHeight="1">
      <c r="A2571" t="s">
        <v>5468</v>
      </c>
      <c r="B2571" t="s">
        <v>5451</v>
      </c>
      <c r="C2571" s="21" t="s">
        <v>227</v>
      </c>
      <c r="D2571" t="s">
        <v>250</v>
      </c>
      <c r="E2571" t="s">
        <v>251</v>
      </c>
      <c r="H2571">
        <v>1</v>
      </c>
      <c r="M2571" s="19">
        <v>44635</v>
      </c>
      <c r="N2571" s="20"/>
      <c r="O2571" s="20"/>
    </row>
    <row r="2572" ht="15" customHeight="1">
      <c r="A2572" t="s">
        <v>5469</v>
      </c>
      <c r="B2572" t="s">
        <v>5451</v>
      </c>
      <c r="C2572" s="21" t="s">
        <v>227</v>
      </c>
      <c r="D2572" t="s">
        <v>250</v>
      </c>
      <c r="E2572" t="s">
        <v>251</v>
      </c>
      <c r="H2572">
        <v>1</v>
      </c>
      <c r="M2572" s="19">
        <v>44635</v>
      </c>
      <c r="N2572" s="20"/>
      <c r="O2572" s="20"/>
    </row>
    <row r="2573" ht="15" customHeight="1">
      <c r="A2573" t="s">
        <v>5470</v>
      </c>
      <c r="B2573" t="s">
        <v>5471</v>
      </c>
      <c r="C2573" s="21" t="s">
        <v>227</v>
      </c>
      <c r="D2573" t="s">
        <v>250</v>
      </c>
      <c r="E2573" t="s">
        <v>251</v>
      </c>
      <c r="H2573">
        <v>3</v>
      </c>
      <c r="M2573" s="19">
        <v>44635</v>
      </c>
      <c r="N2573" s="20"/>
      <c r="O2573" s="20"/>
    </row>
    <row r="2574" ht="15" customHeight="1">
      <c r="A2574" t="s">
        <v>5472</v>
      </c>
      <c r="B2574" t="s">
        <v>5473</v>
      </c>
      <c r="C2574" s="21" t="s">
        <v>227</v>
      </c>
      <c r="D2574" t="s">
        <v>250</v>
      </c>
      <c r="E2574" t="s">
        <v>251</v>
      </c>
      <c r="H2574">
        <v>5</v>
      </c>
      <c r="M2574" s="19">
        <v>44635</v>
      </c>
      <c r="N2574" s="20"/>
      <c r="O2574" s="20"/>
    </row>
    <row r="2575" ht="15" customHeight="1">
      <c r="A2575" t="s">
        <v>5474</v>
      </c>
      <c r="B2575" t="s">
        <v>5475</v>
      </c>
      <c r="C2575" s="23" t="s">
        <v>309</v>
      </c>
      <c r="D2575" t="s">
        <v>250</v>
      </c>
      <c r="E2575" t="s">
        <v>251</v>
      </c>
      <c r="M2575" s="19">
        <v>44635</v>
      </c>
      <c r="N2575" s="20"/>
      <c r="O2575" s="20"/>
    </row>
    <row r="2576" ht="15" customHeight="1">
      <c r="A2576" t="s">
        <v>5476</v>
      </c>
      <c r="B2576" t="s">
        <v>5477</v>
      </c>
      <c r="C2576" s="21" t="s">
        <v>227</v>
      </c>
      <c r="D2576" t="s">
        <v>250</v>
      </c>
      <c r="E2576" t="s">
        <v>251</v>
      </c>
      <c r="K2576" t="s">
        <v>2475</v>
      </c>
      <c r="M2576" s="19">
        <v>44635</v>
      </c>
      <c r="N2576" s="19">
        <v>44741</v>
      </c>
      <c r="O2576" s="20"/>
    </row>
    <row r="2577" ht="15" customHeight="1">
      <c r="A2577" t="s">
        <v>5478</v>
      </c>
      <c r="B2577" t="s">
        <v>5479</v>
      </c>
      <c r="C2577" s="21" t="s">
        <v>227</v>
      </c>
      <c r="D2577" t="s">
        <v>250</v>
      </c>
      <c r="E2577" t="s">
        <v>251</v>
      </c>
      <c r="K2577" t="s">
        <v>1135</v>
      </c>
      <c r="M2577" s="19">
        <v>44634</v>
      </c>
      <c r="N2577" s="20"/>
      <c r="O2577" s="20"/>
    </row>
    <row r="2578" ht="15" customHeight="1">
      <c r="A2578" t="s">
        <v>5480</v>
      </c>
      <c r="B2578" t="s">
        <v>5481</v>
      </c>
      <c r="C2578" s="21" t="s">
        <v>227</v>
      </c>
      <c r="D2578" t="s">
        <v>250</v>
      </c>
      <c r="E2578" t="s">
        <v>251</v>
      </c>
      <c r="K2578" t="s">
        <v>2475</v>
      </c>
      <c r="M2578" s="19">
        <v>44629</v>
      </c>
      <c r="N2578" s="19">
        <v>44741</v>
      </c>
      <c r="O2578" s="20"/>
    </row>
    <row r="2579" ht="15" customHeight="1">
      <c r="A2579" t="s">
        <v>5482</v>
      </c>
      <c r="B2579" t="s">
        <v>5483</v>
      </c>
      <c r="C2579" s="21" t="s">
        <v>227</v>
      </c>
      <c r="D2579" t="s">
        <v>250</v>
      </c>
      <c r="E2579" t="s">
        <v>251</v>
      </c>
      <c r="M2579" s="19">
        <v>44629</v>
      </c>
      <c r="N2579" s="20"/>
      <c r="O2579" s="20"/>
    </row>
    <row r="2580" ht="15" customHeight="1">
      <c r="A2580" t="s">
        <v>5484</v>
      </c>
      <c r="B2580" t="s">
        <v>5485</v>
      </c>
      <c r="C2580" s="21" t="s">
        <v>227</v>
      </c>
      <c r="D2580" t="s">
        <v>250</v>
      </c>
      <c r="E2580" t="s">
        <v>251</v>
      </c>
      <c r="K2580" t="s">
        <v>2475</v>
      </c>
      <c r="M2580" s="19">
        <v>44629</v>
      </c>
      <c r="N2580" s="20"/>
      <c r="O2580" s="20"/>
    </row>
    <row r="2581" ht="15" customHeight="1">
      <c r="A2581" t="s">
        <v>5486</v>
      </c>
      <c r="B2581" t="s">
        <v>5487</v>
      </c>
      <c r="C2581" s="21" t="s">
        <v>227</v>
      </c>
      <c r="D2581" t="s">
        <v>250</v>
      </c>
      <c r="E2581" t="s">
        <v>251</v>
      </c>
      <c r="M2581" s="19">
        <v>44624</v>
      </c>
      <c r="N2581" s="20"/>
      <c r="O2581" s="20"/>
    </row>
    <row r="2582" ht="15" customHeight="1">
      <c r="A2582" t="s">
        <v>5488</v>
      </c>
      <c r="B2582" t="s">
        <v>5489</v>
      </c>
      <c r="C2582" s="21" t="s">
        <v>227</v>
      </c>
      <c r="D2582" t="s">
        <v>813</v>
      </c>
      <c r="E2582" t="s">
        <v>814</v>
      </c>
      <c r="H2582">
        <v>31</v>
      </c>
      <c r="M2582" s="19">
        <v>44596</v>
      </c>
      <c r="N2582" s="20"/>
      <c r="O2582" s="20"/>
    </row>
    <row r="2583" ht="15" customHeight="1">
      <c r="A2583" t="s">
        <v>5490</v>
      </c>
      <c r="B2583" t="s">
        <v>5491</v>
      </c>
      <c r="C2583" t="s">
        <v>1057</v>
      </c>
      <c r="D2583" t="s">
        <v>223</v>
      </c>
      <c r="E2583" t="s">
        <v>224</v>
      </c>
      <c r="H2583">
        <v>0</v>
      </c>
      <c r="M2583" s="19">
        <v>44595</v>
      </c>
      <c r="N2583" s="20"/>
      <c r="O2583" s="20"/>
    </row>
    <row r="2584" ht="15" customHeight="1">
      <c r="A2584" t="s">
        <v>5492</v>
      </c>
      <c r="B2584" t="s">
        <v>5493</v>
      </c>
      <c r="C2584" s="23" t="s">
        <v>309</v>
      </c>
      <c r="D2584" t="s">
        <v>250</v>
      </c>
      <c r="E2584" t="s">
        <v>251</v>
      </c>
      <c r="K2584" t="s">
        <v>2475</v>
      </c>
      <c r="M2584" s="19">
        <v>44595</v>
      </c>
      <c r="N2584" s="20"/>
      <c r="O2584" s="20"/>
    </row>
    <row r="2585" ht="15" customHeight="1">
      <c r="A2585" t="s">
        <v>5494</v>
      </c>
      <c r="B2585" t="s">
        <v>5495</v>
      </c>
      <c r="C2585" s="23" t="s">
        <v>309</v>
      </c>
      <c r="D2585" t="s">
        <v>250</v>
      </c>
      <c r="E2585" t="s">
        <v>251</v>
      </c>
      <c r="K2585" t="s">
        <v>2475</v>
      </c>
      <c r="M2585" s="19">
        <v>44595</v>
      </c>
      <c r="N2585" s="20"/>
      <c r="O2585" s="20"/>
    </row>
    <row r="2586" ht="15" customHeight="1">
      <c r="A2586" t="s">
        <v>5496</v>
      </c>
      <c r="B2586" t="s">
        <v>5497</v>
      </c>
      <c r="C2586" s="23" t="s">
        <v>309</v>
      </c>
      <c r="D2586" t="s">
        <v>250</v>
      </c>
      <c r="E2586" t="s">
        <v>251</v>
      </c>
      <c r="K2586" t="s">
        <v>2475</v>
      </c>
      <c r="M2586" s="19">
        <v>44595</v>
      </c>
      <c r="N2586" s="20"/>
      <c r="O2586" s="20"/>
    </row>
    <row r="2587" ht="15" customHeight="1">
      <c r="A2587" t="s">
        <v>5498</v>
      </c>
      <c r="B2587" t="s">
        <v>5499</v>
      </c>
      <c r="C2587" s="23" t="s">
        <v>309</v>
      </c>
      <c r="D2587" t="s">
        <v>250</v>
      </c>
      <c r="E2587" t="s">
        <v>251</v>
      </c>
      <c r="K2587" t="s">
        <v>2475</v>
      </c>
      <c r="M2587" s="19">
        <v>44595</v>
      </c>
      <c r="N2587" s="20"/>
      <c r="O2587" s="20"/>
    </row>
    <row r="2588" ht="15" customHeight="1">
      <c r="A2588" t="s">
        <v>5500</v>
      </c>
      <c r="B2588" t="s">
        <v>5495</v>
      </c>
      <c r="C2588" s="23" t="s">
        <v>309</v>
      </c>
      <c r="D2588" t="s">
        <v>250</v>
      </c>
      <c r="E2588" t="s">
        <v>251</v>
      </c>
      <c r="K2588" t="s">
        <v>2475</v>
      </c>
      <c r="M2588" s="19">
        <v>44595</v>
      </c>
      <c r="N2588" s="20"/>
      <c r="O2588" s="20"/>
    </row>
    <row r="2589" ht="15" customHeight="1">
      <c r="A2589" t="s">
        <v>5501</v>
      </c>
      <c r="B2589" t="s">
        <v>5502</v>
      </c>
      <c r="C2589" s="23" t="s">
        <v>309</v>
      </c>
      <c r="D2589" t="s">
        <v>250</v>
      </c>
      <c r="E2589" t="s">
        <v>251</v>
      </c>
      <c r="K2589" t="s">
        <v>2475</v>
      </c>
      <c r="M2589" s="19">
        <v>44595</v>
      </c>
      <c r="N2589" s="20"/>
      <c r="O2589" s="20"/>
    </row>
    <row r="2590" ht="15" customHeight="1">
      <c r="A2590" t="s">
        <v>5503</v>
      </c>
      <c r="B2590" t="s">
        <v>5504</v>
      </c>
      <c r="C2590" s="23" t="s">
        <v>309</v>
      </c>
      <c r="D2590" t="s">
        <v>250</v>
      </c>
      <c r="E2590" t="s">
        <v>251</v>
      </c>
      <c r="K2590" t="s">
        <v>2475</v>
      </c>
      <c r="M2590" s="19">
        <v>44595</v>
      </c>
      <c r="N2590" s="20"/>
      <c r="O2590" s="19">
        <v>45754</v>
      </c>
    </row>
    <row r="2591" ht="15" customHeight="1">
      <c r="A2591" t="s">
        <v>5505</v>
      </c>
      <c r="B2591" t="s">
        <v>5506</v>
      </c>
      <c r="C2591" s="23" t="s">
        <v>309</v>
      </c>
      <c r="D2591" t="s">
        <v>250</v>
      </c>
      <c r="E2591" t="s">
        <v>251</v>
      </c>
      <c r="K2591" t="s">
        <v>2475</v>
      </c>
      <c r="M2591" s="19">
        <v>44580</v>
      </c>
      <c r="N2591" s="20"/>
      <c r="O2591" s="20"/>
    </row>
    <row r="2592" ht="15" customHeight="1">
      <c r="A2592" t="s">
        <v>5507</v>
      </c>
      <c r="B2592" t="s">
        <v>5508</v>
      </c>
      <c r="C2592" s="23" t="s">
        <v>309</v>
      </c>
      <c r="D2592" t="s">
        <v>250</v>
      </c>
      <c r="E2592" t="s">
        <v>251</v>
      </c>
      <c r="K2592" t="s">
        <v>2475</v>
      </c>
      <c r="M2592" s="19">
        <v>44580</v>
      </c>
      <c r="N2592" s="20"/>
      <c r="O2592" s="20"/>
    </row>
    <row r="2593" ht="15" customHeight="1">
      <c r="A2593" t="s">
        <v>5509</v>
      </c>
      <c r="B2593" t="s">
        <v>5510</v>
      </c>
      <c r="C2593" t="s">
        <v>1057</v>
      </c>
      <c r="D2593" t="s">
        <v>223</v>
      </c>
      <c r="E2593" t="s">
        <v>224</v>
      </c>
      <c r="H2593">
        <v>0</v>
      </c>
      <c r="M2593" s="19">
        <v>44567</v>
      </c>
      <c r="N2593" s="20"/>
      <c r="O2593" s="20"/>
    </row>
    <row r="2594" ht="15" customHeight="1">
      <c r="A2594" t="s">
        <v>5511</v>
      </c>
      <c r="B2594" t="s">
        <v>5512</v>
      </c>
      <c r="C2594" s="23" t="s">
        <v>309</v>
      </c>
      <c r="D2594" t="s">
        <v>813</v>
      </c>
      <c r="E2594" t="s">
        <v>814</v>
      </c>
      <c r="M2594" s="19">
        <v>44564</v>
      </c>
      <c r="N2594" s="20"/>
      <c r="O2594" s="20"/>
    </row>
    <row r="2595" ht="15" customHeight="1">
      <c r="A2595" t="s">
        <v>5513</v>
      </c>
      <c r="B2595" t="s">
        <v>5514</v>
      </c>
      <c r="C2595" t="s">
        <v>1057</v>
      </c>
      <c r="D2595" t="s">
        <v>223</v>
      </c>
      <c r="E2595" t="s">
        <v>224</v>
      </c>
      <c r="H2595">
        <v>0</v>
      </c>
      <c r="M2595" s="19">
        <v>44558</v>
      </c>
      <c r="N2595" s="20"/>
      <c r="O2595" s="20"/>
    </row>
    <row r="2596" ht="15" customHeight="1">
      <c r="A2596" t="s">
        <v>5515</v>
      </c>
      <c r="B2596" t="s">
        <v>5516</v>
      </c>
      <c r="C2596" t="s">
        <v>1057</v>
      </c>
      <c r="D2596" t="s">
        <v>223</v>
      </c>
      <c r="E2596" t="s">
        <v>224</v>
      </c>
      <c r="H2596">
        <v>0</v>
      </c>
      <c r="M2596" s="19">
        <v>44558</v>
      </c>
      <c r="N2596" s="20"/>
      <c r="O2596" s="20"/>
    </row>
    <row r="2597" ht="15" customHeight="1">
      <c r="A2597" t="s">
        <v>5517</v>
      </c>
      <c r="B2597" t="s">
        <v>5518</v>
      </c>
      <c r="C2597" s="21" t="s">
        <v>227</v>
      </c>
      <c r="D2597" t="s">
        <v>250</v>
      </c>
      <c r="E2597" t="s">
        <v>251</v>
      </c>
      <c r="H2597">
        <v>28</v>
      </c>
      <c r="K2597" t="s">
        <v>2475</v>
      </c>
      <c r="M2597" s="19">
        <v>44547</v>
      </c>
      <c r="N2597" s="19">
        <v>44696</v>
      </c>
      <c r="O2597" s="20"/>
    </row>
    <row r="2598" ht="15" customHeight="1">
      <c r="A2598" t="s">
        <v>5519</v>
      </c>
      <c r="B2598" t="s">
        <v>5520</v>
      </c>
      <c r="C2598" t="s">
        <v>1057</v>
      </c>
      <c r="D2598" t="s">
        <v>223</v>
      </c>
      <c r="E2598" t="s">
        <v>224</v>
      </c>
      <c r="H2598">
        <v>0</v>
      </c>
      <c r="M2598" s="19">
        <v>44544</v>
      </c>
      <c r="N2598" s="20"/>
      <c r="O2598" s="20"/>
    </row>
    <row r="2599" ht="15" customHeight="1">
      <c r="A2599" t="s">
        <v>5521</v>
      </c>
      <c r="B2599" t="s">
        <v>5522</v>
      </c>
      <c r="C2599" t="s">
        <v>1057</v>
      </c>
      <c r="D2599" t="s">
        <v>223</v>
      </c>
      <c r="E2599" t="s">
        <v>224</v>
      </c>
      <c r="H2599">
        <v>0</v>
      </c>
      <c r="M2599" s="19">
        <v>44538</v>
      </c>
      <c r="N2599" s="20"/>
      <c r="O2599" s="20"/>
    </row>
    <row r="2600" ht="15" customHeight="1">
      <c r="A2600" t="s">
        <v>5523</v>
      </c>
      <c r="B2600" t="s">
        <v>5524</v>
      </c>
      <c r="C2600" s="23" t="s">
        <v>309</v>
      </c>
      <c r="D2600" t="s">
        <v>250</v>
      </c>
      <c r="E2600" t="s">
        <v>251</v>
      </c>
      <c r="M2600" s="19">
        <v>44538</v>
      </c>
      <c r="N2600" s="20"/>
      <c r="O2600" s="20"/>
    </row>
    <row r="2601" ht="15" customHeight="1">
      <c r="A2601" t="s">
        <v>5525</v>
      </c>
      <c r="B2601" t="s">
        <v>5526</v>
      </c>
      <c r="C2601" s="23" t="s">
        <v>309</v>
      </c>
      <c r="D2601" t="s">
        <v>250</v>
      </c>
      <c r="E2601" t="s">
        <v>251</v>
      </c>
      <c r="M2601" s="19">
        <v>44538</v>
      </c>
      <c r="N2601" s="20"/>
      <c r="O2601" s="20"/>
    </row>
    <row r="2602" ht="15" customHeight="1">
      <c r="A2602" t="s">
        <v>5527</v>
      </c>
      <c r="B2602" t="s">
        <v>5528</v>
      </c>
      <c r="C2602" s="23" t="s">
        <v>309</v>
      </c>
      <c r="D2602" t="s">
        <v>250</v>
      </c>
      <c r="E2602" t="s">
        <v>251</v>
      </c>
      <c r="M2602" s="19">
        <v>44538</v>
      </c>
      <c r="N2602" s="20"/>
      <c r="O2602" s="20"/>
    </row>
    <row r="2603" ht="15" customHeight="1">
      <c r="A2603" t="s">
        <v>5529</v>
      </c>
      <c r="B2603" t="s">
        <v>5530</v>
      </c>
      <c r="C2603" s="23" t="s">
        <v>309</v>
      </c>
      <c r="D2603" t="s">
        <v>250</v>
      </c>
      <c r="E2603" t="s">
        <v>251</v>
      </c>
      <c r="M2603" s="19">
        <v>44530</v>
      </c>
      <c r="N2603" s="20"/>
      <c r="O2603" s="20"/>
    </row>
    <row r="2604" ht="15" customHeight="1">
      <c r="A2604" t="s">
        <v>5531</v>
      </c>
      <c r="B2604" t="s">
        <v>5532</v>
      </c>
      <c r="C2604" t="s">
        <v>1057</v>
      </c>
      <c r="D2604" t="s">
        <v>223</v>
      </c>
      <c r="E2604" t="s">
        <v>224</v>
      </c>
      <c r="M2604" s="19">
        <v>44525</v>
      </c>
      <c r="N2604" s="20"/>
      <c r="O2604" s="20"/>
    </row>
    <row r="2605" ht="15" customHeight="1">
      <c r="A2605" t="s">
        <v>5533</v>
      </c>
      <c r="B2605" t="s">
        <v>5534</v>
      </c>
      <c r="C2605" t="s">
        <v>1057</v>
      </c>
      <c r="D2605" t="s">
        <v>223</v>
      </c>
      <c r="E2605" t="s">
        <v>224</v>
      </c>
      <c r="M2605" s="19">
        <v>44525</v>
      </c>
      <c r="N2605" s="20"/>
      <c r="O2605" s="20"/>
    </row>
    <row r="2606" ht="15" customHeight="1">
      <c r="A2606" t="s">
        <v>5535</v>
      </c>
      <c r="B2606" t="s">
        <v>5536</v>
      </c>
      <c r="C2606" t="s">
        <v>1057</v>
      </c>
      <c r="D2606" t="s">
        <v>223</v>
      </c>
      <c r="E2606" t="s">
        <v>224</v>
      </c>
      <c r="M2606" s="19">
        <v>44525</v>
      </c>
      <c r="N2606" s="20"/>
      <c r="O2606" s="20"/>
    </row>
    <row r="2607" ht="15" customHeight="1">
      <c r="A2607" t="s">
        <v>5537</v>
      </c>
      <c r="B2607" t="s">
        <v>5538</v>
      </c>
      <c r="C2607" t="s">
        <v>1057</v>
      </c>
      <c r="D2607" t="s">
        <v>223</v>
      </c>
      <c r="E2607" t="s">
        <v>224</v>
      </c>
      <c r="M2607" s="19">
        <v>44525</v>
      </c>
      <c r="N2607" s="20"/>
      <c r="O2607" s="20"/>
    </row>
    <row r="2608" ht="15" customHeight="1">
      <c r="A2608" t="s">
        <v>5539</v>
      </c>
      <c r="B2608" t="s">
        <v>5540</v>
      </c>
      <c r="C2608" t="s">
        <v>1057</v>
      </c>
      <c r="D2608" t="s">
        <v>223</v>
      </c>
      <c r="E2608" t="s">
        <v>224</v>
      </c>
      <c r="M2608" s="19">
        <v>44525</v>
      </c>
      <c r="N2608" s="20"/>
      <c r="O2608" s="20"/>
    </row>
    <row r="2609" ht="15" customHeight="1">
      <c r="A2609" t="s">
        <v>5541</v>
      </c>
      <c r="B2609" t="s">
        <v>5542</v>
      </c>
      <c r="C2609" t="s">
        <v>1057</v>
      </c>
      <c r="D2609" t="s">
        <v>223</v>
      </c>
      <c r="E2609" t="s">
        <v>224</v>
      </c>
      <c r="M2609" s="19">
        <v>44525</v>
      </c>
      <c r="N2609" s="20"/>
      <c r="O2609" s="20"/>
    </row>
    <row r="2610" ht="15" customHeight="1">
      <c r="A2610" t="s">
        <v>5543</v>
      </c>
      <c r="B2610" t="s">
        <v>5544</v>
      </c>
      <c r="C2610" t="s">
        <v>1057</v>
      </c>
      <c r="D2610" t="s">
        <v>223</v>
      </c>
      <c r="E2610" t="s">
        <v>224</v>
      </c>
      <c r="M2610" s="19">
        <v>44525</v>
      </c>
      <c r="N2610" s="20"/>
      <c r="O2610" s="20"/>
    </row>
    <row r="2611" ht="15" customHeight="1">
      <c r="A2611" t="s">
        <v>5545</v>
      </c>
      <c r="B2611" t="s">
        <v>5546</v>
      </c>
      <c r="C2611" t="s">
        <v>1057</v>
      </c>
      <c r="D2611" t="s">
        <v>223</v>
      </c>
      <c r="E2611" t="s">
        <v>224</v>
      </c>
      <c r="M2611" s="19">
        <v>44525</v>
      </c>
      <c r="N2611" s="20"/>
      <c r="O2611" s="20"/>
    </row>
    <row r="2612" ht="15" customHeight="1">
      <c r="A2612" t="s">
        <v>5547</v>
      </c>
      <c r="B2612" t="s">
        <v>5548</v>
      </c>
      <c r="C2612" t="s">
        <v>1057</v>
      </c>
      <c r="D2612" t="s">
        <v>223</v>
      </c>
      <c r="E2612" t="s">
        <v>224</v>
      </c>
      <c r="M2612" s="19">
        <v>44525</v>
      </c>
      <c r="N2612" s="20"/>
      <c r="O2612" s="20"/>
    </row>
    <row r="2613" ht="15" customHeight="1">
      <c r="A2613" t="s">
        <v>5549</v>
      </c>
      <c r="B2613" t="s">
        <v>5550</v>
      </c>
      <c r="C2613" t="s">
        <v>1057</v>
      </c>
      <c r="D2613" t="s">
        <v>223</v>
      </c>
      <c r="E2613" t="s">
        <v>224</v>
      </c>
      <c r="M2613" s="19">
        <v>44525</v>
      </c>
      <c r="N2613" s="20"/>
      <c r="O2613" s="20"/>
    </row>
    <row r="2614" ht="15" customHeight="1">
      <c r="A2614" t="s">
        <v>5551</v>
      </c>
      <c r="B2614" t="s">
        <v>5552</v>
      </c>
      <c r="C2614" t="s">
        <v>1057</v>
      </c>
      <c r="D2614" t="s">
        <v>223</v>
      </c>
      <c r="E2614" t="s">
        <v>224</v>
      </c>
      <c r="M2614" s="19">
        <v>44525</v>
      </c>
      <c r="N2614" s="20"/>
      <c r="O2614" s="20"/>
    </row>
    <row r="2615" ht="15" customHeight="1">
      <c r="A2615" t="s">
        <v>5553</v>
      </c>
      <c r="B2615" t="s">
        <v>5554</v>
      </c>
      <c r="C2615" t="s">
        <v>1057</v>
      </c>
      <c r="D2615" t="s">
        <v>223</v>
      </c>
      <c r="E2615" t="s">
        <v>224</v>
      </c>
      <c r="M2615" s="19">
        <v>44525</v>
      </c>
      <c r="N2615" s="20"/>
      <c r="O2615" s="20"/>
    </row>
    <row r="2616" ht="15" customHeight="1">
      <c r="A2616" t="s">
        <v>5555</v>
      </c>
      <c r="B2616" t="s">
        <v>5556</v>
      </c>
      <c r="C2616" t="s">
        <v>1057</v>
      </c>
      <c r="D2616" t="s">
        <v>223</v>
      </c>
      <c r="E2616" t="s">
        <v>224</v>
      </c>
      <c r="M2616" s="19">
        <v>44525</v>
      </c>
      <c r="N2616" s="20"/>
      <c r="O2616" s="20"/>
    </row>
    <row r="2617" ht="15" customHeight="1">
      <c r="A2617" t="s">
        <v>5557</v>
      </c>
      <c r="B2617" t="s">
        <v>5558</v>
      </c>
      <c r="C2617" t="s">
        <v>1057</v>
      </c>
      <c r="D2617" t="s">
        <v>223</v>
      </c>
      <c r="E2617" t="s">
        <v>224</v>
      </c>
      <c r="M2617" s="19">
        <v>44525</v>
      </c>
      <c r="N2617" s="20"/>
      <c r="O2617" s="20"/>
    </row>
    <row r="2618" ht="15" customHeight="1">
      <c r="A2618" t="s">
        <v>5559</v>
      </c>
      <c r="B2618" t="s">
        <v>5560</v>
      </c>
      <c r="C2618" t="s">
        <v>1057</v>
      </c>
      <c r="D2618" t="s">
        <v>223</v>
      </c>
      <c r="E2618" t="s">
        <v>224</v>
      </c>
      <c r="M2618" s="19">
        <v>44525</v>
      </c>
      <c r="N2618" s="20"/>
      <c r="O2618" s="20"/>
    </row>
    <row r="2619" ht="15" customHeight="1">
      <c r="A2619" t="s">
        <v>5561</v>
      </c>
      <c r="B2619" t="s">
        <v>5562</v>
      </c>
      <c r="C2619" t="s">
        <v>1057</v>
      </c>
      <c r="D2619" t="s">
        <v>223</v>
      </c>
      <c r="E2619" t="s">
        <v>224</v>
      </c>
      <c r="M2619" s="19">
        <v>44525</v>
      </c>
      <c r="N2619" s="20"/>
      <c r="O2619" s="20"/>
    </row>
    <row r="2620" ht="15" customHeight="1">
      <c r="A2620" t="s">
        <v>5563</v>
      </c>
      <c r="B2620" t="s">
        <v>5564</v>
      </c>
      <c r="C2620" t="s">
        <v>1057</v>
      </c>
      <c r="D2620" t="s">
        <v>223</v>
      </c>
      <c r="E2620" t="s">
        <v>224</v>
      </c>
      <c r="M2620" s="19">
        <v>44525</v>
      </c>
      <c r="N2620" s="20"/>
      <c r="O2620" s="20"/>
    </row>
    <row r="2621" ht="15" customHeight="1">
      <c r="A2621" t="s">
        <v>5565</v>
      </c>
      <c r="B2621" t="s">
        <v>5566</v>
      </c>
      <c r="C2621" t="s">
        <v>1057</v>
      </c>
      <c r="D2621" t="s">
        <v>223</v>
      </c>
      <c r="E2621" t="s">
        <v>224</v>
      </c>
      <c r="M2621" s="19">
        <v>44525</v>
      </c>
      <c r="N2621" s="20"/>
      <c r="O2621" s="20"/>
    </row>
    <row r="2622" ht="15" customHeight="1">
      <c r="A2622" t="s">
        <v>5567</v>
      </c>
      <c r="B2622" t="s">
        <v>5568</v>
      </c>
      <c r="C2622" t="s">
        <v>1057</v>
      </c>
      <c r="D2622" t="s">
        <v>223</v>
      </c>
      <c r="E2622" t="s">
        <v>224</v>
      </c>
      <c r="M2622" s="19">
        <v>44525</v>
      </c>
      <c r="N2622" s="20"/>
      <c r="O2622" s="20"/>
    </row>
    <row r="2623" ht="15" customHeight="1">
      <c r="A2623" t="s">
        <v>5569</v>
      </c>
      <c r="B2623" t="s">
        <v>5570</v>
      </c>
      <c r="C2623" t="s">
        <v>1057</v>
      </c>
      <c r="D2623" t="s">
        <v>223</v>
      </c>
      <c r="E2623" t="s">
        <v>224</v>
      </c>
      <c r="M2623" s="19">
        <v>44525</v>
      </c>
      <c r="N2623" s="20"/>
      <c r="O2623" s="20"/>
    </row>
    <row r="2624" ht="15" customHeight="1">
      <c r="A2624" t="s">
        <v>5571</v>
      </c>
      <c r="B2624" t="s">
        <v>5572</v>
      </c>
      <c r="C2624" t="s">
        <v>1057</v>
      </c>
      <c r="D2624" t="s">
        <v>223</v>
      </c>
      <c r="E2624" t="s">
        <v>224</v>
      </c>
      <c r="M2624" s="19">
        <v>44525</v>
      </c>
      <c r="N2624" s="20"/>
      <c r="O2624" s="20"/>
    </row>
    <row r="2625" ht="15" customHeight="1">
      <c r="A2625" t="s">
        <v>5573</v>
      </c>
      <c r="B2625" t="s">
        <v>5574</v>
      </c>
      <c r="C2625" t="s">
        <v>1057</v>
      </c>
      <c r="D2625" t="s">
        <v>223</v>
      </c>
      <c r="E2625" t="s">
        <v>224</v>
      </c>
      <c r="M2625" s="19">
        <v>44525</v>
      </c>
      <c r="N2625" s="20"/>
      <c r="O2625" s="20"/>
    </row>
    <row r="2626" ht="15" customHeight="1">
      <c r="A2626" t="s">
        <v>5575</v>
      </c>
      <c r="B2626" t="s">
        <v>5576</v>
      </c>
      <c r="C2626" t="s">
        <v>1057</v>
      </c>
      <c r="D2626" t="s">
        <v>223</v>
      </c>
      <c r="E2626" t="s">
        <v>224</v>
      </c>
      <c r="M2626" s="19">
        <v>44525</v>
      </c>
      <c r="N2626" s="20"/>
      <c r="O2626" s="20"/>
    </row>
    <row r="2627" ht="15" customHeight="1">
      <c r="A2627" t="s">
        <v>5577</v>
      </c>
      <c r="B2627" t="s">
        <v>5578</v>
      </c>
      <c r="C2627" t="s">
        <v>1057</v>
      </c>
      <c r="D2627" t="s">
        <v>223</v>
      </c>
      <c r="E2627" t="s">
        <v>224</v>
      </c>
      <c r="M2627" s="19">
        <v>44525</v>
      </c>
      <c r="N2627" s="20"/>
      <c r="O2627" s="20"/>
    </row>
    <row r="2628" ht="15" customHeight="1">
      <c r="A2628" t="s">
        <v>5579</v>
      </c>
      <c r="B2628" t="s">
        <v>5580</v>
      </c>
      <c r="C2628" t="s">
        <v>1057</v>
      </c>
      <c r="D2628" t="s">
        <v>223</v>
      </c>
      <c r="E2628" t="s">
        <v>224</v>
      </c>
      <c r="M2628" s="19">
        <v>44525</v>
      </c>
      <c r="N2628" s="20"/>
      <c r="O2628" s="20"/>
    </row>
    <row r="2629" ht="15" customHeight="1">
      <c r="A2629" t="s">
        <v>5581</v>
      </c>
      <c r="B2629" t="s">
        <v>5582</v>
      </c>
      <c r="C2629" t="s">
        <v>1057</v>
      </c>
      <c r="D2629" t="s">
        <v>223</v>
      </c>
      <c r="E2629" t="s">
        <v>224</v>
      </c>
      <c r="M2629" s="19">
        <v>44525</v>
      </c>
      <c r="N2629" s="20"/>
      <c r="O2629" s="20"/>
    </row>
    <row r="2630" ht="15" customHeight="1">
      <c r="A2630" t="s">
        <v>5583</v>
      </c>
      <c r="B2630" t="s">
        <v>5584</v>
      </c>
      <c r="C2630" t="s">
        <v>1057</v>
      </c>
      <c r="D2630" t="s">
        <v>223</v>
      </c>
      <c r="E2630" t="s">
        <v>224</v>
      </c>
      <c r="M2630" s="19">
        <v>44525</v>
      </c>
      <c r="N2630" s="20"/>
      <c r="O2630" s="20"/>
    </row>
    <row r="2631" ht="15" customHeight="1">
      <c r="A2631" t="s">
        <v>5585</v>
      </c>
      <c r="B2631" t="s">
        <v>5586</v>
      </c>
      <c r="C2631" t="s">
        <v>1057</v>
      </c>
      <c r="D2631" t="s">
        <v>223</v>
      </c>
      <c r="E2631" t="s">
        <v>224</v>
      </c>
      <c r="M2631" s="19">
        <v>44525</v>
      </c>
      <c r="N2631" s="20"/>
      <c r="O2631" s="20"/>
    </row>
    <row r="2632" ht="15" customHeight="1">
      <c r="A2632" t="s">
        <v>5587</v>
      </c>
      <c r="B2632" t="s">
        <v>5588</v>
      </c>
      <c r="C2632" t="s">
        <v>1057</v>
      </c>
      <c r="D2632" t="s">
        <v>223</v>
      </c>
      <c r="E2632" t="s">
        <v>224</v>
      </c>
      <c r="M2632" s="19">
        <v>44525</v>
      </c>
      <c r="N2632" s="20"/>
      <c r="O2632" s="20"/>
    </row>
    <row r="2633" ht="15" customHeight="1">
      <c r="A2633" t="s">
        <v>5589</v>
      </c>
      <c r="B2633" t="s">
        <v>5590</v>
      </c>
      <c r="C2633" t="s">
        <v>1057</v>
      </c>
      <c r="D2633" t="s">
        <v>223</v>
      </c>
      <c r="E2633" t="s">
        <v>224</v>
      </c>
      <c r="M2633" s="19">
        <v>44525</v>
      </c>
      <c r="N2633" s="20"/>
      <c r="O2633" s="20"/>
    </row>
    <row r="2634" ht="15" customHeight="1">
      <c r="A2634" t="s">
        <v>5591</v>
      </c>
      <c r="B2634" t="s">
        <v>5592</v>
      </c>
      <c r="C2634" t="s">
        <v>1057</v>
      </c>
      <c r="D2634" t="s">
        <v>223</v>
      </c>
      <c r="E2634" t="s">
        <v>224</v>
      </c>
      <c r="M2634" s="19">
        <v>44525</v>
      </c>
      <c r="N2634" s="20"/>
      <c r="O2634" s="20"/>
    </row>
    <row r="2635" ht="15" customHeight="1">
      <c r="A2635" t="s">
        <v>5593</v>
      </c>
      <c r="B2635" t="s">
        <v>5594</v>
      </c>
      <c r="C2635" t="s">
        <v>1057</v>
      </c>
      <c r="D2635" t="s">
        <v>223</v>
      </c>
      <c r="E2635" t="s">
        <v>224</v>
      </c>
      <c r="M2635" s="19">
        <v>44525</v>
      </c>
      <c r="N2635" s="20"/>
      <c r="O2635" s="20"/>
    </row>
    <row r="2636" ht="15" customHeight="1">
      <c r="A2636" t="s">
        <v>5595</v>
      </c>
      <c r="B2636" t="s">
        <v>5596</v>
      </c>
      <c r="C2636" t="s">
        <v>1057</v>
      </c>
      <c r="D2636" t="s">
        <v>223</v>
      </c>
      <c r="E2636" t="s">
        <v>224</v>
      </c>
      <c r="M2636" s="19">
        <v>44525</v>
      </c>
      <c r="N2636" s="20"/>
      <c r="O2636" s="20"/>
    </row>
    <row r="2637" ht="15" customHeight="1">
      <c r="A2637" t="s">
        <v>5597</v>
      </c>
      <c r="B2637" t="s">
        <v>5598</v>
      </c>
      <c r="C2637" t="s">
        <v>1057</v>
      </c>
      <c r="D2637" t="s">
        <v>223</v>
      </c>
      <c r="E2637" t="s">
        <v>224</v>
      </c>
      <c r="M2637" s="19">
        <v>44525</v>
      </c>
      <c r="N2637" s="20"/>
      <c r="O2637" s="20"/>
    </row>
    <row r="2638" ht="15" customHeight="1">
      <c r="A2638" t="s">
        <v>5599</v>
      </c>
      <c r="B2638" t="s">
        <v>5600</v>
      </c>
      <c r="C2638" t="s">
        <v>1057</v>
      </c>
      <c r="D2638" t="s">
        <v>223</v>
      </c>
      <c r="E2638" t="s">
        <v>224</v>
      </c>
      <c r="M2638" s="19">
        <v>44525</v>
      </c>
      <c r="N2638" s="20"/>
      <c r="O2638" s="20"/>
    </row>
    <row r="2639" ht="15" customHeight="1">
      <c r="A2639" t="s">
        <v>5601</v>
      </c>
      <c r="B2639" t="s">
        <v>5602</v>
      </c>
      <c r="C2639" t="s">
        <v>1057</v>
      </c>
      <c r="D2639" t="s">
        <v>223</v>
      </c>
      <c r="E2639" t="s">
        <v>224</v>
      </c>
      <c r="M2639" s="19">
        <v>44525</v>
      </c>
      <c r="N2639" s="20"/>
      <c r="O2639" s="20"/>
    </row>
    <row r="2640" ht="15" customHeight="1">
      <c r="A2640" t="s">
        <v>5603</v>
      </c>
      <c r="B2640" t="s">
        <v>5604</v>
      </c>
      <c r="C2640" t="s">
        <v>1057</v>
      </c>
      <c r="D2640" t="s">
        <v>223</v>
      </c>
      <c r="E2640" t="s">
        <v>224</v>
      </c>
      <c r="M2640" s="19">
        <v>44525</v>
      </c>
      <c r="N2640" s="20"/>
      <c r="O2640" s="20"/>
    </row>
    <row r="2641" ht="15" customHeight="1">
      <c r="A2641" t="s">
        <v>5605</v>
      </c>
      <c r="B2641" t="s">
        <v>5606</v>
      </c>
      <c r="C2641" t="s">
        <v>1057</v>
      </c>
      <c r="D2641" t="s">
        <v>223</v>
      </c>
      <c r="E2641" t="s">
        <v>224</v>
      </c>
      <c r="H2641">
        <v>0</v>
      </c>
      <c r="M2641" s="19">
        <v>44524</v>
      </c>
      <c r="N2641" s="20"/>
      <c r="O2641" s="20"/>
    </row>
    <row r="2642" ht="15" customHeight="1">
      <c r="A2642" t="s">
        <v>5607</v>
      </c>
      <c r="B2642" t="s">
        <v>5608</v>
      </c>
      <c r="C2642" t="s">
        <v>1057</v>
      </c>
      <c r="D2642" t="s">
        <v>223</v>
      </c>
      <c r="E2642" t="s">
        <v>224</v>
      </c>
      <c r="H2642">
        <v>0</v>
      </c>
      <c r="M2642" s="19">
        <v>44524</v>
      </c>
      <c r="N2642" s="20"/>
      <c r="O2642" s="20"/>
    </row>
    <row r="2643" ht="15" customHeight="1">
      <c r="A2643" t="s">
        <v>5609</v>
      </c>
      <c r="B2643" t="s">
        <v>5610</v>
      </c>
      <c r="C2643" t="s">
        <v>1057</v>
      </c>
      <c r="D2643" t="s">
        <v>223</v>
      </c>
      <c r="E2643" t="s">
        <v>224</v>
      </c>
      <c r="H2643">
        <v>0</v>
      </c>
      <c r="M2643" s="19">
        <v>44524</v>
      </c>
      <c r="N2643" s="19">
        <v>44651</v>
      </c>
      <c r="O2643" s="20"/>
    </row>
    <row r="2644" ht="15" customHeight="1">
      <c r="A2644" t="s">
        <v>5611</v>
      </c>
      <c r="B2644" t="s">
        <v>5612</v>
      </c>
      <c r="C2644" t="s">
        <v>1057</v>
      </c>
      <c r="D2644" t="s">
        <v>223</v>
      </c>
      <c r="E2644" t="s">
        <v>224</v>
      </c>
      <c r="H2644">
        <v>0</v>
      </c>
      <c r="M2644" s="19">
        <v>44523</v>
      </c>
      <c r="N2644" s="20"/>
      <c r="O2644" s="20"/>
    </row>
    <row r="2645" ht="15" customHeight="1">
      <c r="A2645" t="s">
        <v>5613</v>
      </c>
      <c r="B2645" t="s">
        <v>5614</v>
      </c>
      <c r="C2645" t="s">
        <v>1057</v>
      </c>
      <c r="D2645" t="s">
        <v>223</v>
      </c>
      <c r="E2645" t="s">
        <v>224</v>
      </c>
      <c r="H2645">
        <v>0</v>
      </c>
      <c r="M2645" s="19">
        <v>44523</v>
      </c>
      <c r="N2645" s="20"/>
      <c r="O2645" s="20"/>
    </row>
    <row r="2646" ht="15" customHeight="1">
      <c r="A2646" t="s">
        <v>5615</v>
      </c>
      <c r="B2646" t="s">
        <v>5616</v>
      </c>
      <c r="C2646" t="s">
        <v>1057</v>
      </c>
      <c r="D2646" t="s">
        <v>223</v>
      </c>
      <c r="E2646" t="s">
        <v>224</v>
      </c>
      <c r="H2646">
        <v>0</v>
      </c>
      <c r="M2646" s="19">
        <v>44523</v>
      </c>
      <c r="N2646" s="20"/>
      <c r="O2646" s="20"/>
    </row>
    <row r="2647" ht="15" customHeight="1">
      <c r="A2647" t="s">
        <v>5617</v>
      </c>
      <c r="B2647" t="s">
        <v>5215</v>
      </c>
      <c r="C2647" t="s">
        <v>1057</v>
      </c>
      <c r="D2647" t="s">
        <v>223</v>
      </c>
      <c r="E2647" t="s">
        <v>224</v>
      </c>
      <c r="H2647">
        <v>0</v>
      </c>
      <c r="K2647" t="s">
        <v>3809</v>
      </c>
      <c r="M2647" s="19">
        <v>44523</v>
      </c>
      <c r="N2647" s="20"/>
      <c r="O2647" s="20"/>
    </row>
    <row r="2648" ht="15" customHeight="1">
      <c r="A2648" t="s">
        <v>5618</v>
      </c>
      <c r="B2648" t="s">
        <v>5619</v>
      </c>
      <c r="C2648" t="s">
        <v>1057</v>
      </c>
      <c r="D2648" t="s">
        <v>223</v>
      </c>
      <c r="E2648" t="s">
        <v>224</v>
      </c>
      <c r="H2648">
        <v>0</v>
      </c>
      <c r="M2648" s="19">
        <v>44523</v>
      </c>
      <c r="N2648" s="20"/>
      <c r="O2648" s="20"/>
    </row>
    <row r="2649" ht="15" customHeight="1">
      <c r="A2649" t="s">
        <v>5620</v>
      </c>
      <c r="B2649" t="s">
        <v>5621</v>
      </c>
      <c r="C2649" t="s">
        <v>1057</v>
      </c>
      <c r="D2649" t="s">
        <v>223</v>
      </c>
      <c r="E2649" t="s">
        <v>224</v>
      </c>
      <c r="H2649">
        <v>0</v>
      </c>
      <c r="M2649" s="19">
        <v>44523</v>
      </c>
      <c r="N2649" s="20"/>
      <c r="O2649" s="20"/>
    </row>
    <row r="2650" ht="15" customHeight="1">
      <c r="A2650" t="s">
        <v>5622</v>
      </c>
      <c r="B2650" t="s">
        <v>5623</v>
      </c>
      <c r="C2650" t="s">
        <v>1057</v>
      </c>
      <c r="D2650" t="s">
        <v>223</v>
      </c>
      <c r="E2650" t="s">
        <v>224</v>
      </c>
      <c r="H2650">
        <v>0</v>
      </c>
      <c r="M2650" s="19">
        <v>44523</v>
      </c>
      <c r="N2650" s="20"/>
      <c r="O2650" s="20"/>
    </row>
    <row r="2651" ht="15" customHeight="1">
      <c r="A2651" t="s">
        <v>5624</v>
      </c>
      <c r="B2651" t="s">
        <v>5625</v>
      </c>
      <c r="C2651" s="22" t="s">
        <v>55</v>
      </c>
      <c r="D2651" t="s">
        <v>223</v>
      </c>
      <c r="E2651" t="s">
        <v>224</v>
      </c>
      <c r="H2651">
        <v>0</v>
      </c>
      <c r="M2651" s="19">
        <v>44523</v>
      </c>
      <c r="N2651" s="20"/>
      <c r="O2651" s="20"/>
    </row>
    <row r="2652" ht="15" customHeight="1">
      <c r="A2652" t="s">
        <v>5626</v>
      </c>
      <c r="B2652" t="s">
        <v>5627</v>
      </c>
      <c r="C2652" t="s">
        <v>1057</v>
      </c>
      <c r="D2652" t="s">
        <v>223</v>
      </c>
      <c r="E2652" t="s">
        <v>224</v>
      </c>
      <c r="H2652">
        <v>0</v>
      </c>
      <c r="M2652" s="19">
        <v>44523</v>
      </c>
      <c r="N2652" s="20"/>
      <c r="O2652" s="20"/>
    </row>
    <row r="2653" ht="15" customHeight="1">
      <c r="A2653" t="s">
        <v>5628</v>
      </c>
      <c r="B2653" t="s">
        <v>4760</v>
      </c>
      <c r="C2653" s="22" t="s">
        <v>55</v>
      </c>
      <c r="D2653" t="s">
        <v>223</v>
      </c>
      <c r="E2653" t="s">
        <v>224</v>
      </c>
      <c r="H2653">
        <v>0</v>
      </c>
      <c r="K2653" t="s">
        <v>3809</v>
      </c>
      <c r="M2653" s="19">
        <v>44519</v>
      </c>
      <c r="N2653" s="20"/>
      <c r="O2653" s="20"/>
    </row>
    <row r="2654" ht="15" customHeight="1">
      <c r="A2654" t="s">
        <v>5629</v>
      </c>
      <c r="B2654" t="s">
        <v>5630</v>
      </c>
      <c r="C2654" t="s">
        <v>1057</v>
      </c>
      <c r="D2654" t="s">
        <v>223</v>
      </c>
      <c r="E2654" t="s">
        <v>224</v>
      </c>
      <c r="H2654">
        <v>0</v>
      </c>
      <c r="M2654" s="19">
        <v>44516</v>
      </c>
      <c r="N2654" s="20"/>
      <c r="O2654" s="20"/>
    </row>
    <row r="2655" ht="15" customHeight="1">
      <c r="A2655" t="s">
        <v>5631</v>
      </c>
      <c r="B2655" t="s">
        <v>5632</v>
      </c>
      <c r="C2655" t="s">
        <v>1057</v>
      </c>
      <c r="D2655" t="s">
        <v>223</v>
      </c>
      <c r="E2655" t="s">
        <v>224</v>
      </c>
      <c r="H2655">
        <v>0</v>
      </c>
      <c r="M2655" s="19">
        <v>44509</v>
      </c>
      <c r="N2655" s="20"/>
      <c r="O2655" s="20"/>
    </row>
    <row r="2656" ht="15" customHeight="1">
      <c r="A2656" t="s">
        <v>5633</v>
      </c>
      <c r="B2656" t="s">
        <v>5634</v>
      </c>
      <c r="C2656" t="s">
        <v>1057</v>
      </c>
      <c r="D2656" t="s">
        <v>223</v>
      </c>
      <c r="E2656" t="s">
        <v>224</v>
      </c>
      <c r="H2656">
        <v>0</v>
      </c>
      <c r="M2656" s="19">
        <v>44508</v>
      </c>
      <c r="N2656" s="20"/>
      <c r="O2656" s="20"/>
    </row>
    <row r="2657" ht="15" customHeight="1">
      <c r="A2657" t="s">
        <v>5635</v>
      </c>
      <c r="B2657" t="s">
        <v>5636</v>
      </c>
      <c r="C2657" t="s">
        <v>1057</v>
      </c>
      <c r="D2657" t="s">
        <v>223</v>
      </c>
      <c r="E2657" t="s">
        <v>224</v>
      </c>
      <c r="H2657">
        <v>0</v>
      </c>
      <c r="M2657" s="19">
        <v>44508</v>
      </c>
      <c r="N2657" s="20"/>
      <c r="O2657" s="20"/>
    </row>
    <row r="2658" ht="15" customHeight="1">
      <c r="A2658" t="s">
        <v>5637</v>
      </c>
      <c r="B2658" t="s">
        <v>5638</v>
      </c>
      <c r="C2658" t="s">
        <v>1057</v>
      </c>
      <c r="D2658" t="s">
        <v>223</v>
      </c>
      <c r="E2658" t="s">
        <v>224</v>
      </c>
      <c r="H2658">
        <v>0</v>
      </c>
      <c r="M2658" s="19">
        <v>44508</v>
      </c>
      <c r="N2658" s="20"/>
      <c r="O2658" s="20"/>
    </row>
    <row r="2659" ht="15" customHeight="1">
      <c r="A2659" t="s">
        <v>5639</v>
      </c>
      <c r="B2659" t="s">
        <v>5640</v>
      </c>
      <c r="C2659" s="21" t="s">
        <v>227</v>
      </c>
      <c r="D2659" t="s">
        <v>250</v>
      </c>
      <c r="E2659" t="s">
        <v>251</v>
      </c>
      <c r="H2659">
        <v>3</v>
      </c>
      <c r="L2659" t="s">
        <v>5641</v>
      </c>
      <c r="M2659" s="19">
        <v>44497</v>
      </c>
      <c r="N2659" s="20"/>
      <c r="O2659" s="20"/>
    </row>
    <row r="2660" ht="15" customHeight="1">
      <c r="A2660" t="s">
        <v>5642</v>
      </c>
      <c r="B2660" t="s">
        <v>5643</v>
      </c>
      <c r="C2660" s="23" t="s">
        <v>309</v>
      </c>
      <c r="D2660" t="s">
        <v>250</v>
      </c>
      <c r="E2660" t="s">
        <v>251</v>
      </c>
      <c r="M2660" s="19">
        <v>44494</v>
      </c>
      <c r="N2660" s="20"/>
      <c r="O2660" s="20"/>
    </row>
    <row r="2661" ht="15" customHeight="1">
      <c r="A2661" t="s">
        <v>5644</v>
      </c>
      <c r="B2661" t="s">
        <v>5645</v>
      </c>
      <c r="C2661" s="21" t="s">
        <v>227</v>
      </c>
      <c r="D2661" t="s">
        <v>250</v>
      </c>
      <c r="E2661" t="s">
        <v>251</v>
      </c>
      <c r="M2661" s="19">
        <v>44494</v>
      </c>
      <c r="N2661" s="20"/>
      <c r="O2661" s="20"/>
    </row>
    <row r="2662" ht="15" customHeight="1">
      <c r="A2662" t="s">
        <v>5646</v>
      </c>
      <c r="B2662" t="s">
        <v>5647</v>
      </c>
      <c r="C2662" s="21" t="s">
        <v>227</v>
      </c>
      <c r="D2662" t="s">
        <v>250</v>
      </c>
      <c r="E2662" t="s">
        <v>251</v>
      </c>
      <c r="M2662" s="19">
        <v>44490</v>
      </c>
      <c r="N2662" s="20"/>
      <c r="O2662" s="20"/>
    </row>
    <row r="2663" ht="15" customHeight="1">
      <c r="A2663" t="s">
        <v>5648</v>
      </c>
      <c r="B2663" t="s">
        <v>5649</v>
      </c>
      <c r="C2663" s="21" t="s">
        <v>227</v>
      </c>
      <c r="D2663" t="s">
        <v>250</v>
      </c>
      <c r="E2663" t="s">
        <v>251</v>
      </c>
      <c r="M2663" s="19">
        <v>44413</v>
      </c>
      <c r="N2663" s="20"/>
      <c r="O2663" s="20"/>
    </row>
    <row r="2664" ht="15" customHeight="1">
      <c r="A2664" t="s">
        <v>5650</v>
      </c>
      <c r="B2664" t="s">
        <v>5651</v>
      </c>
      <c r="C2664" s="21" t="s">
        <v>227</v>
      </c>
      <c r="D2664" t="s">
        <v>813</v>
      </c>
      <c r="E2664" t="s">
        <v>814</v>
      </c>
      <c r="K2664" t="s">
        <v>2149</v>
      </c>
      <c r="M2664" s="19">
        <v>44369</v>
      </c>
      <c r="N2664" s="20"/>
      <c r="O2664" s="20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CDF8C78-C5B8-A44A-4238-486E74238D69}" mc:Ignorable="x14ac xr xr2 xr3">
  <dimension ref="A1:GR50000"/>
  <sheetViews>
    <sheetView topLeftCell="D1" workbookViewId="0">
      <pane ySplit="2" topLeftCell="A3" activePane="bottomLeft" state="frozen"/>
      <selection pane="bottomLeft" activeCell="E3" sqref="E3"/>
    </sheetView>
  </sheetViews>
  <sheetFormatPr defaultRowHeight="15" defaultColWidth="7.75390625" customHeight="1"/>
  <cols>
    <col min="1" max="1" width="3.75390625" customWidth="1"/>
    <col min="2" max="2" width="12.50390625" customWidth="1"/>
    <col min="3" max="3" width="43.75390625" customWidth="1"/>
    <col min="4" max="4" width="25.00390625" customWidth="1"/>
    <col min="5" max="6" width="15.00390625" customWidth="1"/>
    <col min="7" max="7" width="13.75390625" customWidth="1"/>
    <col min="8" max="8" width="15.00390625" customWidth="1"/>
    <col min="9" max="9" width="18.75390625" customWidth="1"/>
    <col min="10" max="10" width="22.50390625" customWidth="1"/>
    <col min="11" max="11" width="18.75390625" customWidth="1"/>
    <col min="12" max="13" width="15.00390625" customWidth="1"/>
    <col min="14" max="14" width="17.50390625" customWidth="1"/>
    <col min="15" max="15" width="43.75390625" customWidth="1"/>
    <col min="16" max="16" width="16.25390625" customWidth="1"/>
    <col min="17" max="17" width="13.75390625" customWidth="1"/>
  </cols>
  <sheetData>
    <row r="2" ht="15.75" customHeight="1">
      <c r="B2" s="1" t="s">
        <v>5652</v>
      </c>
      <c r="C2" s="1" t="s">
        <v>5653</v>
      </c>
      <c r="D2" s="1" t="s">
        <v>5654</v>
      </c>
      <c r="E2" s="1" t="s">
        <v>5655</v>
      </c>
      <c r="F2" s="1" t="s">
        <v>5656</v>
      </c>
      <c r="G2" s="1" t="s">
        <v>5657</v>
      </c>
      <c r="H2" s="1" t="s">
        <v>5658</v>
      </c>
      <c r="I2" s="1" t="s">
        <v>5659</v>
      </c>
      <c r="J2" s="1" t="s">
        <v>2</v>
      </c>
      <c r="K2" s="1" t="s">
        <v>5660</v>
      </c>
      <c r="L2" s="1" t="s">
        <v>5661</v>
      </c>
      <c r="M2" s="1" t="s">
        <v>36</v>
      </c>
      <c r="N2" s="1" t="s">
        <v>5662</v>
      </c>
      <c r="O2" s="1" t="s">
        <v>5663</v>
      </c>
      <c r="P2" s="1" t="s">
        <v>32</v>
      </c>
      <c r="Q2" s="1" t="s">
        <v>5664</v>
      </c>
    </row>
    <row r="3" ht="16.5" customHeight="1">
      <c r="B3" s="3" t="s">
        <v>5665</v>
      </c>
      <c r="C3" s="3" t="s">
        <v>5666</v>
      </c>
      <c r="D3" s="3" t="s">
        <v>119</v>
      </c>
      <c r="E3" s="26" t="s">
        <v>123</v>
      </c>
      <c r="F3" s="13">
        <v>750000</v>
      </c>
      <c r="G3" s="3" t="s">
        <v>124</v>
      </c>
      <c r="H3" s="14">
        <v>1</v>
      </c>
      <c r="I3" s="3" t="s">
        <v>5667</v>
      </c>
      <c r="J3" s="3" t="s">
        <v>117</v>
      </c>
      <c r="K3" s="3" t="s">
        <v>115</v>
      </c>
      <c r="L3" s="3" t="s">
        <v>5668</v>
      </c>
      <c r="M3" s="3" t="s">
        <v>5669</v>
      </c>
      <c r="N3" s="3" t="s">
        <v>5670</v>
      </c>
      <c r="O3" s="3"/>
      <c r="P3" s="27">
        <f t="shared" si="0" ref="P3:P18">F3*(H3/100)</f>
        <v>7500</v>
      </c>
      <c r="Q3" s="3">
        <f t="shared" si="1" ref="Q3:Q18">IF(NOT(ISBLANK(N3)),TODAY()-N3,"")</f>
        <v>8</v>
      </c>
    </row>
    <row r="4" ht="16.5" customHeight="1">
      <c r="B4" s="8" t="s">
        <v>5671</v>
      </c>
      <c r="C4" s="8" t="s">
        <v>5672</v>
      </c>
      <c r="D4" s="8" t="s">
        <v>140</v>
      </c>
      <c r="E4" s="26" t="s">
        <v>123</v>
      </c>
      <c r="F4" s="11">
        <v>500000</v>
      </c>
      <c r="G4" s="8" t="s">
        <v>5673</v>
      </c>
      <c r="H4" s="12">
        <v>1</v>
      </c>
      <c r="I4" s="8" t="s">
        <v>5667</v>
      </c>
      <c r="J4" s="8" t="s">
        <v>95</v>
      </c>
      <c r="K4" s="8" t="s">
        <v>141</v>
      </c>
      <c r="L4" s="8" t="s">
        <v>5668</v>
      </c>
      <c r="M4" s="8" t="s">
        <v>5674</v>
      </c>
      <c r="N4" s="8" t="s">
        <v>5675</v>
      </c>
      <c r="O4" s="8"/>
      <c r="P4" s="28">
        <f t="shared" si="0"/>
        <v>5000</v>
      </c>
      <c r="Q4" s="8">
        <f t="shared" si="1"/>
        <v>24</v>
      </c>
    </row>
    <row r="5" ht="16.5" customHeight="1">
      <c r="B5" s="3" t="s">
        <v>5676</v>
      </c>
      <c r="C5" s="3" t="s">
        <v>5677</v>
      </c>
      <c r="D5" s="3" t="s">
        <v>5678</v>
      </c>
      <c r="E5" s="26" t="s">
        <v>123</v>
      </c>
      <c r="F5" s="13">
        <v>200000</v>
      </c>
      <c r="G5" s="3" t="s">
        <v>171</v>
      </c>
      <c r="H5" s="14">
        <v>1</v>
      </c>
      <c r="I5" s="3" t="s">
        <v>5679</v>
      </c>
      <c r="J5" s="3" t="s">
        <v>168</v>
      </c>
      <c r="K5" s="3" t="s">
        <v>166</v>
      </c>
      <c r="L5" s="3" t="s">
        <v>5668</v>
      </c>
      <c r="M5" s="3" t="s">
        <v>5680</v>
      </c>
      <c r="N5" s="3" t="s">
        <v>5681</v>
      </c>
      <c r="O5" s="3"/>
      <c r="P5" s="27">
        <f t="shared" si="0"/>
        <v>2000</v>
      </c>
      <c r="Q5" s="3">
        <f t="shared" si="1"/>
        <v>7</v>
      </c>
    </row>
    <row r="6" ht="16.5" customHeight="1">
      <c r="B6" s="8" t="s">
        <v>5682</v>
      </c>
      <c r="C6" s="8" t="s">
        <v>5683</v>
      </c>
      <c r="D6" s="8" t="s">
        <v>162</v>
      </c>
      <c r="E6" s="26" t="s">
        <v>123</v>
      </c>
      <c r="F6" s="11">
        <v>1200000</v>
      </c>
      <c r="G6" s="8" t="s">
        <v>5670</v>
      </c>
      <c r="H6" s="12">
        <v>1</v>
      </c>
      <c r="I6" s="8" t="s">
        <v>5667</v>
      </c>
      <c r="J6" s="8" t="s">
        <v>46</v>
      </c>
      <c r="K6" s="8" t="s">
        <v>5684</v>
      </c>
      <c r="L6" s="8" t="s">
        <v>5668</v>
      </c>
      <c r="M6" s="8" t="s">
        <v>5685</v>
      </c>
      <c r="N6" s="8" t="s">
        <v>5686</v>
      </c>
      <c r="O6" s="8"/>
      <c r="P6" s="28">
        <f t="shared" si="0"/>
        <v>12000</v>
      </c>
      <c r="Q6" s="8">
        <f t="shared" si="1"/>
        <v>14</v>
      </c>
    </row>
    <row r="7" ht="16.5" customHeight="1">
      <c r="B7" s="3" t="s">
        <v>5687</v>
      </c>
      <c r="C7" s="3" t="s">
        <v>5688</v>
      </c>
      <c r="D7" s="3" t="s">
        <v>156</v>
      </c>
      <c r="E7" s="26" t="s">
        <v>123</v>
      </c>
      <c r="F7" s="13">
        <v>3000000</v>
      </c>
      <c r="G7" s="3" t="s">
        <v>124</v>
      </c>
      <c r="H7" s="14">
        <v>1</v>
      </c>
      <c r="I7" s="3" t="s">
        <v>5667</v>
      </c>
      <c r="J7" s="3" t="s">
        <v>137</v>
      </c>
      <c r="K7" s="3" t="s">
        <v>154</v>
      </c>
      <c r="L7" s="3" t="s">
        <v>5689</v>
      </c>
      <c r="M7" s="3" t="s">
        <v>5690</v>
      </c>
      <c r="N7" s="3" t="s">
        <v>5691</v>
      </c>
      <c r="O7" s="3"/>
      <c r="P7" s="27">
        <f t="shared" si="0"/>
        <v>30000</v>
      </c>
      <c r="Q7" s="3">
        <f t="shared" si="1"/>
        <v>3</v>
      </c>
    </row>
    <row r="8" ht="16.5" customHeight="1">
      <c r="B8" s="8" t="s">
        <v>5692</v>
      </c>
      <c r="C8" s="8" t="s">
        <v>5693</v>
      </c>
      <c r="D8" s="8" t="s">
        <v>5694</v>
      </c>
      <c r="E8" s="29" t="s">
        <v>176</v>
      </c>
      <c r="F8" s="11">
        <v>180000</v>
      </c>
      <c r="G8" s="8" t="s">
        <v>5695</v>
      </c>
      <c r="H8" s="12">
        <v>0.8</v>
      </c>
      <c r="I8" s="8" t="s">
        <v>5679</v>
      </c>
      <c r="J8" s="8" t="s">
        <v>168</v>
      </c>
      <c r="K8" s="8" t="s">
        <v>173</v>
      </c>
      <c r="L8" s="8" t="s">
        <v>5668</v>
      </c>
      <c r="M8" s="8" t="s">
        <v>5696</v>
      </c>
      <c r="N8" s="8" t="s">
        <v>5691</v>
      </c>
      <c r="O8" s="8"/>
      <c r="P8" s="28">
        <f t="shared" si="0"/>
        <v>1440</v>
      </c>
      <c r="Q8" s="8">
        <f t="shared" si="1"/>
        <v>3</v>
      </c>
    </row>
    <row r="9" ht="16.5" customHeight="1">
      <c r="B9" s="3" t="s">
        <v>5697</v>
      </c>
      <c r="C9" s="3" t="s">
        <v>5698</v>
      </c>
      <c r="D9" s="3" t="s">
        <v>5699</v>
      </c>
      <c r="E9" s="29" t="s">
        <v>176</v>
      </c>
      <c r="F9" s="13">
        <v>2500000</v>
      </c>
      <c r="G9" s="3" t="s">
        <v>5700</v>
      </c>
      <c r="H9" s="14">
        <v>0.8</v>
      </c>
      <c r="I9" s="3" t="s">
        <v>5667</v>
      </c>
      <c r="J9" s="3" t="s">
        <v>117</v>
      </c>
      <c r="K9" s="3" t="s">
        <v>186</v>
      </c>
      <c r="L9" s="3" t="s">
        <v>5668</v>
      </c>
      <c r="M9" s="3" t="s">
        <v>5701</v>
      </c>
      <c r="N9" s="3" t="s">
        <v>5702</v>
      </c>
      <c r="O9" s="3"/>
      <c r="P9" s="27">
        <f t="shared" si="0"/>
        <v>20000</v>
      </c>
      <c r="Q9" s="3">
        <f t="shared" si="1"/>
        <v>2</v>
      </c>
    </row>
    <row r="10" ht="16.5" customHeight="1">
      <c r="B10" s="8" t="s">
        <v>5703</v>
      </c>
      <c r="C10" s="8" t="s">
        <v>5704</v>
      </c>
      <c r="D10" s="8" t="s">
        <v>5705</v>
      </c>
      <c r="E10" s="30" t="s">
        <v>180</v>
      </c>
      <c r="F10" s="11">
        <v>200000</v>
      </c>
      <c r="G10" s="8" t="s">
        <v>5706</v>
      </c>
      <c r="H10" s="12">
        <v>0.5</v>
      </c>
      <c r="I10" s="8" t="s">
        <v>5679</v>
      </c>
      <c r="J10" s="8" t="s">
        <v>137</v>
      </c>
      <c r="K10" s="8" t="s">
        <v>177</v>
      </c>
      <c r="L10" s="8" t="s">
        <v>1338</v>
      </c>
      <c r="M10" s="8" t="s">
        <v>5707</v>
      </c>
      <c r="N10" s="8" t="s">
        <v>5708</v>
      </c>
      <c r="O10" s="8" t="s">
        <v>5709</v>
      </c>
      <c r="P10" s="28">
        <f t="shared" si="0"/>
        <v>1000</v>
      </c>
      <c r="Q10" s="8">
        <f t="shared" si="1"/>
        <v>9</v>
      </c>
    </row>
    <row r="11" ht="16.5" customHeight="1">
      <c r="B11" s="3" t="s">
        <v>5710</v>
      </c>
      <c r="C11" s="3" t="s">
        <v>5711</v>
      </c>
      <c r="D11" s="3" t="s">
        <v>5712</v>
      </c>
      <c r="E11" s="30" t="s">
        <v>180</v>
      </c>
      <c r="F11" s="13">
        <v>600000</v>
      </c>
      <c r="G11" s="3" t="s">
        <v>5713</v>
      </c>
      <c r="H11" s="14">
        <v>0.6</v>
      </c>
      <c r="I11" s="3" t="s">
        <v>5679</v>
      </c>
      <c r="J11" s="3" t="s">
        <v>199</v>
      </c>
      <c r="K11" s="3" t="s">
        <v>197</v>
      </c>
      <c r="L11" s="3" t="s">
        <v>5668</v>
      </c>
      <c r="M11" s="3" t="s">
        <v>5696</v>
      </c>
      <c r="N11" s="3" t="s">
        <v>5714</v>
      </c>
      <c r="O11" s="3"/>
      <c r="P11" s="27">
        <f t="shared" si="0"/>
        <v>3600</v>
      </c>
      <c r="Q11" s="3">
        <f t="shared" si="1"/>
        <v>4</v>
      </c>
    </row>
    <row r="12" ht="16.5" customHeight="1">
      <c r="B12" s="8" t="s">
        <v>5715</v>
      </c>
      <c r="C12" s="8" t="s">
        <v>5716</v>
      </c>
      <c r="D12" s="8" t="s">
        <v>5717</v>
      </c>
      <c r="E12" s="30" t="s">
        <v>180</v>
      </c>
      <c r="F12" s="11">
        <v>400000</v>
      </c>
      <c r="G12" s="8" t="s">
        <v>5706</v>
      </c>
      <c r="H12" s="12">
        <v>0.6</v>
      </c>
      <c r="I12" s="8" t="s">
        <v>5679</v>
      </c>
      <c r="J12" s="8" t="s">
        <v>95</v>
      </c>
      <c r="K12" s="8" t="s">
        <v>184</v>
      </c>
      <c r="L12" s="8" t="s">
        <v>5668</v>
      </c>
      <c r="M12" s="8" t="s">
        <v>5718</v>
      </c>
      <c r="N12" s="8" t="s">
        <v>5719</v>
      </c>
      <c r="O12" s="8"/>
      <c r="P12" s="28">
        <f t="shared" si="0"/>
        <v>2400</v>
      </c>
      <c r="Q12" s="8">
        <f t="shared" si="1"/>
        <v>5</v>
      </c>
    </row>
    <row r="13" ht="16.5" customHeight="1">
      <c r="B13" s="3" t="s">
        <v>5720</v>
      </c>
      <c r="C13" s="3" t="s">
        <v>5721</v>
      </c>
      <c r="D13" s="3" t="s">
        <v>5722</v>
      </c>
      <c r="E13" s="31" t="s">
        <v>5723</v>
      </c>
      <c r="F13" s="13">
        <v>800000</v>
      </c>
      <c r="G13" s="3" t="s">
        <v>5724</v>
      </c>
      <c r="H13" s="14">
        <v>0.5</v>
      </c>
      <c r="I13" s="3" t="s">
        <v>5667</v>
      </c>
      <c r="J13" s="3" t="s">
        <v>46</v>
      </c>
      <c r="K13" s="3" t="s">
        <v>5725</v>
      </c>
      <c r="L13" s="3" t="s">
        <v>5668</v>
      </c>
      <c r="M13" s="3" t="s">
        <v>5696</v>
      </c>
      <c r="N13" s="3" t="s">
        <v>5726</v>
      </c>
      <c r="O13" s="3"/>
      <c r="P13" s="27">
        <f t="shared" si="0"/>
        <v>4000</v>
      </c>
      <c r="Q13" s="3">
        <f t="shared" si="1"/>
        <v>11</v>
      </c>
    </row>
    <row r="14" ht="16.5" customHeight="1">
      <c r="B14" s="8" t="s">
        <v>5727</v>
      </c>
      <c r="C14" s="8" t="s">
        <v>5728</v>
      </c>
      <c r="D14" s="8" t="s">
        <v>5729</v>
      </c>
      <c r="E14" s="31" t="s">
        <v>5723</v>
      </c>
      <c r="F14" s="11">
        <v>350000</v>
      </c>
      <c r="G14" s="8" t="s">
        <v>5713</v>
      </c>
      <c r="H14" s="12">
        <v>0.5</v>
      </c>
      <c r="I14" s="8" t="s">
        <v>5679</v>
      </c>
      <c r="J14" s="8" t="s">
        <v>73</v>
      </c>
      <c r="K14" s="8" t="s">
        <v>192</v>
      </c>
      <c r="L14" s="8" t="s">
        <v>5668</v>
      </c>
      <c r="M14" s="8" t="s">
        <v>5730</v>
      </c>
      <c r="N14" s="8" t="s">
        <v>5681</v>
      </c>
      <c r="O14" s="8"/>
      <c r="P14" s="28">
        <f t="shared" si="0"/>
        <v>1750</v>
      </c>
      <c r="Q14" s="8">
        <f t="shared" si="1"/>
        <v>7</v>
      </c>
    </row>
    <row r="15" ht="16.5" customHeight="1">
      <c r="B15" s="3" t="s">
        <v>5731</v>
      </c>
      <c r="C15" s="3" t="s">
        <v>5732</v>
      </c>
      <c r="D15" s="3" t="s">
        <v>5733</v>
      </c>
      <c r="E15" s="32" t="s">
        <v>5734</v>
      </c>
      <c r="F15" s="13">
        <v>1500000</v>
      </c>
      <c r="G15" s="3" t="s">
        <v>5735</v>
      </c>
      <c r="H15" s="14">
        <v>0.3</v>
      </c>
      <c r="I15" s="3" t="s">
        <v>5667</v>
      </c>
      <c r="J15" s="3" t="s">
        <v>159</v>
      </c>
      <c r="K15" s="3" t="s">
        <v>188</v>
      </c>
      <c r="L15" s="3" t="s">
        <v>5668</v>
      </c>
      <c r="M15" s="3" t="s">
        <v>5730</v>
      </c>
      <c r="N15" s="3" t="s">
        <v>5736</v>
      </c>
      <c r="O15" s="3"/>
      <c r="P15" s="27">
        <f t="shared" si="0"/>
        <v>4500</v>
      </c>
      <c r="Q15" s="3">
        <f t="shared" si="1"/>
        <v>6</v>
      </c>
    </row>
    <row r="16" ht="16.5" customHeight="1">
      <c r="B16" s="8" t="s">
        <v>5737</v>
      </c>
      <c r="C16" s="8" t="s">
        <v>5738</v>
      </c>
      <c r="D16" s="8" t="s">
        <v>5739</v>
      </c>
      <c r="E16" s="32" t="s">
        <v>5734</v>
      </c>
      <c r="F16" s="11">
        <v>900000</v>
      </c>
      <c r="G16" s="8" t="s">
        <v>5740</v>
      </c>
      <c r="H16" s="12">
        <v>0.3</v>
      </c>
      <c r="I16" s="8" t="s">
        <v>5679</v>
      </c>
      <c r="J16" s="8" t="s">
        <v>196</v>
      </c>
      <c r="K16" s="8" t="s">
        <v>194</v>
      </c>
      <c r="L16" s="8" t="s">
        <v>5668</v>
      </c>
      <c r="M16" s="8" t="s">
        <v>5675</v>
      </c>
      <c r="N16" s="8" t="s">
        <v>5670</v>
      </c>
      <c r="O16" s="8"/>
      <c r="P16" s="28">
        <f t="shared" si="0"/>
        <v>2700</v>
      </c>
      <c r="Q16" s="8">
        <f t="shared" si="1"/>
        <v>8</v>
      </c>
    </row>
    <row r="17" ht="16.5" customHeight="1">
      <c r="B17" s="3" t="s">
        <v>5741</v>
      </c>
      <c r="C17" s="3" t="s">
        <v>5742</v>
      </c>
      <c r="D17" s="3" t="s">
        <v>5743</v>
      </c>
      <c r="E17" s="33" t="s">
        <v>5744</v>
      </c>
      <c r="F17" s="13">
        <v>2000000</v>
      </c>
      <c r="G17" s="3" t="s">
        <v>5745</v>
      </c>
      <c r="H17" s="14">
        <v>0.1</v>
      </c>
      <c r="I17" s="3" t="s">
        <v>5667</v>
      </c>
      <c r="J17" s="3" t="s">
        <v>46</v>
      </c>
      <c r="K17" s="3" t="s">
        <v>5725</v>
      </c>
      <c r="L17" s="3" t="s">
        <v>5746</v>
      </c>
      <c r="M17" s="3" t="s">
        <v>5747</v>
      </c>
      <c r="N17" s="3" t="s">
        <v>5686</v>
      </c>
      <c r="O17" s="3"/>
      <c r="P17" s="27">
        <f t="shared" si="0"/>
        <v>2000</v>
      </c>
      <c r="Q17" s="3">
        <f t="shared" si="1"/>
        <v>14</v>
      </c>
    </row>
    <row r="18" ht="16.5" customHeight="1">
      <c r="B18" s="8" t="s">
        <v>5748</v>
      </c>
      <c r="C18" s="8" t="s">
        <v>5749</v>
      </c>
      <c r="D18" s="8" t="s">
        <v>5750</v>
      </c>
      <c r="E18" s="33" t="s">
        <v>5744</v>
      </c>
      <c r="F18" s="11">
        <v>500000</v>
      </c>
      <c r="G18" s="8" t="s">
        <v>5751</v>
      </c>
      <c r="H18" s="12">
        <v>0.1</v>
      </c>
      <c r="I18" s="8" t="s">
        <v>5679</v>
      </c>
      <c r="J18" s="8" t="s">
        <v>204</v>
      </c>
      <c r="K18" s="8" t="s">
        <v>202</v>
      </c>
      <c r="L18" s="8" t="s">
        <v>5746</v>
      </c>
      <c r="M18" s="8" t="s">
        <v>5686</v>
      </c>
      <c r="N18" s="8" t="s">
        <v>5726</v>
      </c>
      <c r="O18" s="8"/>
      <c r="P18" s="28">
        <f t="shared" si="0"/>
        <v>500</v>
      </c>
      <c r="Q18" s="8">
        <f t="shared" si="1"/>
        <v>11</v>
      </c>
    </row>
    <row r="19" ht="15.75" customHeight="1">
      <c r="B19" s="3"/>
      <c r="C19" s="3"/>
      <c r="D19" s="3"/>
      <c r="E19" s="3"/>
      <c r="F19" s="13"/>
      <c r="G19" s="3"/>
      <c r="H19" s="14"/>
      <c r="I19" s="3"/>
      <c r="J19" s="3"/>
      <c r="K19" s="3"/>
      <c r="L19" s="3"/>
      <c r="M19" s="3"/>
      <c r="N19" s="3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0846E48-4E98-4D5F-8058-5548388019DA}" mc:Ignorable="x14ac xr xr2 xr3">
  <dimension ref="A1:GR50000"/>
  <sheetViews>
    <sheetView topLeftCell="O1" workbookViewId="0">
      <selection activeCell="T2" sqref="T2"/>
    </sheetView>
  </sheetViews>
  <sheetFormatPr defaultRowHeight="15" defaultColWidth="7.75390625" customHeight="1"/>
  <cols>
    <col min="1" max="1" width="3.75390625" customWidth="1"/>
    <col min="2" max="2" width="18.75390625" customWidth="1"/>
    <col min="3" max="3" width="3.75390625" customWidth="1"/>
    <col min="4" max="4" width="25.00390625" customWidth="1"/>
    <col min="5" max="5" width="3.75390625" customWidth="1"/>
    <col min="6" max="6" width="18.75390625" customWidth="1"/>
    <col min="7" max="7" width="3.75390625" customWidth="1"/>
    <col min="8" max="8" width="22.50390625" customWidth="1"/>
    <col min="9" max="9" width="3.75390625" customWidth="1"/>
    <col min="10" max="10" width="18.75390625" customWidth="1"/>
    <col min="11" max="11" width="3.75390625" customWidth="1"/>
    <col min="12" max="12" width="21.25390625" customWidth="1"/>
    <col min="13" max="13" width="3.75390625" customWidth="1"/>
    <col min="14" max="14" width="16.25390625" customWidth="1"/>
    <col min="15" max="15" width="3.75390625" customWidth="1"/>
    <col min="16" max="16" width="21.25390625" customWidth="1"/>
    <col min="17" max="17" width="3.75390625" customWidth="1"/>
    <col min="18" max="18" width="18.75390625" customWidth="1"/>
    <col min="19" max="19" width="3.75390625" customWidth="1"/>
    <col min="20" max="20" width="15.00390625" customWidth="1"/>
    <col min="21" max="21" width="3.75390625" customWidth="1"/>
    <col min="22" max="22" width="18.75390625" customWidth="1"/>
  </cols>
  <sheetData>
    <row r="2" ht="15.75" customHeight="1">
      <c r="B2" s="34" t="s">
        <v>5752</v>
      </c>
      <c r="D2" s="34" t="s">
        <v>5753</v>
      </c>
      <c r="F2" s="34" t="s">
        <v>5754</v>
      </c>
      <c r="H2" s="34" t="s">
        <v>5755</v>
      </c>
      <c r="J2" s="34" t="s">
        <v>5756</v>
      </c>
      <c r="L2" s="34" t="s">
        <v>5757</v>
      </c>
      <c r="N2" s="34" t="s">
        <v>5758</v>
      </c>
      <c r="P2" s="34" t="s">
        <v>5759</v>
      </c>
      <c r="R2" s="34" t="s">
        <v>11</v>
      </c>
      <c r="T2" s="35" t="s">
        <v>5760</v>
      </c>
      <c r="V2" s="35" t="s">
        <v>5761</v>
      </c>
    </row>
    <row r="3" ht="16.5" customHeight="1">
      <c r="B3" t="s">
        <v>140</v>
      </c>
      <c r="D3" t="s">
        <v>95</v>
      </c>
      <c r="F3" t="s">
        <v>5744</v>
      </c>
      <c r="H3" t="s">
        <v>150</v>
      </c>
      <c r="J3" t="s">
        <v>62</v>
      </c>
      <c r="L3" t="s">
        <v>5762</v>
      </c>
      <c r="N3" t="s">
        <v>59</v>
      </c>
      <c r="P3" t="s">
        <v>121</v>
      </c>
      <c r="R3" t="s">
        <v>122</v>
      </c>
      <c r="T3" t="s">
        <v>54</v>
      </c>
      <c r="V3" t="s">
        <v>132</v>
      </c>
    </row>
    <row r="4" ht="16.5" customHeight="1">
      <c r="B4" t="s">
        <v>119</v>
      </c>
      <c r="D4" t="s">
        <v>117</v>
      </c>
      <c r="F4" t="s">
        <v>5734</v>
      </c>
      <c r="H4" t="s">
        <v>130</v>
      </c>
      <c r="J4" t="s">
        <v>118</v>
      </c>
      <c r="L4" t="s">
        <v>145</v>
      </c>
      <c r="N4" t="s">
        <v>55</v>
      </c>
      <c r="P4" t="s">
        <v>143</v>
      </c>
      <c r="R4" t="s">
        <v>5763</v>
      </c>
      <c r="T4" t="s">
        <v>58</v>
      </c>
      <c r="V4" t="s">
        <v>55</v>
      </c>
    </row>
    <row r="5" ht="16.5" customHeight="1">
      <c r="B5" t="s">
        <v>156</v>
      </c>
      <c r="D5" t="s">
        <v>159</v>
      </c>
      <c r="F5" t="s">
        <v>5723</v>
      </c>
      <c r="H5" t="s">
        <v>5764</v>
      </c>
      <c r="J5" t="s">
        <v>47</v>
      </c>
      <c r="L5" t="s">
        <v>5765</v>
      </c>
      <c r="N5" t="s">
        <v>322</v>
      </c>
      <c r="P5" t="s">
        <v>149</v>
      </c>
      <c r="R5" t="s">
        <v>180</v>
      </c>
      <c r="V5" t="s">
        <v>59</v>
      </c>
    </row>
    <row r="6" ht="16.5" customHeight="1">
      <c r="B6" t="s">
        <v>162</v>
      </c>
      <c r="D6" t="s">
        <v>168</v>
      </c>
      <c r="F6" t="s">
        <v>180</v>
      </c>
      <c r="H6" t="s">
        <v>5766</v>
      </c>
      <c r="J6" t="s">
        <v>91</v>
      </c>
      <c r="L6" t="s">
        <v>5767</v>
      </c>
      <c r="N6" t="s">
        <v>1627</v>
      </c>
      <c r="P6" t="s">
        <v>63</v>
      </c>
      <c r="R6" t="s">
        <v>5768</v>
      </c>
      <c r="V6" t="s">
        <v>5769</v>
      </c>
    </row>
    <row r="7" ht="16.5" customHeight="1">
      <c r="B7" t="s">
        <v>169</v>
      </c>
      <c r="D7" t="s">
        <v>73</v>
      </c>
      <c r="F7" t="s">
        <v>176</v>
      </c>
      <c r="H7" t="s">
        <v>52</v>
      </c>
      <c r="J7" t="s">
        <v>148</v>
      </c>
      <c r="L7" t="s">
        <v>129</v>
      </c>
      <c r="N7" t="s">
        <v>5770</v>
      </c>
    </row>
    <row r="8" ht="16.5" customHeight="1">
      <c r="B8" t="s">
        <v>49</v>
      </c>
      <c r="D8" t="s">
        <v>196</v>
      </c>
      <c r="F8" t="s">
        <v>123</v>
      </c>
    </row>
    <row r="9" ht="16.5" customHeight="1">
      <c r="B9" t="s">
        <v>63</v>
      </c>
      <c r="D9" t="s">
        <v>199</v>
      </c>
      <c r="F9" t="s">
        <v>5771</v>
      </c>
    </row>
    <row r="10" ht="16.5" customHeight="1">
      <c r="D10" t="s">
        <v>137</v>
      </c>
    </row>
    <row r="11" ht="16.5" customHeight="1">
      <c r="D11" t="s">
        <v>204</v>
      </c>
    </row>
    <row r="12" ht="16.5" customHeight="1">
      <c r="D12" t="s">
        <v>46</v>
      </c>
    </row>
    <row r="13" ht="16.5" customHeight="1">
      <c r="D13" t="s">
        <v>66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85ABA8-A0FE-1BAC-9DE8-E264B50F7AE5}" mc:Ignorable="x14ac xr xr2 xr3">
  <dimension ref="A1:GR50000"/>
  <sheetViews>
    <sheetView topLeftCell="A1" workbookViewId="0">
      <pane ySplit="2" topLeftCell="A3" activePane="bottomLeft" state="frozen"/>
      <selection pane="bottomLeft" activeCell="B2" sqref="B2"/>
    </sheetView>
  </sheetViews>
  <sheetFormatPr defaultRowHeight="15" defaultColWidth="7.75390625" customHeight="1"/>
  <cols>
    <col min="1" max="1" width="3.75390625" customWidth="1"/>
    <col min="2" max="2" width="12.50390625" customWidth="1"/>
    <col min="3" max="3" width="18.75390625" customWidth="1"/>
    <col min="4" max="4" width="37.50390625" customWidth="1"/>
    <col min="5" max="5" width="15.00390625" customWidth="1"/>
    <col min="6" max="7" width="13.75390625" customWidth="1"/>
    <col min="8" max="8" width="15.00390625" customWidth="1"/>
    <col min="9" max="9" width="43.75390625" customWidth="1"/>
    <col min="10" max="10" width="18.75390625" customWidth="1"/>
  </cols>
  <sheetData>
    <row r="2" ht="15.75" customHeight="1">
      <c r="B2" s="2" t="s">
        <v>5772</v>
      </c>
      <c r="C2" s="2" t="s">
        <v>5773</v>
      </c>
      <c r="D2" s="2" t="s">
        <v>5774</v>
      </c>
      <c r="E2" s="2" t="s">
        <v>5661</v>
      </c>
      <c r="F2" s="2" t="s">
        <v>5775</v>
      </c>
      <c r="G2" s="2" t="s">
        <v>5776</v>
      </c>
      <c r="H2" s="2" t="s">
        <v>5777</v>
      </c>
      <c r="I2" s="2" t="s">
        <v>5778</v>
      </c>
      <c r="J2" s="2" t="s">
        <v>5779</v>
      </c>
    </row>
    <row r="3" ht="16.5" customHeight="1">
      <c r="B3" s="3" t="s">
        <v>5780</v>
      </c>
      <c r="C3" s="3" t="s">
        <v>119</v>
      </c>
      <c r="D3" s="3" t="s">
        <v>5781</v>
      </c>
      <c r="E3" s="3" t="s">
        <v>55</v>
      </c>
      <c r="F3" s="3" t="s">
        <v>5730</v>
      </c>
      <c r="G3" s="3" t="s">
        <v>124</v>
      </c>
      <c r="H3" s="27">
        <v>750000</v>
      </c>
      <c r="I3" s="3" t="s">
        <v>5782</v>
      </c>
      <c r="J3" s="3" t="s">
        <v>5783</v>
      </c>
    </row>
    <row r="4" ht="16.5" customHeight="1">
      <c r="B4" s="8" t="s">
        <v>5784</v>
      </c>
      <c r="C4" s="8" t="s">
        <v>140</v>
      </c>
      <c r="D4" s="8" t="s">
        <v>5672</v>
      </c>
      <c r="E4" s="8" t="s">
        <v>55</v>
      </c>
      <c r="F4" s="8" t="s">
        <v>5696</v>
      </c>
      <c r="G4" s="8" t="s">
        <v>5673</v>
      </c>
      <c r="H4" s="28">
        <v>500000</v>
      </c>
      <c r="I4" s="8" t="s">
        <v>5785</v>
      </c>
      <c r="J4" s="8" t="s">
        <v>5786</v>
      </c>
    </row>
    <row r="5" ht="16.5" customHeight="1">
      <c r="B5" s="3" t="s">
        <v>5787</v>
      </c>
      <c r="C5" s="3" t="s">
        <v>169</v>
      </c>
      <c r="D5" s="3" t="s">
        <v>5677</v>
      </c>
      <c r="E5" s="3" t="s">
        <v>55</v>
      </c>
      <c r="F5" s="3" t="s">
        <v>5681</v>
      </c>
      <c r="G5" s="3" t="s">
        <v>171</v>
      </c>
      <c r="H5" s="27">
        <v>200000</v>
      </c>
      <c r="I5" s="3" t="s">
        <v>5788</v>
      </c>
      <c r="J5" s="3" t="s">
        <v>166</v>
      </c>
    </row>
    <row r="6" ht="16.5" customHeight="1">
      <c r="B6" s="8" t="s">
        <v>5789</v>
      </c>
      <c r="C6" s="8" t="s">
        <v>162</v>
      </c>
      <c r="D6" s="8" t="s">
        <v>5683</v>
      </c>
      <c r="E6" s="8" t="s">
        <v>55</v>
      </c>
      <c r="F6" s="8" t="s">
        <v>5680</v>
      </c>
      <c r="G6" s="8" t="s">
        <v>5700</v>
      </c>
      <c r="H6" s="28">
        <v>1200000</v>
      </c>
      <c r="I6" s="8" t="s">
        <v>5790</v>
      </c>
      <c r="J6" s="8" t="s">
        <v>5684</v>
      </c>
    </row>
    <row r="7" ht="16.5" customHeight="1">
      <c r="B7" s="3" t="s">
        <v>5791</v>
      </c>
      <c r="C7" s="3" t="s">
        <v>156</v>
      </c>
      <c r="D7" s="3" t="s">
        <v>5792</v>
      </c>
      <c r="E7" s="3" t="s">
        <v>5668</v>
      </c>
      <c r="F7" s="3" t="s">
        <v>5793</v>
      </c>
      <c r="G7" s="3" t="s">
        <v>124</v>
      </c>
      <c r="H7" s="27">
        <v>3000000</v>
      </c>
      <c r="I7" s="3" t="s">
        <v>5794</v>
      </c>
      <c r="J7" s="3" t="s">
        <v>5795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B2BE81E-F178-674B-799F-44708DEF1111}" mc:Ignorable="x14ac xr xr2 xr3">
  <dimension ref="A1:GR50000"/>
  <sheetViews>
    <sheetView topLeftCell="A1" workbookViewId="0">
      <pane ySplit="2" topLeftCell="A3" activePane="bottomLeft" state="frozen"/>
      <selection pane="bottomLeft" activeCell="B2" sqref="B2"/>
    </sheetView>
  </sheetViews>
  <sheetFormatPr defaultRowHeight="15" defaultColWidth="7.75390625" customHeight="1"/>
  <cols>
    <col min="1" max="1" width="3.75390625" customWidth="1"/>
    <col min="2" max="3" width="18.75390625" customWidth="1"/>
    <col min="4" max="4" width="15.00390625" customWidth="1"/>
    <col min="5" max="5" width="43.75390625" customWidth="1"/>
    <col min="6" max="6" width="20.00390625" customWidth="1"/>
    <col min="7" max="7" width="31.25390625" customWidth="1"/>
  </cols>
  <sheetData>
    <row r="2" ht="15.75" customHeight="1">
      <c r="B2" s="2" t="s">
        <v>5773</v>
      </c>
      <c r="C2" s="2" t="s">
        <v>5796</v>
      </c>
      <c r="D2" s="2" t="s">
        <v>5797</v>
      </c>
      <c r="E2" s="2" t="s">
        <v>5798</v>
      </c>
      <c r="F2" s="2" t="s">
        <v>5799</v>
      </c>
      <c r="G2" s="2" t="s">
        <v>5800</v>
      </c>
    </row>
    <row r="3" ht="16.5" customHeight="1">
      <c r="B3" s="3" t="s">
        <v>119</v>
      </c>
      <c r="C3" s="27">
        <v>750000</v>
      </c>
      <c r="D3" s="3" t="s">
        <v>5801</v>
      </c>
      <c r="E3" s="3" t="s">
        <v>5802</v>
      </c>
      <c r="F3" s="27">
        <v>400000</v>
      </c>
      <c r="G3" s="3" t="s">
        <v>152</v>
      </c>
    </row>
    <row r="4" ht="16.5" customHeight="1">
      <c r="B4" s="8" t="s">
        <v>140</v>
      </c>
      <c r="C4" s="28">
        <v>500000</v>
      </c>
      <c r="D4" s="8" t="s">
        <v>5803</v>
      </c>
      <c r="E4" s="8" t="s">
        <v>5804</v>
      </c>
      <c r="F4" s="28">
        <v>300000</v>
      </c>
      <c r="G4" s="8" t="s">
        <v>5805</v>
      </c>
    </row>
    <row r="5" ht="16.5" customHeight="1">
      <c r="B5" s="3" t="s">
        <v>156</v>
      </c>
      <c r="C5" s="27">
        <v>3000000</v>
      </c>
      <c r="D5" s="3" t="s">
        <v>5801</v>
      </c>
      <c r="E5" s="3" t="s">
        <v>5806</v>
      </c>
      <c r="F5" s="27">
        <v>500000</v>
      </c>
      <c r="G5" s="3" t="s">
        <v>152</v>
      </c>
    </row>
    <row r="6" ht="16.5" customHeight="1">
      <c r="B6" s="8" t="s">
        <v>162</v>
      </c>
      <c r="C6" s="28">
        <v>1200000</v>
      </c>
      <c r="D6" s="8" t="s">
        <v>5807</v>
      </c>
      <c r="E6" s="8" t="s">
        <v>5808</v>
      </c>
      <c r="F6" s="28">
        <v>800000</v>
      </c>
      <c r="G6" s="8" t="s">
        <v>152</v>
      </c>
    </row>
    <row r="7" ht="16.5" customHeight="1">
      <c r="B7" s="3" t="s">
        <v>170</v>
      </c>
      <c r="C7" s="27">
        <v>200000</v>
      </c>
      <c r="D7" s="3" t="s">
        <v>5809</v>
      </c>
      <c r="E7" s="3" t="s">
        <v>5810</v>
      </c>
      <c r="F7" s="27">
        <v>180000</v>
      </c>
      <c r="G7" s="3" t="s">
        <v>152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FB03B58-5728-4FB7-BD94-F91FCF28A1EB}" mc:Ignorable="x14ac xr xr2 xr3">
  <dimension ref="A1:GR50000"/>
  <sheetViews>
    <sheetView topLeftCell="A1" workbookViewId="0">
      <selection activeCell="B2" sqref="B2"/>
    </sheetView>
  </sheetViews>
  <sheetFormatPr defaultRowHeight="15" defaultColWidth="7.75390625" customHeight="1"/>
  <cols>
    <col min="1" max="1" width="3.75390625" customWidth="1"/>
    <col min="2" max="2" width="25.00390625" customWidth="1"/>
    <col min="3" max="3" width="31.25390625" customWidth="1"/>
    <col min="4" max="4" width="43.75390625" customWidth="1"/>
  </cols>
  <sheetData>
    <row r="2" ht="15.75" customHeight="1">
      <c r="B2" s="36" t="s">
        <v>5811</v>
      </c>
    </row>
    <row r="4" ht="15.75" customHeight="1">
      <c r="B4" s="37" t="s">
        <v>5812</v>
      </c>
    </row>
    <row r="5" ht="16.5" customHeight="1">
      <c r="B5" t="s">
        <v>5813</v>
      </c>
    </row>
    <row r="7" ht="16.5" customHeight="1">
      <c r="B7" t="s">
        <v>5814</v>
      </c>
    </row>
    <row r="8" ht="16.5" customHeight="1">
      <c r="B8" t="s">
        <v>5815</v>
      </c>
    </row>
    <row r="9" ht="16.5" customHeight="1">
      <c r="B9" t="s">
        <v>5816</v>
      </c>
    </row>
    <row r="10" ht="16.5" customHeight="1">
      <c r="B10" t="s">
        <v>5817</v>
      </c>
    </row>
    <row r="11" ht="16.5" customHeight="1">
      <c r="B11" t="s">
        <v>5818</v>
      </c>
    </row>
    <row r="12" ht="16.5" customHeight="1">
      <c r="B12" t="s">
        <v>5819</v>
      </c>
    </row>
    <row r="14" ht="15.75" customHeight="1">
      <c r="B14" s="37" t="s">
        <v>5820</v>
      </c>
    </row>
    <row r="15" ht="15.75" customHeight="1">
      <c r="B15" s="38" t="s">
        <v>5821</v>
      </c>
      <c r="C15" s="38" t="s">
        <v>5822</v>
      </c>
      <c r="D15" s="38" t="s">
        <v>5823</v>
      </c>
    </row>
    <row r="16" ht="16.5" customHeight="1">
      <c r="B16" t="s">
        <v>150</v>
      </c>
      <c r="C16" t="s">
        <v>5824</v>
      </c>
      <c r="D16" t="s">
        <v>5825</v>
      </c>
    </row>
    <row r="17" ht="16.5" customHeight="1">
      <c r="B17" t="s">
        <v>130</v>
      </c>
      <c r="C17" t="s">
        <v>5826</v>
      </c>
      <c r="D17" t="s">
        <v>5827</v>
      </c>
    </row>
    <row r="18" ht="16.5" customHeight="1">
      <c r="B18" t="s">
        <v>5764</v>
      </c>
      <c r="C18" t="s">
        <v>5828</v>
      </c>
      <c r="D18" t="s">
        <v>5829</v>
      </c>
    </row>
    <row r="19" ht="16.5" customHeight="1">
      <c r="B19" t="s">
        <v>5766</v>
      </c>
      <c r="C19" t="s">
        <v>5830</v>
      </c>
      <c r="D19" t="s">
        <v>5831</v>
      </c>
    </row>
    <row r="20" ht="16.5" customHeight="1">
      <c r="B20" t="s">
        <v>52</v>
      </c>
      <c r="C20" t="s">
        <v>5832</v>
      </c>
      <c r="D20" t="s">
        <v>5833</v>
      </c>
    </row>
    <row r="22" ht="15.75" customHeight="1">
      <c r="B22" s="37" t="s">
        <v>5834</v>
      </c>
    </row>
    <row r="23" ht="15.75" customHeight="1">
      <c r="B23" s="38" t="s">
        <v>5835</v>
      </c>
      <c r="C23" s="38" t="s">
        <v>5836</v>
      </c>
    </row>
    <row r="24" ht="16.5" customHeight="1">
      <c r="B24" t="s">
        <v>5744</v>
      </c>
      <c r="C24" t="s">
        <v>5837</v>
      </c>
    </row>
    <row r="25" ht="16.5" customHeight="1">
      <c r="B25" t="s">
        <v>5734</v>
      </c>
      <c r="C25" t="s">
        <v>5838</v>
      </c>
    </row>
    <row r="26" ht="16.5" customHeight="1">
      <c r="B26" t="s">
        <v>5723</v>
      </c>
      <c r="C26" t="s">
        <v>5839</v>
      </c>
    </row>
    <row r="27" ht="16.5" customHeight="1">
      <c r="B27" t="s">
        <v>180</v>
      </c>
      <c r="C27" t="s">
        <v>5840</v>
      </c>
    </row>
    <row r="28" ht="16.5" customHeight="1">
      <c r="B28" t="s">
        <v>176</v>
      </c>
      <c r="C28" t="s">
        <v>5841</v>
      </c>
    </row>
    <row r="29" ht="16.5" customHeight="1">
      <c r="B29" t="s">
        <v>123</v>
      </c>
      <c r="C29" t="s">
        <v>5842</v>
      </c>
    </row>
    <row r="30" ht="16.5" customHeight="1">
      <c r="B30" t="s">
        <v>5771</v>
      </c>
      <c r="C30" t="s">
        <v>5843</v>
      </c>
    </row>
    <row r="32" ht="15.75" customHeight="1">
      <c r="B32" s="37" t="s">
        <v>5844</v>
      </c>
    </row>
    <row r="33" ht="15.75" customHeight="1">
      <c r="B33" s="38" t="s">
        <v>5845</v>
      </c>
      <c r="C33" s="38" t="s">
        <v>5846</v>
      </c>
    </row>
    <row r="34" ht="16.5" customHeight="1">
      <c r="B34">
        <v>1</v>
      </c>
      <c r="C34" t="s">
        <v>5847</v>
      </c>
    </row>
    <row r="35" ht="16.5" customHeight="1">
      <c r="B35">
        <v>2</v>
      </c>
      <c r="C35" t="s">
        <v>5848</v>
      </c>
    </row>
    <row r="36" ht="16.5" customHeight="1">
      <c r="B36">
        <v>3</v>
      </c>
      <c r="C36" t="s">
        <v>5849</v>
      </c>
    </row>
    <row r="37" ht="16.5" customHeight="1">
      <c r="B37">
        <v>4</v>
      </c>
      <c r="C37" t="s">
        <v>5850</v>
      </c>
    </row>
    <row r="38" ht="16.5" customHeight="1">
      <c r="B38">
        <v>5</v>
      </c>
      <c r="C38" t="s">
        <v>5851</v>
      </c>
    </row>
    <row r="40" ht="15.75" customHeight="1">
      <c r="B40" s="37" t="s">
        <v>5852</v>
      </c>
    </row>
    <row r="41" ht="15.75" customHeight="1">
      <c r="B41" s="38" t="s">
        <v>5853</v>
      </c>
      <c r="C41" s="38" t="s">
        <v>5854</v>
      </c>
    </row>
    <row r="42" ht="16.5" customHeight="1">
      <c r="B42" t="s">
        <v>5855</v>
      </c>
      <c r="C42" t="s">
        <v>5856</v>
      </c>
    </row>
    <row r="43" ht="16.5" customHeight="1">
      <c r="B43" t="s">
        <v>5857</v>
      </c>
      <c r="C43" t="s">
        <v>5858</v>
      </c>
    </row>
    <row r="44" ht="16.5" customHeight="1">
      <c r="B44" t="s">
        <v>5859</v>
      </c>
      <c r="C44" t="s">
        <v>5860</v>
      </c>
    </row>
    <row r="45" ht="16.5" customHeight="1">
      <c r="B45" t="s">
        <v>5861</v>
      </c>
      <c r="C45" t="s">
        <v>5862</v>
      </c>
    </row>
    <row r="47" ht="15.75" customHeight="1">
      <c r="B47" s="37" t="s">
        <v>5863</v>
      </c>
    </row>
    <row r="48" ht="16.5" customHeight="1">
      <c r="B48" t="s">
        <v>5864</v>
      </c>
    </row>
    <row r="49" ht="16.5" customHeight="1">
      <c r="B49" t="s">
        <v>5865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4E80008-9B68-F891-4473-BE40E6D8B416}" mc:Ignorable="x14ac xr xr2 xr3">
  <dimension ref="A1:GR50000"/>
  <sheetViews>
    <sheetView topLeftCell="A48" workbookViewId="0">
      <selection activeCell="B60" sqref="B60"/>
    </sheetView>
  </sheetViews>
  <sheetFormatPr defaultRowHeight="15" defaultColWidth="7.75390625" customHeight="1"/>
  <cols>
    <col min="1" max="1" width="3.75390625" customWidth="1"/>
    <col min="2" max="2" width="37.50390625" customWidth="1"/>
    <col min="3" max="3" width="50.00390625" customWidth="1"/>
  </cols>
  <sheetData>
    <row r="2" ht="15.75" customHeight="1">
      <c r="B2" s="36" t="s">
        <v>5866</v>
      </c>
    </row>
    <row r="4" ht="15.75" customHeight="1">
      <c r="B4" s="39" t="s">
        <v>5867</v>
      </c>
    </row>
    <row r="5" ht="16.5" customHeight="1">
      <c r="B5" t="s">
        <v>5868</v>
      </c>
    </row>
    <row r="6" ht="16.5" customHeight="1">
      <c r="B6" t="s">
        <v>5869</v>
      </c>
    </row>
    <row r="7" ht="16.5" customHeight="1">
      <c r="B7" t="s">
        <v>5870</v>
      </c>
    </row>
    <row r="8" ht="16.5" customHeight="1">
      <c r="B8" t="s">
        <v>5871</v>
      </c>
    </row>
    <row r="9" ht="16.5" customHeight="1">
      <c r="B9" t="s">
        <v>5872</v>
      </c>
    </row>
    <row r="10" ht="16.5" customHeight="1">
      <c r="B10" t="s">
        <v>5873</v>
      </c>
    </row>
    <row r="11" ht="16.5" customHeight="1">
      <c r="B11" t="s">
        <v>5874</v>
      </c>
    </row>
    <row r="12" ht="16.5" customHeight="1">
      <c r="B12" t="s">
        <v>5875</v>
      </c>
    </row>
    <row r="14" ht="15.75" customHeight="1">
      <c r="B14" s="40" t="s">
        <v>5876</v>
      </c>
    </row>
    <row r="15" ht="16.5" customHeight="1">
      <c r="B15" t="s">
        <v>5877</v>
      </c>
    </row>
    <row r="16" ht="16.5" customHeight="1">
      <c r="B16" t="s">
        <v>5869</v>
      </c>
    </row>
    <row r="17" ht="16.5" customHeight="1">
      <c r="B17" t="s">
        <v>5870</v>
      </c>
    </row>
    <row r="18" ht="16.5" customHeight="1">
      <c r="B18" t="s">
        <v>5878</v>
      </c>
    </row>
    <row r="19" ht="16.5" customHeight="1">
      <c r="B19" t="s">
        <v>5879</v>
      </c>
    </row>
    <row r="20" ht="16.5" customHeight="1">
      <c r="B20" t="s">
        <v>5880</v>
      </c>
    </row>
    <row r="21" ht="16.5" customHeight="1">
      <c r="B21" t="s">
        <v>5881</v>
      </c>
    </row>
    <row r="22" ht="16.5" customHeight="1">
      <c r="B22" t="s">
        <v>5882</v>
      </c>
    </row>
    <row r="23" ht="16.5" customHeight="1">
      <c r="B23" t="s">
        <v>5875</v>
      </c>
    </row>
    <row r="25" ht="15.75" customHeight="1">
      <c r="B25" s="41" t="s">
        <v>5883</v>
      </c>
    </row>
    <row r="26" ht="16.5" customHeight="1">
      <c r="B26" t="s">
        <v>5884</v>
      </c>
    </row>
    <row r="27" ht="16.5" customHeight="1">
      <c r="B27" t="s">
        <v>5869</v>
      </c>
    </row>
    <row r="28" ht="16.5" customHeight="1">
      <c r="B28" t="s">
        <v>5870</v>
      </c>
    </row>
    <row r="29" ht="16.5" customHeight="1">
      <c r="B29" t="s">
        <v>5885</v>
      </c>
    </row>
    <row r="30" ht="16.5" customHeight="1">
      <c r="B30" t="s">
        <v>5886</v>
      </c>
    </row>
    <row r="31" ht="16.5" customHeight="1">
      <c r="B31" t="s">
        <v>5887</v>
      </c>
    </row>
    <row r="32" ht="16.5" customHeight="1">
      <c r="B32" t="s">
        <v>5888</v>
      </c>
    </row>
    <row r="33" ht="16.5" customHeight="1">
      <c r="B33" t="s">
        <v>5889</v>
      </c>
    </row>
    <row r="34" ht="16.5" customHeight="1">
      <c r="B34" t="s">
        <v>5890</v>
      </c>
    </row>
    <row r="36" ht="15.75" customHeight="1">
      <c r="B36" s="42" t="s">
        <v>5891</v>
      </c>
    </row>
    <row r="37" ht="16.5" customHeight="1">
      <c r="B37" t="s">
        <v>5892</v>
      </c>
    </row>
    <row r="38" ht="16.5" customHeight="1">
      <c r="B38" t="s">
        <v>5893</v>
      </c>
    </row>
    <row r="39" ht="16.5" customHeight="1">
      <c r="B39" t="s">
        <v>5894</v>
      </c>
    </row>
    <row r="40" ht="16.5" customHeight="1">
      <c r="B40" t="s">
        <v>5895</v>
      </c>
    </row>
    <row r="41" ht="16.5" customHeight="1">
      <c r="B41" t="s">
        <v>5896</v>
      </c>
    </row>
    <row r="43" ht="15.75" customHeight="1">
      <c r="B43" s="37" t="s">
        <v>5897</v>
      </c>
    </row>
    <row r="44" ht="16.5" customHeight="1">
      <c r="B44" t="s">
        <v>5898</v>
      </c>
    </row>
    <row r="45" ht="16.5" customHeight="1">
      <c r="B45" t="s">
        <v>5899</v>
      </c>
    </row>
    <row r="46" ht="16.5" customHeight="1">
      <c r="B46" t="s">
        <v>5900</v>
      </c>
    </row>
    <row r="47" ht="16.5" customHeight="1">
      <c r="B47" t="s">
        <v>5901</v>
      </c>
    </row>
    <row r="49" ht="15.75" customHeight="1">
      <c r="B49" s="37" t="s">
        <v>5902</v>
      </c>
    </row>
    <row r="50" ht="15.75" customHeight="1">
      <c r="B50" s="38" t="s">
        <v>5903</v>
      </c>
      <c r="C50" s="38" t="s">
        <v>5904</v>
      </c>
    </row>
    <row r="51" ht="16.5" customHeight="1">
      <c r="B51" t="s">
        <v>5905</v>
      </c>
      <c r="C51" t="s">
        <v>5906</v>
      </c>
    </row>
    <row r="52" ht="16.5" customHeight="1">
      <c r="B52" t="s">
        <v>5907</v>
      </c>
      <c r="C52" t="s">
        <v>5908</v>
      </c>
    </row>
    <row r="53" ht="16.5" customHeight="1">
      <c r="B53" t="s">
        <v>5909</v>
      </c>
      <c r="C53" t="s">
        <v>5910</v>
      </c>
    </row>
    <row r="54" ht="16.5" customHeight="1">
      <c r="B54" t="s">
        <v>5911</v>
      </c>
      <c r="C54" t="s">
        <v>5912</v>
      </c>
    </row>
    <row r="55" ht="16.5" customHeight="1">
      <c r="B55" t="s">
        <v>5913</v>
      </c>
      <c r="C55" t="s">
        <v>5914</v>
      </c>
    </row>
    <row r="56" ht="16.5" customHeight="1">
      <c r="B56" t="s">
        <v>5915</v>
      </c>
      <c r="C56" t="s">
        <v>5916</v>
      </c>
    </row>
    <row r="57" ht="16.5" customHeight="1">
      <c r="B57" t="s">
        <v>5917</v>
      </c>
      <c r="C57" t="s">
        <v>5918</v>
      </c>
    </row>
    <row r="58" ht="16.5" customHeight="1">
      <c r="B58" t="s">
        <v>5919</v>
      </c>
      <c r="C58" t="s">
        <v>5920</v>
      </c>
    </row>
    <row r="60" ht="15.75" customHeight="1">
      <c r="B60" s="43" t="s">
        <v>5921</v>
      </c>
    </row>
    <row r="61" ht="16.5" customHeight="1">
      <c r="B61" t="s">
        <v>5922</v>
      </c>
    </row>
    <row r="62" ht="16.5" customHeight="1">
      <c r="B62" t="s">
        <v>5923</v>
      </c>
    </row>
    <row r="63" ht="16.5" customHeight="1">
      <c r="B63" t="s">
        <v>5924</v>
      </c>
    </row>
    <row r="64" ht="16.5" customHeight="1">
      <c r="B64" t="s">
        <v>5925</v>
      </c>
    </row>
    <row r="65" ht="15" customHeight="1">
      <c r="B65">
        <v>0</v>
      </c>
    </row>
    <row r="66" ht="16.5" customHeight="1">
      <c r="B66" t="s">
        <v>5926</v>
      </c>
    </row>
    <row r="67" ht="16.5" customHeight="1">
      <c r="B67" t="s">
        <v>5927</v>
      </c>
    </row>
    <row r="68" ht="16.5" customHeight="1">
      <c r="B68" t="s">
        <v>5928</v>
      </c>
    </row>
    <row r="69" ht="15" customHeight="1">
      <c r="B69">
        <v>0</v>
      </c>
    </row>
    <row r="70" ht="16.5" customHeight="1">
      <c r="B70" t="s">
        <v>5929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00C0DE-3418-1958-0E4B-555B3A17B9E8}" mc:Ignorable="x14ac xr xr2 xr3">
  <dimension ref="A1:GR50000"/>
  <sheetViews>
    <sheetView topLeftCell="A1" workbookViewId="0">
      <pane ySplit="2" topLeftCell="A3" activePane="bottomLeft" state="frozen"/>
      <selection pane="bottomLeft" activeCell="A1" sqref="A1"/>
    </sheetView>
  </sheetViews>
  <sheetFormatPr defaultRowHeight="15" defaultColWidth="7.75390625" customHeight="1"/>
  <cols>
    <col min="1" max="1" width="3.75390625" customWidth="1"/>
    <col min="2" max="2" width="13.75390625" customWidth="1"/>
    <col min="3" max="3" width="18.75390625" customWidth="1"/>
    <col min="4" max="4" width="13.75390625" customWidth="1"/>
    <col min="5" max="5" width="18.75390625" customWidth="1"/>
    <col min="6" max="7" width="15.00390625" customWidth="1"/>
    <col min="8" max="8" width="50.00390625" customWidth="1"/>
  </cols>
  <sheetData>
    <row r="2" ht="15.75" customHeight="1">
      <c r="B2" s="1" t="s">
        <v>5930</v>
      </c>
      <c r="C2" s="1" t="s">
        <v>5931</v>
      </c>
      <c r="D2" s="1" t="s">
        <v>0</v>
      </c>
      <c r="E2" s="1" t="s">
        <v>5932</v>
      </c>
      <c r="F2" s="1" t="s">
        <v>5933</v>
      </c>
      <c r="G2" s="1" t="s">
        <v>5934</v>
      </c>
      <c r="H2" s="1" t="s">
        <v>5935</v>
      </c>
    </row>
    <row r="3" ht="16.5" customHeight="1">
      <c r="B3" s="3" t="s">
        <v>5936</v>
      </c>
      <c r="C3" s="3" t="s">
        <v>5667</v>
      </c>
      <c r="D3" s="3" t="s">
        <v>177</v>
      </c>
      <c r="E3" s="3" t="s">
        <v>13</v>
      </c>
      <c r="F3" s="3" t="s">
        <v>5840</v>
      </c>
      <c r="G3" s="3" t="s">
        <v>5838</v>
      </c>
      <c r="H3" s="3" t="s">
        <v>5937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43EBB8-9252-7CD8-0FE8-6C576E03D637}" mc:Ignorable="x14ac xr xr2 xr3">
  <dimension ref="A1:GR50000"/>
  <sheetViews>
    <sheetView topLeftCell="A23" workbookViewId="0">
      <selection activeCell="B35" sqref="B35"/>
    </sheetView>
  </sheetViews>
  <sheetFormatPr defaultRowHeight="15" defaultColWidth="7.75390625" customHeight="1"/>
  <cols>
    <col min="1" max="1" width="3.75390625" customWidth="1"/>
    <col min="2" max="5" width="22.50390625" customWidth="1"/>
    <col min="6" max="6" width="3.75390625" customWidth="1"/>
    <col min="7" max="7" width="18.75390625" customWidth="1"/>
    <col min="8" max="8" width="15.00390625" customWidth="1"/>
  </cols>
  <sheetData>
    <row r="2" ht="15.75" customHeight="1">
      <c r="B2" s="44" t="s">
        <v>5938</v>
      </c>
    </row>
    <row r="4" ht="15.75" customHeight="1">
      <c r="B4" s="45" t="s">
        <v>5939</v>
      </c>
    </row>
    <row r="6" ht="15.75" customHeight="1">
      <c r="D6" s="46" t="s">
        <v>5940</v>
      </c>
      <c r="F6" s="46" t="s">
        <v>5941</v>
      </c>
      <c r="H6" s="46" t="s">
        <v>5942</v>
      </c>
      <c r="J6" s="46" t="s">
        <v>5943</v>
      </c>
    </row>
    <row r="7" ht="15.75" customHeight="1">
      <c r="D7" s="47">
        <f>SUMIF(Master_Data_Features!K:K,"&gt;0",Master_Data_Features!K:K)</f>
        <v>3030000</v>
      </c>
      <c r="F7" s="48">
        <f>_xlfn.SUMIFS(Master_Data_Features!K:K,Master_Data_Features!T:T,"Yes")</f>
        <v>-500000</v>
      </c>
      <c r="H7" s="49">
        <f>COUNTA(Master_Data_Features!B3:B49)</f>
        <v>47</v>
      </c>
      <c r="J7" s="49">
        <f>_xlfn.COUNTIFS(Master_Data_Features!P:P,"Completed",Master_Data_Features!F:F,"Q4 2025")</f>
        <v>0</v>
      </c>
    </row>
    <row r="10" ht="15.75" customHeight="1">
      <c r="D10" s="46" t="s">
        <v>5944</v>
      </c>
      <c r="F10" s="46" t="s">
        <v>5945</v>
      </c>
      <c r="H10" s="46" t="s">
        <v>5946</v>
      </c>
      <c r="J10" s="46" t="s">
        <v>5947</v>
      </c>
    </row>
    <row r="11" ht="15.75" customHeight="1">
      <c r="D11" s="49">
        <f>AVERAGE(Master_Data_Features!AG3:AG49)</f>
        <v>165.602836879433</v>
      </c>
      <c r="F11" s="50">
        <f>0</f>
        <v>0</v>
      </c>
      <c r="H11" s="50">
        <f>COUNTIF(Master_Data_Sales_Pipeline!E:E,"Closed Won")/COUNTA(Master_Data_Sales_Pipeline!B3:B18)</f>
        <v>0.3125</v>
      </c>
      <c r="J11" s="49">
        <f>_xlfn.SUMIFS(Master_Data_Features!AB:AB,Master_Data_Features!F:F,"Q4 2025")</f>
        <v>35</v>
      </c>
    </row>
    <row r="14" ht="15.75" customHeight="1">
      <c r="B14" s="45" t="s">
        <v>5948</v>
      </c>
    </row>
    <row r="16" ht="15.75" customHeight="1">
      <c r="B16" s="51" t="s">
        <v>5949</v>
      </c>
      <c r="G16" s="51" t="s">
        <v>5950</v>
      </c>
    </row>
    <row r="17" ht="15.75" customHeight="1">
      <c r="B17" s="52" t="s">
        <v>5951</v>
      </c>
      <c r="C17" s="52" t="s">
        <v>5952</v>
      </c>
      <c r="D17" s="52" t="s">
        <v>5953</v>
      </c>
      <c r="E17" s="52" t="s">
        <v>5954</v>
      </c>
      <c r="G17" s="52" t="s">
        <v>5955</v>
      </c>
      <c r="H17" s="52" t="s">
        <v>5956</v>
      </c>
    </row>
    <row r="18" ht="16.5" customHeight="1">
      <c r="B18" t="s">
        <v>5957</v>
      </c>
      <c r="G18" t="s">
        <v>156</v>
      </c>
      <c r="H18" s="7">
        <v>3000000</v>
      </c>
    </row>
    <row r="19" ht="16.5" customHeight="1">
      <c r="G19" t="s">
        <v>162</v>
      </c>
      <c r="H19" s="7">
        <v>1200000</v>
      </c>
    </row>
    <row r="20" ht="16.5" customHeight="1">
      <c r="G20" t="s">
        <v>119</v>
      </c>
      <c r="H20" s="7">
        <v>750000</v>
      </c>
    </row>
    <row r="21" ht="16.5" customHeight="1">
      <c r="G21" t="s">
        <v>140</v>
      </c>
      <c r="H21" s="7">
        <v>500000</v>
      </c>
    </row>
    <row r="22" ht="16.5" customHeight="1">
      <c r="G22" t="s">
        <v>170</v>
      </c>
      <c r="H22" s="7">
        <v>200000</v>
      </c>
    </row>
    <row r="24" ht="15.75" customHeight="1">
      <c r="B24" s="45" t="s">
        <v>5958</v>
      </c>
    </row>
    <row r="26" ht="15.75" customHeight="1">
      <c r="B26" s="53" t="s">
        <v>5655</v>
      </c>
      <c r="C26" s="53" t="s">
        <v>5959</v>
      </c>
      <c r="D26" s="53" t="s">
        <v>5956</v>
      </c>
    </row>
    <row r="27" ht="16.5" customHeight="1">
      <c r="B27" t="s">
        <v>5960</v>
      </c>
      <c r="C27">
        <v>5</v>
      </c>
      <c r="D27" t="s">
        <v>5961</v>
      </c>
    </row>
    <row r="28" ht="16.5" customHeight="1">
      <c r="B28" t="s">
        <v>176</v>
      </c>
      <c r="C28">
        <v>2</v>
      </c>
      <c r="D28" t="s">
        <v>5962</v>
      </c>
    </row>
    <row r="29" ht="16.5" customHeight="1">
      <c r="B29" t="s">
        <v>5963</v>
      </c>
      <c r="C29">
        <v>3</v>
      </c>
      <c r="D29" t="s">
        <v>5964</v>
      </c>
    </row>
    <row r="30" ht="16.5" customHeight="1">
      <c r="B30" t="s">
        <v>5965</v>
      </c>
      <c r="C30">
        <v>2</v>
      </c>
      <c r="D30" t="s">
        <v>5966</v>
      </c>
    </row>
    <row r="31" ht="16.5" customHeight="1">
      <c r="B31" t="s">
        <v>5967</v>
      </c>
      <c r="C31">
        <v>2</v>
      </c>
      <c r="D31" t="s">
        <v>5968</v>
      </c>
    </row>
    <row r="32" ht="16.5" customHeight="1">
      <c r="B32" t="s">
        <v>5969</v>
      </c>
      <c r="C32">
        <v>2</v>
      </c>
      <c r="D32" t="s">
        <v>5970</v>
      </c>
    </row>
    <row r="33" ht="15.75" customHeight="1">
      <c r="B33" s="51" t="s">
        <v>5971</v>
      </c>
      <c r="C33" s="51">
        <v>11</v>
      </c>
      <c r="D33" s="51" t="s">
        <v>5972</v>
      </c>
    </row>
    <row r="35" ht="15.75" customHeight="1">
      <c r="B35" s="54" t="s">
        <v>5973</v>
      </c>
    </row>
    <row r="37" ht="16.5" customHeight="1">
      <c r="B37" t="s">
        <v>5974</v>
      </c>
      <c r="C37" s="55">
        <f>COUNTIF(Master_Data_Features!AS:AS,"Yes")</f>
        <v>7</v>
      </c>
      <c r="D37" t="s">
        <v>5975</v>
      </c>
    </row>
    <row r="38" ht="16.5" customHeight="1">
      <c r="B38" t="s">
        <v>5976</v>
      </c>
      <c r="C38" s="55">
        <f>COUNTIF(Master_Data_Features!AS:AS,"No")</f>
        <v>40</v>
      </c>
      <c r="D38" t="s">
        <v>5975</v>
      </c>
    </row>
    <row r="39" ht="16.5" customHeight="1">
      <c r="B39" t="s">
        <v>5977</v>
      </c>
      <c r="C39" s="56">
        <f>_xlfn.SUMIFS(Master_Data_Features!K:K,Master_Data_Features!AS:AS,"Yes")</f>
        <v>0</v>
      </c>
    </row>
    <row r="40" ht="16.5" customHeight="1">
      <c r="B40" t="s">
        <v>5978</v>
      </c>
      <c r="C40" s="56">
        <f>_xlfn.SUMIFS(Master_Data_Features!K:K,Master_Data_Features!AS:AS,"No")</f>
        <v>2530000</v>
      </c>
    </row>
    <row r="41" ht="15" customHeight="1">
      <c r="C41" s="57"/>
    </row>
    <row r="42" ht="16.5" customHeight="1">
      <c r="B42" t="s">
        <v>5979</v>
      </c>
      <c r="C42" s="55">
        <f>COUNTIF(Master_Data_Features!AT:AT,"Complete")</f>
        <v>7</v>
      </c>
      <c r="D42" t="s">
        <v>5980</v>
      </c>
    </row>
    <row r="43" ht="16.5" customHeight="1">
      <c r="B43" t="s">
        <v>5981</v>
      </c>
      <c r="C43" s="55">
        <f>COUNTIF(Master_Data_Features!AU:AU,"Yes")</f>
        <v>14</v>
      </c>
      <c r="D43" t="s">
        <v>5980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91A0C8-B108-4E88-E188-D738EC4D0C58}" mc:Ignorable="x14ac xr xr2 xr3">
  <dimension ref="A1:GR50000"/>
  <sheetViews>
    <sheetView topLeftCell="A1" workbookViewId="0">
      <selection activeCell="B2" sqref="B2"/>
    </sheetView>
  </sheetViews>
  <sheetFormatPr defaultRowHeight="15" defaultColWidth="7.75390625" customHeight="1"/>
  <cols>
    <col min="2" max="2" width="16.00390625" customWidth="1"/>
    <col min="3" max="3" width="55.50390625" customWidth="1"/>
    <col min="4" max="4" width="8.625" customWidth="1"/>
    <col min="5" max="5" width="14.75390625" customWidth="1"/>
    <col min="6" max="6" width="7.00390625" customWidth="1"/>
    <col min="7" max="7" width="11.00390625" customWidth="1"/>
    <col min="8" max="8" width="9.00390625" customWidth="1"/>
    <col min="9" max="9" width="5.625" customWidth="1"/>
    <col min="10" max="10" width="13.875" customWidth="1"/>
    <col min="11" max="11" width="9.00390625" customWidth="1"/>
    <col min="12" max="12" width="5.625" customWidth="1"/>
    <col min="13" max="13" width="11.875" customWidth="1"/>
    <col min="14" max="14" width="15.375" customWidth="1"/>
    <col min="15" max="15" width="18.375" customWidth="1"/>
  </cols>
  <sheetData>
    <row r="1" ht="15" customHeight="1">
      <c r="B1" t="s">
        <v>30</v>
      </c>
      <c r="C1" t="s">
        <v>5982</v>
      </c>
    </row>
    <row r="2" ht="17.25" customHeight="1">
      <c r="B2" s="58" t="s">
        <v>4</v>
      </c>
      <c r="C2" t="s">
        <v>5982</v>
      </c>
    </row>
    <row r="3" ht="15" customHeight="1">
      <c r="B3" t="s">
        <v>2</v>
      </c>
      <c r="C3" t="s">
        <v>5982</v>
      </c>
    </row>
    <row r="5" ht="15" customHeight="1">
      <c r="B5"/>
      <c r="C5"/>
      <c r="D5" t="s">
        <v>5983</v>
      </c>
      <c r="E5" t="s">
        <v>14</v>
      </c>
      <c r="F5"/>
      <c r="G5"/>
      <c r="H5"/>
      <c r="I5"/>
      <c r="J5"/>
      <c r="K5"/>
      <c r="L5"/>
      <c r="M5"/>
      <c r="N5"/>
      <c r="O5"/>
    </row>
    <row r="6" ht="15" customHeight="1">
      <c r="B6"/>
      <c r="C6"/>
      <c r="D6" t="s">
        <v>5956</v>
      </c>
      <c r="E6"/>
      <c r="F6"/>
      <c r="G6" t="s">
        <v>5984</v>
      </c>
      <c r="H6"/>
      <c r="I6"/>
      <c r="J6" t="s">
        <v>5985</v>
      </c>
      <c r="K6"/>
      <c r="L6"/>
      <c r="M6" t="s">
        <v>5986</v>
      </c>
      <c r="N6" t="s">
        <v>5987</v>
      </c>
      <c r="O6" t="s">
        <v>5988</v>
      </c>
    </row>
    <row r="7" ht="15" customHeight="1">
      <c r="B7" t="s">
        <v>6</v>
      </c>
      <c r="C7" t="s">
        <v>1</v>
      </c>
      <c r="D7" t="s">
        <v>5989</v>
      </c>
      <c r="E7" t="s">
        <v>55</v>
      </c>
      <c r="F7" t="s">
        <v>59</v>
      </c>
      <c r="G7" t="s">
        <v>5989</v>
      </c>
      <c r="H7" t="s">
        <v>55</v>
      </c>
      <c r="I7" t="s">
        <v>59</v>
      </c>
      <c r="J7" t="s">
        <v>5989</v>
      </c>
      <c r="K7" t="s">
        <v>55</v>
      </c>
      <c r="L7" t="s">
        <v>59</v>
      </c>
      <c r="M7"/>
      <c r="N7"/>
      <c r="O7"/>
    </row>
    <row r="8" ht="15" customHeight="1">
      <c r="B8" t="s">
        <v>162</v>
      </c>
      <c r="C8"/>
      <c r="D8"/>
      <c r="E8"/>
      <c r="F8"/>
      <c r="G8"/>
      <c r="H8"/>
      <c r="I8"/>
      <c r="J8"/>
      <c r="K8"/>
      <c r="L8"/>
      <c r="M8"/>
      <c r="N8"/>
      <c r="O8"/>
    </row>
    <row r="9" ht="15" customHeight="1">
      <c r="B9"/>
      <c r="C9" t="s">
        <v>161</v>
      </c>
      <c r="D9">
        <v>1200000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1200000</v>
      </c>
      <c r="N9">
        <v>1</v>
      </c>
      <c r="O9">
        <v>0</v>
      </c>
    </row>
    <row r="10" ht="15" customHeight="1">
      <c r="B10"/>
      <c r="C10" t="s">
        <v>164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</row>
    <row r="11" ht="15" customHeight="1">
      <c r="B11" t="s">
        <v>5990</v>
      </c>
      <c r="C11"/>
      <c r="D11">
        <v>1200000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1200000</v>
      </c>
      <c r="N11">
        <v>2</v>
      </c>
      <c r="O11">
        <v>0</v>
      </c>
    </row>
    <row r="12" ht="15" customHeight="1">
      <c r="B12" t="s">
        <v>140</v>
      </c>
      <c r="C12"/>
      <c r="D12"/>
      <c r="E12"/>
      <c r="F12"/>
      <c r="G12"/>
      <c r="H12"/>
      <c r="I12"/>
      <c r="J12"/>
      <c r="K12"/>
      <c r="L12"/>
      <c r="M12"/>
      <c r="N12"/>
      <c r="O12"/>
    </row>
    <row r="13" ht="15" customHeight="1">
      <c r="B13"/>
      <c r="C13" t="s">
        <v>147</v>
      </c>
      <c r="D13">
        <v>0</v>
      </c>
      <c r="E13">
        <v>-500000</v>
      </c>
      <c r="F13">
        <v>0</v>
      </c>
      <c r="G13">
        <v>0</v>
      </c>
      <c r="H13">
        <v>1</v>
      </c>
      <c r="I13">
        <v>0</v>
      </c>
      <c r="J13">
        <v>0</v>
      </c>
      <c r="K13">
        <v>0.7</v>
      </c>
      <c r="L13">
        <v>0</v>
      </c>
      <c r="M13">
        <v>-500000</v>
      </c>
      <c r="N13">
        <v>1</v>
      </c>
      <c r="O13">
        <v>0.7</v>
      </c>
    </row>
    <row r="14" ht="15" customHeight="1">
      <c r="B14"/>
      <c r="C14" t="s">
        <v>142</v>
      </c>
      <c r="D14">
        <v>500000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500000</v>
      </c>
      <c r="N14">
        <v>1</v>
      </c>
      <c r="O14">
        <v>0</v>
      </c>
    </row>
    <row r="15" ht="15" customHeight="1">
      <c r="B15"/>
      <c r="C15" t="s">
        <v>139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</row>
    <row r="16" ht="15" customHeight="1">
      <c r="B16" t="s">
        <v>5991</v>
      </c>
      <c r="C16"/>
      <c r="D16">
        <v>500000</v>
      </c>
      <c r="E16">
        <v>-500000</v>
      </c>
      <c r="F16">
        <v>0</v>
      </c>
      <c r="G16">
        <v>2</v>
      </c>
      <c r="H16">
        <v>1</v>
      </c>
      <c r="I16">
        <v>0</v>
      </c>
      <c r="J16">
        <v>0</v>
      </c>
      <c r="K16">
        <v>0.7</v>
      </c>
      <c r="L16">
        <v>0</v>
      </c>
      <c r="M16">
        <v>0</v>
      </c>
      <c r="N16">
        <v>3</v>
      </c>
      <c r="O16">
        <v>0.7</v>
      </c>
    </row>
    <row r="17" ht="15" customHeight="1">
      <c r="B17" t="s">
        <v>119</v>
      </c>
      <c r="C17"/>
      <c r="D17"/>
      <c r="E17"/>
      <c r="F17"/>
      <c r="G17"/>
      <c r="H17"/>
      <c r="I17"/>
      <c r="J17"/>
      <c r="K17"/>
      <c r="L17"/>
      <c r="M17"/>
      <c r="N17"/>
      <c r="O17"/>
    </row>
    <row r="18" ht="15" customHeight="1">
      <c r="B18"/>
      <c r="C18" t="s">
        <v>136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19" ht="15" customHeight="1">
      <c r="B19"/>
      <c r="C19" t="s">
        <v>116</v>
      </c>
      <c r="D19">
        <v>750000</v>
      </c>
      <c r="E19">
        <v>0</v>
      </c>
      <c r="F19">
        <v>0</v>
      </c>
      <c r="G19">
        <v>1</v>
      </c>
      <c r="H19">
        <v>0</v>
      </c>
      <c r="I19">
        <v>0</v>
      </c>
      <c r="J19">
        <v>0.6</v>
      </c>
      <c r="K19">
        <v>0</v>
      </c>
      <c r="L19">
        <v>0</v>
      </c>
      <c r="M19">
        <v>750000</v>
      </c>
      <c r="N19">
        <v>1</v>
      </c>
      <c r="O19">
        <v>0.6</v>
      </c>
    </row>
    <row r="20" ht="15" customHeight="1">
      <c r="B20"/>
      <c r="C20" t="s">
        <v>134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</row>
    <row r="21" ht="15" customHeight="1">
      <c r="B21" t="s">
        <v>5992</v>
      </c>
      <c r="C21"/>
      <c r="D21">
        <v>750000</v>
      </c>
      <c r="E21">
        <v>0</v>
      </c>
      <c r="F21">
        <v>0</v>
      </c>
      <c r="G21">
        <v>3</v>
      </c>
      <c r="H21">
        <v>0</v>
      </c>
      <c r="I21">
        <v>0</v>
      </c>
      <c r="J21">
        <v>0.6</v>
      </c>
      <c r="K21">
        <v>0</v>
      </c>
      <c r="L21">
        <v>0</v>
      </c>
      <c r="M21">
        <v>750000</v>
      </c>
      <c r="N21">
        <v>3</v>
      </c>
      <c r="O21">
        <v>0.6</v>
      </c>
    </row>
    <row r="22" ht="15" customHeight="1">
      <c r="B22" t="s">
        <v>63</v>
      </c>
      <c r="C22"/>
      <c r="D22"/>
      <c r="E22"/>
      <c r="F22"/>
      <c r="G22"/>
      <c r="H22"/>
      <c r="I22"/>
      <c r="J22"/>
      <c r="K22"/>
      <c r="L22"/>
      <c r="M22"/>
      <c r="N22"/>
      <c r="O22"/>
    </row>
    <row r="23" ht="15" customHeight="1">
      <c r="B23"/>
      <c r="C23" t="s">
        <v>61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</row>
    <row r="24" ht="15" customHeight="1">
      <c r="B24" t="s">
        <v>5993</v>
      </c>
      <c r="C24"/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</row>
    <row r="25" ht="15" customHeight="1">
      <c r="B25" t="s">
        <v>156</v>
      </c>
      <c r="C25"/>
      <c r="D25"/>
      <c r="E25"/>
      <c r="F25"/>
      <c r="G25"/>
      <c r="H25"/>
      <c r="I25"/>
      <c r="J25"/>
      <c r="K25"/>
      <c r="L25"/>
      <c r="M25"/>
      <c r="N25"/>
      <c r="O25"/>
    </row>
    <row r="26" ht="15" customHeight="1">
      <c r="B26"/>
      <c r="C26" t="s">
        <v>155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</row>
    <row r="27" ht="15" customHeight="1">
      <c r="B27"/>
      <c r="C27" t="s">
        <v>158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</row>
    <row r="28" ht="15" customHeight="1">
      <c r="B28" t="s">
        <v>5994</v>
      </c>
      <c r="C28"/>
      <c r="D28">
        <v>0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</row>
    <row r="29" ht="15" customHeight="1">
      <c r="B29" t="s">
        <v>49</v>
      </c>
      <c r="C29"/>
      <c r="D29"/>
      <c r="E29"/>
      <c r="F29"/>
      <c r="G29"/>
      <c r="H29"/>
      <c r="I29"/>
      <c r="J29"/>
      <c r="K29"/>
      <c r="L29"/>
      <c r="M29"/>
      <c r="N29"/>
      <c r="O29"/>
    </row>
    <row r="30" ht="15" customHeight="1">
      <c r="B30"/>
      <c r="C30" t="s">
        <v>82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</row>
    <row r="31" ht="15" customHeight="1">
      <c r="B31"/>
      <c r="C31" t="s">
        <v>112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</row>
    <row r="32" ht="15" customHeight="1">
      <c r="B32"/>
      <c r="C32" t="s">
        <v>57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</row>
    <row r="33" ht="15" customHeight="1">
      <c r="B33"/>
      <c r="C33" t="s">
        <v>201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</row>
    <row r="34" ht="15" customHeight="1">
      <c r="B34"/>
      <c r="C34" t="s">
        <v>203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</row>
    <row r="35" ht="15" customHeight="1">
      <c r="B35"/>
      <c r="C35" t="s">
        <v>105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</row>
    <row r="36" ht="15" customHeight="1">
      <c r="B36"/>
      <c r="C36" t="s">
        <v>68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</row>
    <row r="37" ht="15" customHeight="1">
      <c r="B37"/>
      <c r="C37" t="s">
        <v>185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</row>
    <row r="38" ht="15" customHeight="1">
      <c r="B38"/>
      <c r="C38" t="s">
        <v>78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</row>
    <row r="39" ht="15" customHeight="1">
      <c r="B39"/>
      <c r="C39" t="s">
        <v>94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</row>
    <row r="40" ht="15" customHeight="1">
      <c r="B40"/>
      <c r="C40" t="s">
        <v>114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</row>
    <row r="41" ht="15" customHeight="1">
      <c r="B41"/>
      <c r="C41" t="s">
        <v>84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</row>
    <row r="42" ht="15" customHeight="1">
      <c r="B42"/>
      <c r="C42" t="s">
        <v>80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</row>
    <row r="43" ht="15" customHeight="1">
      <c r="B43"/>
      <c r="C43" t="s">
        <v>75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</row>
    <row r="44" ht="15" customHeight="1">
      <c r="B44"/>
      <c r="C44" t="s">
        <v>88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</row>
    <row r="45" ht="15" customHeight="1">
      <c r="B45"/>
      <c r="C45" t="s">
        <v>101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</row>
    <row r="46" ht="15" customHeight="1">
      <c r="B46"/>
      <c r="C46" t="s">
        <v>108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</row>
    <row r="47" ht="15" customHeight="1">
      <c r="B47"/>
      <c r="C47" t="s">
        <v>45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</row>
    <row r="48" ht="15" customHeight="1">
      <c r="B48"/>
      <c r="C48" t="s">
        <v>198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</row>
    <row r="49" ht="15" customHeight="1">
      <c r="B49"/>
      <c r="C49" t="s">
        <v>193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</row>
    <row r="50" ht="15" customHeight="1">
      <c r="B50"/>
      <c r="C50" t="s">
        <v>72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</row>
    <row r="51" ht="15" customHeight="1">
      <c r="B51"/>
      <c r="C51" t="s">
        <v>90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</row>
    <row r="52" ht="15" customHeight="1">
      <c r="B52"/>
      <c r="C52" t="s">
        <v>195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</row>
    <row r="53" ht="15" customHeight="1">
      <c r="B53"/>
      <c r="C53" t="s">
        <v>99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</row>
    <row r="54" ht="15" customHeight="1">
      <c r="B54"/>
      <c r="C54" t="s">
        <v>110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</row>
    <row r="55" ht="15" customHeight="1">
      <c r="B55"/>
      <c r="C55" t="s">
        <v>65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</row>
    <row r="56" ht="15" customHeight="1">
      <c r="B56"/>
      <c r="C56" t="s">
        <v>189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</row>
    <row r="57" ht="15" customHeight="1">
      <c r="B57"/>
      <c r="C57" t="s">
        <v>70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</row>
    <row r="58" ht="15" customHeight="1">
      <c r="B58"/>
      <c r="C58" t="s">
        <v>86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</row>
    <row r="59" ht="15" customHeight="1">
      <c r="B59"/>
      <c r="C59" t="s">
        <v>191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</row>
    <row r="60" ht="15" customHeight="1">
      <c r="B60"/>
      <c r="C60" t="s">
        <v>103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</row>
    <row r="61" ht="15" customHeight="1">
      <c r="B61"/>
      <c r="C61" t="s">
        <v>187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</row>
    <row r="62" ht="15" customHeight="1">
      <c r="B62"/>
      <c r="C62" t="s">
        <v>97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</row>
    <row r="63" ht="15" customHeight="1">
      <c r="B63" t="s">
        <v>5995</v>
      </c>
      <c r="C63"/>
      <c r="D63">
        <v>0</v>
      </c>
      <c r="E63">
        <v>0</v>
      </c>
      <c r="F63">
        <v>0</v>
      </c>
      <c r="G63">
        <v>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33</v>
      </c>
      <c r="O63">
        <v>0</v>
      </c>
    </row>
    <row r="64" ht="15" customHeight="1">
      <c r="B64" t="s">
        <v>169</v>
      </c>
      <c r="C64"/>
      <c r="D64"/>
      <c r="E64"/>
      <c r="F64"/>
      <c r="G64"/>
      <c r="H64"/>
      <c r="I64"/>
      <c r="J64"/>
      <c r="K64"/>
      <c r="L64"/>
      <c r="M64"/>
      <c r="N64"/>
      <c r="O64"/>
    </row>
    <row r="65" ht="15" customHeight="1">
      <c r="B65"/>
      <c r="C65" t="s">
        <v>167</v>
      </c>
      <c r="D65">
        <v>0</v>
      </c>
      <c r="E65">
        <v>200000</v>
      </c>
      <c r="F65">
        <v>0</v>
      </c>
      <c r="G65">
        <v>0</v>
      </c>
      <c r="H65">
        <v>1</v>
      </c>
      <c r="I65">
        <v>0</v>
      </c>
      <c r="J65">
        <v>0</v>
      </c>
      <c r="K65">
        <v>0.4</v>
      </c>
      <c r="L65">
        <v>0</v>
      </c>
      <c r="M65">
        <v>200000</v>
      </c>
      <c r="N65">
        <v>1</v>
      </c>
      <c r="O65">
        <v>0.4</v>
      </c>
    </row>
    <row r="66" ht="15" customHeight="1">
      <c r="B66"/>
      <c r="C66" t="s">
        <v>174</v>
      </c>
      <c r="D66">
        <v>180000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180000</v>
      </c>
      <c r="N66">
        <v>1</v>
      </c>
      <c r="O66">
        <v>0</v>
      </c>
    </row>
    <row r="67" ht="15" customHeight="1">
      <c r="B67"/>
      <c r="C67" t="s">
        <v>178</v>
      </c>
      <c r="D67">
        <v>0</v>
      </c>
      <c r="E67">
        <v>0</v>
      </c>
      <c r="F67">
        <v>200000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200000</v>
      </c>
      <c r="N67">
        <v>1</v>
      </c>
      <c r="O67">
        <v>0</v>
      </c>
    </row>
    <row r="68" ht="15" customHeight="1">
      <c r="B68" t="s">
        <v>5996</v>
      </c>
      <c r="C68"/>
      <c r="D68">
        <v>180000</v>
      </c>
      <c r="E68">
        <v>200000</v>
      </c>
      <c r="F68">
        <v>200000</v>
      </c>
      <c r="G68">
        <v>1</v>
      </c>
      <c r="H68">
        <v>1</v>
      </c>
      <c r="I68">
        <v>1</v>
      </c>
      <c r="J68">
        <v>0</v>
      </c>
      <c r="K68">
        <v>0.4</v>
      </c>
      <c r="L68">
        <v>0</v>
      </c>
      <c r="M68">
        <v>580000</v>
      </c>
      <c r="N68">
        <v>3</v>
      </c>
      <c r="O68">
        <v>0.4</v>
      </c>
    </row>
    <row r="69" ht="15" customHeight="1">
      <c r="B69" t="s">
        <v>5997</v>
      </c>
      <c r="C69"/>
      <c r="D69">
        <v>2630000</v>
      </c>
      <c r="E69">
        <v>-300000</v>
      </c>
      <c r="F69">
        <v>200000</v>
      </c>
      <c r="G69">
        <v>44</v>
      </c>
      <c r="H69">
        <v>2</v>
      </c>
      <c r="I69">
        <v>1</v>
      </c>
      <c r="J69">
        <v>0.6</v>
      </c>
      <c r="K69">
        <v>0.55</v>
      </c>
      <c r="L69">
        <v>0</v>
      </c>
      <c r="M69">
        <v>2530000</v>
      </c>
      <c r="N69">
        <v>47</v>
      </c>
      <c r="O69">
        <v>0.56666666666667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4A794D-FCD9-C258-75E8-E8FD1761B846}" mc:Ignorable="x14ac xr xr2 xr3">
  <dimension ref="A1:GR50000"/>
  <sheetViews>
    <sheetView topLeftCell="A1" workbookViewId="0">
      <selection activeCell="B2" sqref="B2"/>
    </sheetView>
  </sheetViews>
  <sheetFormatPr defaultRowHeight="15" defaultColWidth="7.75390625" customHeight="1"/>
  <cols>
    <col min="2" max="2" width="18.125" customWidth="1"/>
    <col min="3" max="3" width="55.50390625" customWidth="1"/>
    <col min="4" max="4" width="7.50390625" customWidth="1"/>
    <col min="5" max="5" width="16.375" customWidth="1"/>
    <col min="6" max="6" width="6.75390625" customWidth="1"/>
    <col min="7" max="7" width="7.00390625" customWidth="1"/>
    <col min="8" max="8" width="11.125" customWidth="1"/>
    <col min="9" max="11" width="6.75390625" customWidth="1"/>
    <col min="12" max="12" width="15.00390625" customWidth="1"/>
    <col min="13" max="15" width="6.75390625" customWidth="1"/>
    <col min="16" max="16" width="11.625" customWidth="1"/>
    <col min="17" max="19" width="6.75390625" customWidth="1"/>
    <col min="20" max="20" width="11.875" customWidth="1"/>
    <col min="21" max="21" width="15.50390625" customWidth="1"/>
    <col min="22" max="22" width="19.375" customWidth="1"/>
    <col min="23" max="23" width="16.00390625" customWidth="1"/>
  </cols>
  <sheetData>
    <row r="1" ht="15" customHeight="1">
      <c r="B1" t="s">
        <v>10</v>
      </c>
      <c r="C1" t="s">
        <v>5982</v>
      </c>
    </row>
    <row r="2" ht="17.25" customHeight="1">
      <c r="B2" s="58" t="s">
        <v>2</v>
      </c>
      <c r="C2" t="s">
        <v>5982</v>
      </c>
    </row>
    <row r="3" ht="15" customHeight="1">
      <c r="B3" t="s">
        <v>6</v>
      </c>
      <c r="C3" t="s">
        <v>5982</v>
      </c>
    </row>
    <row r="4" ht="15" customHeight="1">
      <c r="B4" t="s">
        <v>14</v>
      </c>
      <c r="C4" t="s">
        <v>5982</v>
      </c>
    </row>
    <row r="6" ht="15" customHeight="1">
      <c r="B6"/>
      <c r="C6"/>
      <c r="D6" t="s">
        <v>5983</v>
      </c>
      <c r="E6" t="s">
        <v>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ht="15" customHeight="1">
      <c r="B7"/>
      <c r="C7"/>
      <c r="D7" t="s">
        <v>5956</v>
      </c>
      <c r="E7"/>
      <c r="F7"/>
      <c r="G7"/>
      <c r="H7" t="s">
        <v>5998</v>
      </c>
      <c r="I7"/>
      <c r="J7"/>
      <c r="K7"/>
      <c r="L7" t="s">
        <v>5999</v>
      </c>
      <c r="M7"/>
      <c r="N7"/>
      <c r="O7"/>
      <c r="P7" t="s">
        <v>6000</v>
      </c>
      <c r="Q7"/>
      <c r="R7"/>
      <c r="S7"/>
      <c r="T7" t="s">
        <v>5986</v>
      </c>
      <c r="U7" t="s">
        <v>6001</v>
      </c>
      <c r="V7" t="s">
        <v>6002</v>
      </c>
      <c r="W7" t="s">
        <v>6003</v>
      </c>
    </row>
    <row r="8" ht="15" customHeight="1">
      <c r="B8" t="s">
        <v>30</v>
      </c>
      <c r="C8" t="s">
        <v>1</v>
      </c>
      <c r="D8" t="s">
        <v>76</v>
      </c>
      <c r="E8" t="s">
        <v>92</v>
      </c>
      <c r="F8" t="s">
        <v>106</v>
      </c>
      <c r="G8" t="s">
        <v>48</v>
      </c>
      <c r="H8" t="s">
        <v>76</v>
      </c>
      <c r="I8" t="s">
        <v>92</v>
      </c>
      <c r="J8" t="s">
        <v>106</v>
      </c>
      <c r="K8" t="s">
        <v>48</v>
      </c>
      <c r="L8" t="s">
        <v>76</v>
      </c>
      <c r="M8" t="s">
        <v>92</v>
      </c>
      <c r="N8" t="s">
        <v>106</v>
      </c>
      <c r="O8" t="s">
        <v>48</v>
      </c>
      <c r="P8" t="s">
        <v>76</v>
      </c>
      <c r="Q8" t="s">
        <v>92</v>
      </c>
      <c r="R8" t="s">
        <v>106</v>
      </c>
      <c r="S8" t="s">
        <v>48</v>
      </c>
      <c r="T8"/>
      <c r="U8"/>
      <c r="V8"/>
      <c r="W8"/>
    </row>
    <row r="9" ht="15" customHeight="1">
      <c r="B9" t="s">
        <v>150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ht="15" customHeight="1">
      <c r="B10"/>
      <c r="C10" t="s">
        <v>147</v>
      </c>
      <c r="D10">
        <v>0</v>
      </c>
      <c r="E10">
        <v>0</v>
      </c>
      <c r="F10">
        <v>0</v>
      </c>
      <c r="G10">
        <v>-500000</v>
      </c>
      <c r="H10">
        <v>0</v>
      </c>
      <c r="I10">
        <v>0</v>
      </c>
      <c r="J10">
        <v>0</v>
      </c>
      <c r="K10">
        <v>-5000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-500000</v>
      </c>
      <c r="U10">
        <v>-5000</v>
      </c>
      <c r="V10">
        <v>1</v>
      </c>
      <c r="W10">
        <v>1</v>
      </c>
    </row>
    <row r="11" ht="15" customHeight="1">
      <c r="B11" t="s">
        <v>6004</v>
      </c>
      <c r="C11"/>
      <c r="D11">
        <v>0</v>
      </c>
      <c r="E11">
        <v>0</v>
      </c>
      <c r="F11">
        <v>0</v>
      </c>
      <c r="G11">
        <v>-500000</v>
      </c>
      <c r="H11">
        <v>0</v>
      </c>
      <c r="I11">
        <v>0</v>
      </c>
      <c r="J11">
        <v>0</v>
      </c>
      <c r="K11">
        <v>-5000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-500000</v>
      </c>
      <c r="U11">
        <v>-5000</v>
      </c>
      <c r="V11">
        <v>1</v>
      </c>
      <c r="W11">
        <v>1</v>
      </c>
    </row>
    <row r="12" ht="15" customHeight="1">
      <c r="B12" t="s">
        <v>130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ht="15" customHeight="1">
      <c r="B13"/>
      <c r="C13" t="s">
        <v>161</v>
      </c>
      <c r="D13">
        <v>0</v>
      </c>
      <c r="E13">
        <v>0</v>
      </c>
      <c r="F13">
        <v>0</v>
      </c>
      <c r="G13">
        <v>1200000</v>
      </c>
      <c r="H13">
        <v>0</v>
      </c>
      <c r="I13">
        <v>0</v>
      </c>
      <c r="J13">
        <v>0</v>
      </c>
      <c r="K13">
        <v>12000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1200000</v>
      </c>
      <c r="U13">
        <v>12000</v>
      </c>
      <c r="V13">
        <v>0</v>
      </c>
      <c r="W13">
        <v>1</v>
      </c>
    </row>
    <row r="14" ht="15" customHeight="1">
      <c r="B14"/>
      <c r="C14" t="s">
        <v>142</v>
      </c>
      <c r="D14">
        <v>0</v>
      </c>
      <c r="E14">
        <v>0</v>
      </c>
      <c r="F14">
        <v>0</v>
      </c>
      <c r="G14">
        <v>500000</v>
      </c>
      <c r="H14">
        <v>0</v>
      </c>
      <c r="I14">
        <v>0</v>
      </c>
      <c r="J14">
        <v>0</v>
      </c>
      <c r="K14">
        <v>5000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500000</v>
      </c>
      <c r="U14">
        <v>5000</v>
      </c>
      <c r="V14">
        <v>0</v>
      </c>
      <c r="W14">
        <v>1</v>
      </c>
    </row>
    <row r="15" ht="15" customHeight="1">
      <c r="B15"/>
      <c r="C15" t="s">
        <v>116</v>
      </c>
      <c r="D15">
        <v>0</v>
      </c>
      <c r="E15">
        <v>0</v>
      </c>
      <c r="F15">
        <v>0</v>
      </c>
      <c r="G15">
        <v>750000</v>
      </c>
      <c r="H15">
        <v>0</v>
      </c>
      <c r="I15">
        <v>0</v>
      </c>
      <c r="J15">
        <v>0</v>
      </c>
      <c r="K15">
        <v>7500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750000</v>
      </c>
      <c r="U15">
        <v>7500</v>
      </c>
      <c r="V15">
        <v>0</v>
      </c>
      <c r="W15">
        <v>1</v>
      </c>
    </row>
    <row r="16" ht="15" customHeight="1">
      <c r="B16"/>
      <c r="C16" t="s">
        <v>167</v>
      </c>
      <c r="D16">
        <v>0</v>
      </c>
      <c r="E16">
        <v>0</v>
      </c>
      <c r="F16">
        <v>0</v>
      </c>
      <c r="G16">
        <v>200000</v>
      </c>
      <c r="H16">
        <v>0</v>
      </c>
      <c r="I16">
        <v>0</v>
      </c>
      <c r="J16">
        <v>0</v>
      </c>
      <c r="K16">
        <v>2000</v>
      </c>
      <c r="L16">
        <v>0</v>
      </c>
      <c r="M16">
        <v>0</v>
      </c>
      <c r="N16">
        <v>0</v>
      </c>
      <c r="O16">
        <v>6</v>
      </c>
      <c r="P16">
        <v>0</v>
      </c>
      <c r="Q16">
        <v>0</v>
      </c>
      <c r="R16">
        <v>0</v>
      </c>
      <c r="S16">
        <v>1</v>
      </c>
      <c r="T16">
        <v>200000</v>
      </c>
      <c r="U16">
        <v>2000</v>
      </c>
      <c r="V16">
        <v>6</v>
      </c>
      <c r="W16">
        <v>1</v>
      </c>
    </row>
    <row r="17" ht="15" customHeight="1">
      <c r="B17"/>
      <c r="C17" t="s">
        <v>174</v>
      </c>
      <c r="D17">
        <v>180000</v>
      </c>
      <c r="E17">
        <v>0</v>
      </c>
      <c r="F17">
        <v>0</v>
      </c>
      <c r="G17">
        <v>0</v>
      </c>
      <c r="H17">
        <v>1440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0.8</v>
      </c>
      <c r="Q17">
        <v>0</v>
      </c>
      <c r="R17">
        <v>0</v>
      </c>
      <c r="S17">
        <v>0</v>
      </c>
      <c r="T17">
        <v>180000</v>
      </c>
      <c r="U17">
        <v>1440</v>
      </c>
      <c r="V17">
        <v>0</v>
      </c>
      <c r="W17">
        <v>0.8</v>
      </c>
    </row>
    <row r="18" ht="15" customHeight="1">
      <c r="B18"/>
      <c r="C18" t="s">
        <v>178</v>
      </c>
      <c r="D18">
        <v>200000</v>
      </c>
      <c r="E18">
        <v>0</v>
      </c>
      <c r="F18">
        <v>0</v>
      </c>
      <c r="G18">
        <v>0</v>
      </c>
      <c r="H18">
        <v>1000</v>
      </c>
      <c r="I18">
        <v>0</v>
      </c>
      <c r="J18">
        <v>0</v>
      </c>
      <c r="K18">
        <v>0</v>
      </c>
      <c r="L18">
        <v>12</v>
      </c>
      <c r="M18">
        <v>0</v>
      </c>
      <c r="N18">
        <v>0</v>
      </c>
      <c r="O18">
        <v>0</v>
      </c>
      <c r="P18">
        <v>0.5</v>
      </c>
      <c r="Q18">
        <v>0</v>
      </c>
      <c r="R18">
        <v>0</v>
      </c>
      <c r="S18">
        <v>0</v>
      </c>
      <c r="T18">
        <v>200000</v>
      </c>
      <c r="U18">
        <v>1000</v>
      </c>
      <c r="V18">
        <v>12</v>
      </c>
      <c r="W18">
        <v>0.5</v>
      </c>
    </row>
    <row r="19" ht="15" customHeight="1">
      <c r="B19" t="s">
        <v>6005</v>
      </c>
      <c r="C19"/>
      <c r="D19">
        <v>380000</v>
      </c>
      <c r="E19">
        <v>0</v>
      </c>
      <c r="F19">
        <v>0</v>
      </c>
      <c r="G19">
        <v>2650000</v>
      </c>
      <c r="H19">
        <v>2440</v>
      </c>
      <c r="I19">
        <v>0</v>
      </c>
      <c r="J19">
        <v>0</v>
      </c>
      <c r="K19">
        <v>26500</v>
      </c>
      <c r="L19">
        <v>12</v>
      </c>
      <c r="M19">
        <v>0</v>
      </c>
      <c r="N19">
        <v>0</v>
      </c>
      <c r="O19">
        <v>6</v>
      </c>
      <c r="P19">
        <v>0.65</v>
      </c>
      <c r="Q19">
        <v>0</v>
      </c>
      <c r="R19">
        <v>0</v>
      </c>
      <c r="S19">
        <v>1</v>
      </c>
      <c r="T19">
        <v>3030000</v>
      </c>
      <c r="U19">
        <v>28940</v>
      </c>
      <c r="V19">
        <v>18</v>
      </c>
      <c r="W19">
        <v>0.88333333333333</v>
      </c>
    </row>
    <row r="20" ht="15" customHeight="1">
      <c r="B20" t="s">
        <v>52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ht="15" customHeight="1">
      <c r="B21"/>
      <c r="C21" t="s">
        <v>164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ht="15" customHeight="1">
      <c r="B22"/>
      <c r="C22" t="s">
        <v>82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ht="15" customHeight="1">
      <c r="B23"/>
      <c r="C23" t="s">
        <v>112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ht="15" customHeight="1">
      <c r="B24"/>
      <c r="C24" t="s">
        <v>139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ht="15" customHeight="1">
      <c r="B25"/>
      <c r="C25" t="s">
        <v>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ht="15" customHeight="1">
      <c r="B26"/>
      <c r="C26" t="s">
        <v>201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ht="15" customHeight="1">
      <c r="B27"/>
      <c r="C27" t="s">
        <v>203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ht="15" customHeight="1">
      <c r="B28"/>
      <c r="C28" t="s">
        <v>105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ht="15" customHeight="1">
      <c r="B29"/>
      <c r="C29" t="s">
        <v>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ht="15" customHeight="1">
      <c r="B30"/>
      <c r="C30" t="s">
        <v>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ht="15" customHeight="1">
      <c r="B31"/>
      <c r="C31" t="s">
        <v>136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ht="15" customHeight="1">
      <c r="B32"/>
      <c r="C32" t="s">
        <v>134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ht="15" customHeight="1">
      <c r="B33"/>
      <c r="C33" t="s">
        <v>185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ht="15" customHeight="1">
      <c r="B34"/>
      <c r="C34" t="s">
        <v>78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ht="15" customHeight="1">
      <c r="B35"/>
      <c r="C35" t="s">
        <v>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ht="15" customHeight="1">
      <c r="B36"/>
      <c r="C36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ht="15" customHeight="1">
      <c r="B37"/>
      <c r="C37" t="s">
        <v>84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ht="15" customHeight="1">
      <c r="B38"/>
      <c r="C38" t="s">
        <v>80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ht="15" customHeight="1">
      <c r="B39"/>
      <c r="C39" t="s">
        <v>75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ht="15" customHeight="1">
      <c r="B40"/>
      <c r="C40" t="s">
        <v>88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ht="15" customHeight="1">
      <c r="B41"/>
      <c r="C41" t="s">
        <v>101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ht="15" customHeight="1">
      <c r="B42"/>
      <c r="C42" t="s">
        <v>108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ht="15" customHeight="1">
      <c r="B43"/>
      <c r="C43" t="s">
        <v>155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ht="15" customHeight="1">
      <c r="B44"/>
      <c r="C44" t="s">
        <v>158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ht="15" customHeight="1">
      <c r="B45"/>
      <c r="C45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ht="15" customHeight="1">
      <c r="B46"/>
      <c r="C46" t="s">
        <v>198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ht="15" customHeight="1">
      <c r="B47"/>
      <c r="C47" t="s">
        <v>193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ht="15" customHeight="1">
      <c r="B48"/>
      <c r="C48" t="s">
        <v>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ht="15" customHeight="1">
      <c r="B49"/>
      <c r="C49" t="s">
        <v>90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ht="15" customHeight="1">
      <c r="B50"/>
      <c r="C50" t="s">
        <v>195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ht="15" customHeight="1">
      <c r="B51"/>
      <c r="C51" t="s">
        <v>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ht="15" customHeight="1">
      <c r="B52"/>
      <c r="C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ht="15" customHeight="1">
      <c r="B53"/>
      <c r="C53" t="s">
        <v>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ht="15" customHeight="1">
      <c r="B54"/>
      <c r="C54" t="s">
        <v>189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ht="15" customHeight="1">
      <c r="B55"/>
      <c r="C55" t="s">
        <v>70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ht="15" customHeight="1">
      <c r="B56"/>
      <c r="C56" t="s">
        <v>86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ht="15" customHeight="1">
      <c r="B57"/>
      <c r="C57" t="s">
        <v>191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ht="15" customHeight="1">
      <c r="B58"/>
      <c r="C58" t="s">
        <v>103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ht="15" customHeight="1">
      <c r="B59"/>
      <c r="C59" t="s">
        <v>187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ht="15" customHeight="1">
      <c r="B60"/>
      <c r="C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ht="15" customHeight="1">
      <c r="B61" t="s">
        <v>6006</v>
      </c>
      <c r="C61"/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ht="15" customHeight="1">
      <c r="B62" t="s">
        <v>5997</v>
      </c>
      <c r="C62"/>
      <c r="D62">
        <v>380000</v>
      </c>
      <c r="E62">
        <v>0</v>
      </c>
      <c r="F62">
        <v>0</v>
      </c>
      <c r="G62">
        <v>2150000</v>
      </c>
      <c r="H62">
        <v>2440</v>
      </c>
      <c r="I62">
        <v>0</v>
      </c>
      <c r="J62">
        <v>0</v>
      </c>
      <c r="K62">
        <v>21500</v>
      </c>
      <c r="L62">
        <v>12</v>
      </c>
      <c r="M62">
        <v>0</v>
      </c>
      <c r="N62">
        <v>0</v>
      </c>
      <c r="O62">
        <v>7</v>
      </c>
      <c r="P62">
        <v>0.65</v>
      </c>
      <c r="Q62">
        <v>0</v>
      </c>
      <c r="R62">
        <v>0</v>
      </c>
      <c r="S62">
        <v>1</v>
      </c>
      <c r="T62">
        <v>2530000</v>
      </c>
      <c r="U62">
        <v>23940</v>
      </c>
      <c r="V62">
        <v>19</v>
      </c>
      <c r="W62">
        <v>0.9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5E27D8-44B8-662D-E498-C1872FDA17B8}" mc:Ignorable="x14ac xr xr2 xr3">
  <dimension ref="A1:GR50000"/>
  <sheetViews>
    <sheetView topLeftCell="A1" workbookViewId="0">
      <selection activeCell="B2" sqref="B2"/>
    </sheetView>
  </sheetViews>
  <sheetFormatPr defaultRowHeight="15" defaultColWidth="7.75390625" customHeight="1"/>
  <cols>
    <col min="2" max="2" width="17.625" customWidth="1"/>
    <col min="3" max="3" width="16.25390625" customWidth="1"/>
    <col min="4" max="4" width="55.50390625" customWidth="1"/>
    <col min="5" max="5" width="15.00390625" customWidth="1"/>
    <col min="6" max="6" width="21.625" customWidth="1"/>
    <col min="7" max="7" width="6.75390625" customWidth="1"/>
    <col min="8" max="8" width="5.625" customWidth="1"/>
    <col min="9" max="9" width="13.00390625" customWidth="1"/>
    <col min="10" max="10" width="3.50390625" customWidth="1"/>
    <col min="11" max="11" width="6.75390625" customWidth="1"/>
    <col min="12" max="12" width="5.625" customWidth="1"/>
    <col min="13" max="13" width="11.00390625" customWidth="1"/>
    <col min="14" max="14" width="3.50390625" customWidth="1"/>
    <col min="15" max="15" width="6.75390625" customWidth="1"/>
    <col min="16" max="16" width="5.625" customWidth="1"/>
    <col min="17" max="17" width="13.50390625" customWidth="1"/>
    <col min="18" max="18" width="6.625" customWidth="1"/>
    <col min="19" max="19" width="6.75390625" customWidth="1"/>
    <col min="20" max="20" width="5.625" customWidth="1"/>
    <col min="21" max="21" width="19.375" customWidth="1"/>
    <col min="22" max="22" width="17.50390625" customWidth="1"/>
    <col min="23" max="23" width="15.375" customWidth="1"/>
    <col min="24" max="24" width="18.00390625" customWidth="1"/>
  </cols>
  <sheetData>
    <row r="1" ht="15" customHeight="1">
      <c r="B1" t="s">
        <v>30</v>
      </c>
      <c r="C1" t="s">
        <v>5982</v>
      </c>
    </row>
    <row r="2" ht="17.25" customHeight="1">
      <c r="B2" s="58" t="s">
        <v>14</v>
      </c>
      <c r="C2" t="s">
        <v>5982</v>
      </c>
    </row>
    <row r="3" ht="15" customHeight="1">
      <c r="B3" t="s">
        <v>4</v>
      </c>
      <c r="C3" t="s">
        <v>5982</v>
      </c>
    </row>
    <row r="5" ht="15" customHeight="1">
      <c r="B5"/>
      <c r="C5"/>
      <c r="D5"/>
      <c r="E5" t="s">
        <v>5983</v>
      </c>
      <c r="F5" t="s">
        <v>27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ht="15" customHeight="1">
      <c r="B6"/>
      <c r="C6"/>
      <c r="D6"/>
      <c r="E6" t="s">
        <v>5999</v>
      </c>
      <c r="F6"/>
      <c r="G6"/>
      <c r="H6"/>
      <c r="I6" t="s">
        <v>6007</v>
      </c>
      <c r="J6"/>
      <c r="K6"/>
      <c r="L6"/>
      <c r="M6" t="s">
        <v>5984</v>
      </c>
      <c r="N6"/>
      <c r="O6"/>
      <c r="P6"/>
      <c r="Q6" t="s">
        <v>6008</v>
      </c>
      <c r="R6"/>
      <c r="S6"/>
      <c r="T6"/>
      <c r="U6" t="s">
        <v>6002</v>
      </c>
      <c r="V6" t="s">
        <v>6009</v>
      </c>
      <c r="W6" t="s">
        <v>5987</v>
      </c>
      <c r="X6" t="s">
        <v>6010</v>
      </c>
    </row>
    <row r="7" ht="15" customHeight="1">
      <c r="B7" t="s">
        <v>34</v>
      </c>
      <c r="C7" t="s">
        <v>29</v>
      </c>
      <c r="D7" t="s">
        <v>1</v>
      </c>
      <c r="E7" t="s">
        <v>5989</v>
      </c>
      <c r="F7" t="s">
        <v>127</v>
      </c>
      <c r="G7" t="s">
        <v>144</v>
      </c>
      <c r="H7" t="s">
        <v>152</v>
      </c>
      <c r="I7" t="s">
        <v>5989</v>
      </c>
      <c r="J7" t="s">
        <v>127</v>
      </c>
      <c r="K7" t="s">
        <v>144</v>
      </c>
      <c r="L7" t="s">
        <v>152</v>
      </c>
      <c r="M7" t="s">
        <v>5989</v>
      </c>
      <c r="N7" t="s">
        <v>127</v>
      </c>
      <c r="O7" t="s">
        <v>144</v>
      </c>
      <c r="P7" t="s">
        <v>152</v>
      </c>
      <c r="Q7" t="s">
        <v>5989</v>
      </c>
      <c r="R7" t="s">
        <v>127</v>
      </c>
      <c r="S7" t="s">
        <v>144</v>
      </c>
      <c r="T7" t="s">
        <v>152</v>
      </c>
      <c r="U7"/>
      <c r="V7"/>
      <c r="W7"/>
      <c r="X7"/>
    </row>
    <row r="8" ht="15" customHeight="1">
      <c r="B8" t="s">
        <v>5989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ht="15" customHeight="1">
      <c r="B9"/>
      <c r="C9" t="s">
        <v>5989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ht="15" customHeight="1">
      <c r="B10"/>
      <c r="C10"/>
      <c r="D10" t="s">
        <v>164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</row>
    <row r="11" ht="15" customHeight="1">
      <c r="B11"/>
      <c r="C11"/>
      <c r="D11" t="s">
        <v>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</row>
    <row r="12" ht="15" customHeight="1">
      <c r="B12"/>
      <c r="C12"/>
      <c r="D12" t="s">
        <v>112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</row>
    <row r="13" ht="15" customHeight="1">
      <c r="B13"/>
      <c r="C13"/>
      <c r="D13" t="s">
        <v>139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</row>
    <row r="14" ht="15" customHeight="1">
      <c r="B14"/>
      <c r="C14"/>
      <c r="D14" t="s">
        <v>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</row>
    <row r="15" ht="15" customHeight="1">
      <c r="B15"/>
      <c r="C15"/>
      <c r="D15" t="s">
        <v>201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</row>
    <row r="16" ht="15" customHeight="1">
      <c r="B16"/>
      <c r="C16"/>
      <c r="D16" t="s">
        <v>203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</row>
    <row r="17" ht="15" customHeight="1">
      <c r="B17"/>
      <c r="C17"/>
      <c r="D17" t="s">
        <v>105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</row>
    <row r="18" ht="15" customHeight="1">
      <c r="B18"/>
      <c r="C18"/>
      <c r="D18" t="s">
        <v>61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</row>
    <row r="19" ht="15" customHeight="1">
      <c r="B19"/>
      <c r="C19"/>
      <c r="D19" t="s">
        <v>68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</row>
    <row r="20" ht="15" customHeight="1">
      <c r="B20"/>
      <c r="C20"/>
      <c r="D20" t="s">
        <v>136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</row>
    <row r="21" ht="15" customHeight="1">
      <c r="B21"/>
      <c r="C21"/>
      <c r="D21" t="s">
        <v>134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</row>
    <row r="22" ht="15" customHeight="1">
      <c r="B22"/>
      <c r="C22"/>
      <c r="D22" t="s">
        <v>185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</row>
    <row r="23" ht="15" customHeight="1">
      <c r="B23"/>
      <c r="C23"/>
      <c r="D23" t="s">
        <v>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</row>
    <row r="24" ht="15" customHeight="1">
      <c r="B24"/>
      <c r="C24"/>
      <c r="D24" t="s">
        <v>94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</row>
    <row r="25" ht="15" customHeight="1">
      <c r="B25"/>
      <c r="C25"/>
      <c r="D25" t="s">
        <v>114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</row>
    <row r="26" ht="15" customHeight="1">
      <c r="B26"/>
      <c r="C26"/>
      <c r="D26" t="s">
        <v>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</row>
    <row r="27" ht="15" customHeight="1">
      <c r="B27"/>
      <c r="C27"/>
      <c r="D27" t="s">
        <v>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</row>
    <row r="28" ht="15" customHeight="1">
      <c r="B28"/>
      <c r="C28"/>
      <c r="D28" t="s">
        <v>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</row>
    <row r="29" ht="15" customHeight="1">
      <c r="B29"/>
      <c r="C29"/>
      <c r="D29" t="s">
        <v>88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</row>
    <row r="30" ht="15" customHeight="1">
      <c r="B30"/>
      <c r="C30"/>
      <c r="D30" t="s">
        <v>101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</row>
    <row r="31" ht="15" customHeight="1">
      <c r="B31"/>
      <c r="C31"/>
      <c r="D31" t="s">
        <v>108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</row>
    <row r="32" ht="15" customHeight="1">
      <c r="B32"/>
      <c r="C32"/>
      <c r="D32" t="s">
        <v>155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</row>
    <row r="33" ht="15" customHeight="1">
      <c r="B33"/>
      <c r="C33"/>
      <c r="D33" t="s">
        <v>158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</row>
    <row r="34" ht="15" customHeight="1">
      <c r="B34"/>
      <c r="C34"/>
      <c r="D34" t="s">
        <v>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</row>
    <row r="35" ht="15" customHeight="1">
      <c r="B35"/>
      <c r="C35"/>
      <c r="D35" t="s">
        <v>198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</row>
    <row r="36" ht="15" customHeight="1">
      <c r="B36"/>
      <c r="C36"/>
      <c r="D36" t="s">
        <v>193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</row>
    <row r="37" ht="15" customHeight="1">
      <c r="B37"/>
      <c r="C37"/>
      <c r="D37" t="s">
        <v>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</row>
    <row r="38" ht="15" customHeight="1">
      <c r="B38"/>
      <c r="C38"/>
      <c r="D38" t="s">
        <v>90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</row>
    <row r="39" ht="15" customHeight="1">
      <c r="B39"/>
      <c r="C39"/>
      <c r="D39" t="s">
        <v>195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</row>
    <row r="40" ht="15" customHeight="1">
      <c r="B40"/>
      <c r="C40"/>
      <c r="D40" t="s">
        <v>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</row>
    <row r="41" ht="15" customHeight="1">
      <c r="B41"/>
      <c r="C41"/>
      <c r="D41" t="s">
        <v>110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</row>
    <row r="42" ht="15" customHeight="1">
      <c r="B42"/>
      <c r="C42"/>
      <c r="D42" t="s">
        <v>65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</row>
    <row r="43" ht="15" customHeight="1">
      <c r="B43"/>
      <c r="C43"/>
      <c r="D43" t="s">
        <v>189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</row>
    <row r="44" ht="15" customHeight="1">
      <c r="B44"/>
      <c r="C44"/>
      <c r="D44" t="s">
        <v>70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</row>
    <row r="45" ht="15" customHeight="1">
      <c r="B45"/>
      <c r="C45"/>
      <c r="D45" t="s">
        <v>86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</row>
    <row r="46" ht="15" customHeight="1">
      <c r="B46"/>
      <c r="C46"/>
      <c r="D46" t="s">
        <v>191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</row>
    <row r="47" ht="15" customHeight="1">
      <c r="B47"/>
      <c r="C47"/>
      <c r="D47" t="s">
        <v>103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</row>
    <row r="48" ht="15" customHeight="1">
      <c r="B48"/>
      <c r="C48"/>
      <c r="D48" t="s">
        <v>187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</row>
    <row r="49" ht="15" customHeight="1">
      <c r="B49"/>
      <c r="C49"/>
      <c r="D49" t="s">
        <v>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</row>
    <row r="50" ht="15" customHeight="1">
      <c r="B50"/>
      <c r="C50" t="s">
        <v>6011</v>
      </c>
      <c r="D50"/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40</v>
      </c>
      <c r="X50">
        <v>0</v>
      </c>
    </row>
    <row r="51" ht="15" customHeight="1">
      <c r="B51"/>
      <c r="C51" t="s">
        <v>129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ht="15" customHeight="1">
      <c r="B52"/>
      <c r="C52"/>
      <c r="D52" t="s">
        <v>161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</row>
    <row r="53" ht="15" customHeight="1">
      <c r="B53"/>
      <c r="C53"/>
      <c r="D53" t="s">
        <v>116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</row>
    <row r="54" ht="15" customHeight="1">
      <c r="B54"/>
      <c r="C54" t="s">
        <v>6012</v>
      </c>
      <c r="D54"/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</row>
    <row r="55" ht="15" customHeight="1">
      <c r="B55"/>
      <c r="C55" t="s">
        <v>145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ht="15" customHeight="1">
      <c r="B56"/>
      <c r="C56"/>
      <c r="D56" t="s">
        <v>147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-500000</v>
      </c>
      <c r="U56">
        <v>1</v>
      </c>
      <c r="V56">
        <v>0</v>
      </c>
      <c r="W56">
        <v>1</v>
      </c>
      <c r="X56">
        <v>-500000</v>
      </c>
    </row>
    <row r="57" ht="15" customHeight="1">
      <c r="B57"/>
      <c r="C57"/>
      <c r="D57" t="s">
        <v>142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</row>
    <row r="58" ht="15" customHeight="1">
      <c r="B58"/>
      <c r="C58"/>
      <c r="D58" t="s">
        <v>167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6</v>
      </c>
      <c r="V58">
        <v>0</v>
      </c>
      <c r="W58">
        <v>1</v>
      </c>
      <c r="X58">
        <v>0</v>
      </c>
    </row>
    <row r="59" ht="15" customHeight="1">
      <c r="B59"/>
      <c r="C59"/>
      <c r="D59" t="s">
        <v>174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</row>
    <row r="60" ht="15" customHeight="1">
      <c r="B60"/>
      <c r="C60"/>
      <c r="D60" t="s">
        <v>178</v>
      </c>
      <c r="E60">
        <v>0</v>
      </c>
      <c r="F60">
        <v>12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</v>
      </c>
      <c r="V60">
        <v>0</v>
      </c>
      <c r="W60">
        <v>1</v>
      </c>
      <c r="X60">
        <v>0</v>
      </c>
    </row>
    <row r="61" ht="15" customHeight="1">
      <c r="B61"/>
      <c r="C61" t="s">
        <v>6013</v>
      </c>
      <c r="D61"/>
      <c r="E61">
        <v>0</v>
      </c>
      <c r="F61">
        <v>12</v>
      </c>
      <c r="G61">
        <v>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3</v>
      </c>
      <c r="P61">
        <v>1</v>
      </c>
      <c r="Q61">
        <v>0</v>
      </c>
      <c r="R61">
        <v>0</v>
      </c>
      <c r="S61">
        <v>0</v>
      </c>
      <c r="T61">
        <v>-500000</v>
      </c>
      <c r="U61">
        <v>19</v>
      </c>
      <c r="V61">
        <v>0</v>
      </c>
      <c r="W61">
        <v>5</v>
      </c>
      <c r="X61">
        <v>-500000</v>
      </c>
    </row>
    <row r="62" ht="15" customHeight="1">
      <c r="B62" t="s">
        <v>6011</v>
      </c>
      <c r="C62"/>
      <c r="D62"/>
      <c r="E62">
        <v>0</v>
      </c>
      <c r="F62">
        <v>12</v>
      </c>
      <c r="G62">
        <v>6</v>
      </c>
      <c r="H62">
        <v>1</v>
      </c>
      <c r="I62">
        <v>0</v>
      </c>
      <c r="J62">
        <v>0</v>
      </c>
      <c r="K62">
        <v>0</v>
      </c>
      <c r="L62">
        <v>0</v>
      </c>
      <c r="M62">
        <v>40</v>
      </c>
      <c r="N62">
        <v>2</v>
      </c>
      <c r="O62">
        <v>4</v>
      </c>
      <c r="P62">
        <v>1</v>
      </c>
      <c r="Q62">
        <v>0</v>
      </c>
      <c r="R62">
        <v>0</v>
      </c>
      <c r="S62">
        <v>0</v>
      </c>
      <c r="T62">
        <v>-500000</v>
      </c>
      <c r="U62">
        <v>19</v>
      </c>
      <c r="V62">
        <v>0</v>
      </c>
      <c r="W62">
        <v>47</v>
      </c>
      <c r="X62">
        <v>-250000</v>
      </c>
    </row>
    <row r="63" ht="15" customHeight="1">
      <c r="B63" t="s">
        <v>5997</v>
      </c>
      <c r="C63"/>
      <c r="D63"/>
      <c r="E63">
        <v>0</v>
      </c>
      <c r="F63">
        <v>12</v>
      </c>
      <c r="G63">
        <v>6</v>
      </c>
      <c r="H63">
        <v>1</v>
      </c>
      <c r="I63">
        <v>0</v>
      </c>
      <c r="J63">
        <v>0</v>
      </c>
      <c r="K63">
        <v>0</v>
      </c>
      <c r="L63">
        <v>0</v>
      </c>
      <c r="M63">
        <v>40</v>
      </c>
      <c r="N63">
        <v>2</v>
      </c>
      <c r="O63">
        <v>4</v>
      </c>
      <c r="P63">
        <v>1</v>
      </c>
      <c r="Q63">
        <v>0</v>
      </c>
      <c r="R63">
        <v>0</v>
      </c>
      <c r="S63">
        <v>0</v>
      </c>
      <c r="T63">
        <v>-500000</v>
      </c>
      <c r="U63">
        <v>19</v>
      </c>
      <c r="V63">
        <v>0</v>
      </c>
      <c r="W63">
        <v>47</v>
      </c>
      <c r="X63">
        <v>-250000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F0AF58-C1C9-FCEC-BA03-807E910DF2F4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2" max="2" width="16.375" customWidth="1"/>
    <col min="3" max="3" width="29.375" customWidth="1"/>
    <col min="4" max="4" width="55.50390625" customWidth="1"/>
    <col min="5" max="5" width="13.75390625" customWidth="1"/>
    <col min="6" max="6" width="12.875" customWidth="1"/>
    <col min="7" max="7" width="11.25390625" customWidth="1"/>
    <col min="8" max="8" width="15.00390625" customWidth="1"/>
    <col min="9" max="9" width="12.75390625" customWidth="1"/>
    <col min="10" max="10" width="11.25390625" customWidth="1"/>
    <col min="11" max="11" width="13.75390625" customWidth="1"/>
    <col min="12" max="13" width="13.875" customWidth="1"/>
  </cols>
  <sheetData>
    <row r="1" ht="15" customHeight="1">
      <c r="B1" t="s">
        <v>6</v>
      </c>
      <c r="C1" t="s">
        <v>5982</v>
      </c>
    </row>
    <row r="2" ht="15" customHeight="1">
      <c r="B2" s="58" t="s">
        <v>8</v>
      </c>
      <c r="C2" t="s">
        <v>5982</v>
      </c>
    </row>
    <row r="3" ht="15" customHeight="1">
      <c r="B3" t="s">
        <v>14</v>
      </c>
      <c r="C3" t="s">
        <v>5982</v>
      </c>
    </row>
    <row r="5" ht="15" customHeight="1">
      <c r="B5"/>
      <c r="C5"/>
      <c r="D5"/>
      <c r="E5" t="s">
        <v>5983</v>
      </c>
      <c r="F5" t="s">
        <v>30</v>
      </c>
      <c r="G5"/>
      <c r="H5"/>
      <c r="I5"/>
      <c r="J5"/>
      <c r="K5"/>
      <c r="L5"/>
      <c r="M5"/>
      <c r="N5"/>
      <c r="O5"/>
      <c r="P5"/>
    </row>
    <row r="6" ht="15" customHeight="1">
      <c r="B6"/>
      <c r="C6"/>
      <c r="D6"/>
      <c r="E6" t="s">
        <v>5956</v>
      </c>
      <c r="F6"/>
      <c r="G6"/>
      <c r="H6" t="s">
        <v>5999</v>
      </c>
      <c r="I6"/>
      <c r="J6"/>
      <c r="K6" t="s">
        <v>6014</v>
      </c>
      <c r="L6"/>
      <c r="M6"/>
      <c r="N6" t="s">
        <v>5986</v>
      </c>
      <c r="O6" t="s">
        <v>6002</v>
      </c>
      <c r="P6" t="s">
        <v>6015</v>
      </c>
    </row>
    <row r="7" ht="15" customHeight="1">
      <c r="B7" t="s">
        <v>4</v>
      </c>
      <c r="C7" t="s">
        <v>2</v>
      </c>
      <c r="D7" t="s">
        <v>1</v>
      </c>
      <c r="E7" t="s">
        <v>150</v>
      </c>
      <c r="F7" t="s">
        <v>130</v>
      </c>
      <c r="G7" t="s">
        <v>52</v>
      </c>
      <c r="H7" t="s">
        <v>150</v>
      </c>
      <c r="I7" t="s">
        <v>130</v>
      </c>
      <c r="J7" t="s">
        <v>52</v>
      </c>
      <c r="K7" t="s">
        <v>150</v>
      </c>
      <c r="L7" t="s">
        <v>130</v>
      </c>
      <c r="M7" t="s">
        <v>52</v>
      </c>
      <c r="N7"/>
      <c r="O7"/>
      <c r="P7"/>
    </row>
    <row r="8" ht="15" customHeight="1">
      <c r="B8" t="s">
        <v>76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ht="15" customHeight="1">
      <c r="B9"/>
      <c r="C9" t="s">
        <v>137</v>
      </c>
      <c r="D9"/>
      <c r="E9"/>
      <c r="F9"/>
      <c r="G9"/>
      <c r="H9"/>
      <c r="I9"/>
      <c r="J9"/>
      <c r="K9"/>
      <c r="L9"/>
      <c r="M9"/>
      <c r="N9"/>
      <c r="O9"/>
      <c r="P9"/>
    </row>
    <row r="10" ht="15" customHeight="1">
      <c r="B10"/>
      <c r="C10"/>
      <c r="D10" t="s">
        <v>201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0</v>
      </c>
      <c r="O10">
        <v>0</v>
      </c>
      <c r="P10">
        <v>5</v>
      </c>
    </row>
    <row r="11" ht="15" customHeight="1">
      <c r="B11"/>
      <c r="C11"/>
      <c r="D11" t="s">
        <v>136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3</v>
      </c>
    </row>
    <row r="12" ht="15" customHeight="1">
      <c r="B12"/>
      <c r="C12"/>
      <c r="D12" t="s">
        <v>155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3</v>
      </c>
    </row>
    <row r="13" ht="15" customHeight="1">
      <c r="B13"/>
      <c r="C13"/>
      <c r="D13" t="s">
        <v>178</v>
      </c>
      <c r="E13">
        <v>0</v>
      </c>
      <c r="F13">
        <v>200000</v>
      </c>
      <c r="G13">
        <v>0</v>
      </c>
      <c r="H13">
        <v>0</v>
      </c>
      <c r="I13">
        <v>12</v>
      </c>
      <c r="J13">
        <v>0</v>
      </c>
      <c r="K13">
        <v>0</v>
      </c>
      <c r="L13">
        <v>2</v>
      </c>
      <c r="M13">
        <v>0</v>
      </c>
      <c r="N13">
        <v>200000</v>
      </c>
      <c r="O13">
        <v>12</v>
      </c>
      <c r="P13">
        <v>2</v>
      </c>
    </row>
    <row r="14" ht="15" customHeight="1">
      <c r="B14"/>
      <c r="C14" t="s">
        <v>6016</v>
      </c>
      <c r="D14"/>
      <c r="E14">
        <v>0</v>
      </c>
      <c r="F14">
        <v>200000</v>
      </c>
      <c r="G14">
        <v>0</v>
      </c>
      <c r="H14">
        <v>0</v>
      </c>
      <c r="I14">
        <v>12</v>
      </c>
      <c r="J14">
        <v>0</v>
      </c>
      <c r="K14">
        <v>0</v>
      </c>
      <c r="L14">
        <v>2</v>
      </c>
      <c r="M14">
        <v>3.6666666666667</v>
      </c>
      <c r="N14">
        <v>200000</v>
      </c>
      <c r="O14">
        <v>12</v>
      </c>
      <c r="P14">
        <v>3.25</v>
      </c>
    </row>
    <row r="15" ht="15" customHeight="1">
      <c r="B15"/>
      <c r="C15" t="s">
        <v>46</v>
      </c>
      <c r="D15"/>
      <c r="E15"/>
      <c r="F15"/>
      <c r="G15"/>
      <c r="H15"/>
      <c r="I15"/>
      <c r="J15"/>
      <c r="K15"/>
      <c r="L15"/>
      <c r="M15"/>
      <c r="N15"/>
      <c r="O15"/>
      <c r="P15"/>
    </row>
    <row r="16" ht="15" customHeight="1">
      <c r="B16"/>
      <c r="C16"/>
      <c r="D16" t="s">
        <v>164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4</v>
      </c>
    </row>
    <row r="17" ht="15" customHeight="1">
      <c r="B17"/>
      <c r="C17"/>
      <c r="D17" t="s">
        <v>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0</v>
      </c>
      <c r="O17">
        <v>0</v>
      </c>
      <c r="P17">
        <v>5</v>
      </c>
    </row>
    <row r="18" ht="15" customHeight="1">
      <c r="B18"/>
      <c r="C18"/>
      <c r="D18" t="s">
        <v>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0</v>
      </c>
      <c r="O18">
        <v>0</v>
      </c>
      <c r="P18">
        <v>5</v>
      </c>
    </row>
    <row r="19" ht="15" customHeight="1">
      <c r="B19"/>
      <c r="C19"/>
      <c r="D19" t="s">
        <v>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0</v>
      </c>
      <c r="O19">
        <v>0</v>
      </c>
      <c r="P19">
        <v>5</v>
      </c>
    </row>
    <row r="20" ht="15" customHeight="1">
      <c r="B20"/>
      <c r="C20"/>
      <c r="D20" t="s">
        <v>86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5</v>
      </c>
    </row>
    <row r="21" ht="15" customHeight="1">
      <c r="B21"/>
      <c r="C21" t="s">
        <v>6017</v>
      </c>
      <c r="D21"/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4.8</v>
      </c>
      <c r="N21">
        <v>0</v>
      </c>
      <c r="O21">
        <v>0</v>
      </c>
      <c r="P21">
        <v>4.8</v>
      </c>
    </row>
    <row r="22" ht="15" customHeight="1">
      <c r="B22"/>
      <c r="C22" t="s">
        <v>66</v>
      </c>
      <c r="D22"/>
      <c r="E22"/>
      <c r="F22"/>
      <c r="G22"/>
      <c r="H22"/>
      <c r="I22"/>
      <c r="J22"/>
      <c r="K22"/>
      <c r="L22"/>
      <c r="M22"/>
      <c r="N22"/>
      <c r="O22"/>
      <c r="P22"/>
    </row>
    <row r="23" ht="15" customHeight="1">
      <c r="B23"/>
      <c r="C23"/>
      <c r="D23" t="s">
        <v>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>
        <v>0</v>
      </c>
      <c r="O23">
        <v>0</v>
      </c>
      <c r="P23">
        <v>5</v>
      </c>
    </row>
    <row r="24" ht="15" customHeight="1">
      <c r="B24"/>
      <c r="C24"/>
      <c r="D24" t="s">
        <v>84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0</v>
      </c>
      <c r="O24">
        <v>0</v>
      </c>
      <c r="P24">
        <v>5</v>
      </c>
    </row>
    <row r="25" ht="15" customHeight="1">
      <c r="B25"/>
      <c r="C25"/>
      <c r="D25" t="s">
        <v>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0</v>
      </c>
      <c r="O25">
        <v>0</v>
      </c>
      <c r="P25">
        <v>5</v>
      </c>
    </row>
    <row r="26" ht="15" customHeight="1">
      <c r="B26"/>
      <c r="C26" t="s">
        <v>6018</v>
      </c>
      <c r="D26"/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</v>
      </c>
      <c r="N26">
        <v>0</v>
      </c>
      <c r="O26">
        <v>0</v>
      </c>
      <c r="P26">
        <v>5</v>
      </c>
    </row>
    <row r="27" ht="15" customHeight="1">
      <c r="B27"/>
      <c r="C27" t="s">
        <v>168</v>
      </c>
      <c r="D27"/>
      <c r="E27"/>
      <c r="F27"/>
      <c r="G27"/>
      <c r="H27"/>
      <c r="I27"/>
      <c r="J27"/>
      <c r="K27"/>
      <c r="L27"/>
      <c r="M27"/>
      <c r="N27"/>
      <c r="O27"/>
      <c r="P27"/>
    </row>
    <row r="28" ht="15" customHeight="1">
      <c r="B28"/>
      <c r="C28"/>
      <c r="D28" t="s">
        <v>191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5</v>
      </c>
    </row>
    <row r="29" ht="15" customHeight="1">
      <c r="B29"/>
      <c r="C29"/>
      <c r="D29" t="s">
        <v>174</v>
      </c>
      <c r="E29">
        <v>0</v>
      </c>
      <c r="F29">
        <v>180000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180000</v>
      </c>
      <c r="O29">
        <v>0</v>
      </c>
      <c r="P29">
        <v>5</v>
      </c>
    </row>
    <row r="30" ht="15" customHeight="1">
      <c r="B30"/>
      <c r="C30" t="s">
        <v>6019</v>
      </c>
      <c r="D30"/>
      <c r="E30">
        <v>0</v>
      </c>
      <c r="F30">
        <v>180000</v>
      </c>
      <c r="G30">
        <v>0</v>
      </c>
      <c r="H30">
        <v>0</v>
      </c>
      <c r="I30">
        <v>0</v>
      </c>
      <c r="J30">
        <v>0</v>
      </c>
      <c r="K30">
        <v>0</v>
      </c>
      <c r="L30">
        <v>5</v>
      </c>
      <c r="M30">
        <v>5</v>
      </c>
      <c r="N30">
        <v>180000</v>
      </c>
      <c r="O30">
        <v>0</v>
      </c>
      <c r="P30">
        <v>5</v>
      </c>
    </row>
    <row r="31" ht="15" customHeight="1">
      <c r="B31"/>
      <c r="C31" t="s">
        <v>117</v>
      </c>
      <c r="D31"/>
      <c r="E31"/>
      <c r="F31"/>
      <c r="G31"/>
      <c r="H31"/>
      <c r="I31"/>
      <c r="J31"/>
      <c r="K31"/>
      <c r="L31"/>
      <c r="M31"/>
      <c r="N31"/>
      <c r="O31"/>
      <c r="P31"/>
    </row>
    <row r="32" ht="15" customHeight="1">
      <c r="B32"/>
      <c r="C32"/>
      <c r="D32" t="s">
        <v>134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3</v>
      </c>
    </row>
    <row r="33" ht="15" customHeight="1">
      <c r="B33"/>
      <c r="C33"/>
      <c r="D33" t="s">
        <v>187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0</v>
      </c>
      <c r="O33">
        <v>0</v>
      </c>
      <c r="P33">
        <v>5</v>
      </c>
    </row>
    <row r="34" ht="15" customHeight="1">
      <c r="B34"/>
      <c r="C34" t="s">
        <v>6020</v>
      </c>
      <c r="D34"/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0</v>
      </c>
      <c r="O34">
        <v>0</v>
      </c>
      <c r="P34">
        <v>4</v>
      </c>
    </row>
    <row r="35" ht="15" customHeight="1">
      <c r="B35" t="s">
        <v>6021</v>
      </c>
      <c r="C35"/>
      <c r="D35"/>
      <c r="E35">
        <v>0</v>
      </c>
      <c r="F35">
        <v>380000</v>
      </c>
      <c r="G35">
        <v>0</v>
      </c>
      <c r="H35">
        <v>0</v>
      </c>
      <c r="I35">
        <v>12</v>
      </c>
      <c r="J35">
        <v>0</v>
      </c>
      <c r="K35">
        <v>0</v>
      </c>
      <c r="L35">
        <v>3.5</v>
      </c>
      <c r="M35">
        <v>4.5</v>
      </c>
      <c r="N35">
        <v>380000</v>
      </c>
      <c r="O35">
        <v>12</v>
      </c>
      <c r="P35">
        <v>4.375</v>
      </c>
    </row>
    <row r="36" ht="15" customHeight="1">
      <c r="B36" t="s">
        <v>92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ht="15" customHeight="1">
      <c r="B37"/>
      <c r="C37" t="s">
        <v>204</v>
      </c>
      <c r="D37"/>
      <c r="E37"/>
      <c r="F37"/>
      <c r="G37"/>
      <c r="H37"/>
      <c r="I37"/>
      <c r="J37"/>
      <c r="K37"/>
      <c r="L37"/>
      <c r="M37"/>
      <c r="N37"/>
      <c r="O37"/>
      <c r="P37"/>
    </row>
    <row r="38" ht="15" customHeight="1">
      <c r="B38"/>
      <c r="C38"/>
      <c r="D38" t="s">
        <v>203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5</v>
      </c>
    </row>
    <row r="39" ht="15" customHeight="1">
      <c r="B39"/>
      <c r="C39" t="s">
        <v>6022</v>
      </c>
      <c r="D39"/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0</v>
      </c>
      <c r="O39">
        <v>0</v>
      </c>
      <c r="P39">
        <v>5</v>
      </c>
    </row>
    <row r="40" ht="15" customHeight="1">
      <c r="B40"/>
      <c r="C40" t="s">
        <v>95</v>
      </c>
      <c r="D40"/>
      <c r="E40"/>
      <c r="F40"/>
      <c r="G40"/>
      <c r="H40"/>
      <c r="I40"/>
      <c r="J40"/>
      <c r="K40"/>
      <c r="L40"/>
      <c r="M40"/>
      <c r="N40"/>
      <c r="O40"/>
      <c r="P40"/>
    </row>
    <row r="41" ht="15" customHeight="1">
      <c r="B41"/>
      <c r="C41"/>
      <c r="D41" t="s">
        <v>185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</v>
      </c>
      <c r="N41">
        <v>0</v>
      </c>
      <c r="O41">
        <v>0</v>
      </c>
      <c r="P41">
        <v>5</v>
      </c>
    </row>
    <row r="42" ht="15" customHeight="1">
      <c r="B42"/>
      <c r="C42"/>
      <c r="D42" t="s">
        <v>94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0</v>
      </c>
      <c r="O42">
        <v>0</v>
      </c>
      <c r="P42">
        <v>4</v>
      </c>
    </row>
    <row r="43" ht="15" customHeight="1">
      <c r="B43"/>
      <c r="C43" t="s">
        <v>6023</v>
      </c>
      <c r="D43"/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</v>
      </c>
      <c r="N43">
        <v>0</v>
      </c>
      <c r="O43">
        <v>0</v>
      </c>
      <c r="P43">
        <v>4.5</v>
      </c>
    </row>
    <row r="44" ht="15" customHeight="1">
      <c r="B44"/>
      <c r="C44" t="s">
        <v>73</v>
      </c>
      <c r="D44"/>
      <c r="E44"/>
      <c r="F44"/>
      <c r="G44"/>
      <c r="H44"/>
      <c r="I44"/>
      <c r="J44"/>
      <c r="K44"/>
      <c r="L44"/>
      <c r="M44"/>
      <c r="N44"/>
      <c r="O44"/>
      <c r="P44"/>
    </row>
    <row r="45" ht="15" customHeight="1">
      <c r="B45"/>
      <c r="C45"/>
      <c r="D45" t="s">
        <v>193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0</v>
      </c>
      <c r="O45">
        <v>0</v>
      </c>
      <c r="P45">
        <v>4</v>
      </c>
    </row>
    <row r="46" ht="15" customHeight="1">
      <c r="B46"/>
      <c r="C46" t="s">
        <v>6024</v>
      </c>
      <c r="D46"/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4</v>
      </c>
    </row>
    <row r="47" ht="15" customHeight="1">
      <c r="B47"/>
      <c r="C47" t="s">
        <v>196</v>
      </c>
      <c r="D47"/>
      <c r="E47"/>
      <c r="F47"/>
      <c r="G47"/>
      <c r="H47"/>
      <c r="I47"/>
      <c r="J47"/>
      <c r="K47"/>
      <c r="L47"/>
      <c r="M47"/>
      <c r="N47"/>
      <c r="O47"/>
      <c r="P47"/>
    </row>
    <row r="48" ht="15" customHeight="1">
      <c r="B48"/>
      <c r="C48"/>
      <c r="D48" t="s">
        <v>195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</v>
      </c>
      <c r="N48">
        <v>0</v>
      </c>
      <c r="O48">
        <v>0</v>
      </c>
      <c r="P48">
        <v>5</v>
      </c>
    </row>
    <row r="49" ht="15" customHeight="1">
      <c r="B49"/>
      <c r="C49" t="s">
        <v>6025</v>
      </c>
      <c r="D49"/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</v>
      </c>
      <c r="N49">
        <v>0</v>
      </c>
      <c r="O49">
        <v>0</v>
      </c>
      <c r="P49">
        <v>5</v>
      </c>
    </row>
    <row r="50" ht="15" customHeight="1">
      <c r="B50"/>
      <c r="C50" t="s">
        <v>46</v>
      </c>
      <c r="D50"/>
      <c r="E50"/>
      <c r="F50"/>
      <c r="G50"/>
      <c r="H50"/>
      <c r="I50"/>
      <c r="J50"/>
      <c r="K50"/>
      <c r="L50"/>
      <c r="M50"/>
      <c r="N50"/>
      <c r="O50"/>
      <c r="P50"/>
    </row>
    <row r="51" ht="15" customHeight="1">
      <c r="B51"/>
      <c r="C51"/>
      <c r="D51" t="s">
        <v>90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>
        <v>0</v>
      </c>
      <c r="O51">
        <v>0</v>
      </c>
      <c r="P51">
        <v>5</v>
      </c>
    </row>
    <row r="52" ht="15" customHeight="1">
      <c r="B52"/>
      <c r="C52" t="s">
        <v>6017</v>
      </c>
      <c r="D52"/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0</v>
      </c>
      <c r="O52">
        <v>0</v>
      </c>
      <c r="P52">
        <v>5</v>
      </c>
    </row>
    <row r="53" ht="15" customHeight="1">
      <c r="B53"/>
      <c r="C53" t="s">
        <v>66</v>
      </c>
      <c r="D53"/>
      <c r="E53"/>
      <c r="F53"/>
      <c r="G53"/>
      <c r="H53"/>
      <c r="I53"/>
      <c r="J53"/>
      <c r="K53"/>
      <c r="L53"/>
      <c r="M53"/>
      <c r="N53"/>
      <c r="O53"/>
      <c r="P53"/>
    </row>
    <row r="54" ht="15" customHeight="1">
      <c r="B54"/>
      <c r="C54"/>
      <c r="D54" t="s">
        <v>101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</v>
      </c>
      <c r="N54">
        <v>0</v>
      </c>
      <c r="O54">
        <v>0</v>
      </c>
      <c r="P54">
        <v>5</v>
      </c>
    </row>
    <row r="55" ht="15" customHeight="1">
      <c r="B55"/>
      <c r="C55"/>
      <c r="D55" t="s">
        <v>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</v>
      </c>
      <c r="N55">
        <v>0</v>
      </c>
      <c r="O55">
        <v>0</v>
      </c>
      <c r="P55">
        <v>5</v>
      </c>
    </row>
    <row r="56" ht="15" customHeight="1">
      <c r="B56"/>
      <c r="C56"/>
      <c r="D56" t="s">
        <v>103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0</v>
      </c>
      <c r="O56">
        <v>0</v>
      </c>
      <c r="P56">
        <v>5</v>
      </c>
    </row>
    <row r="57" ht="15" customHeight="1">
      <c r="B57"/>
      <c r="C57"/>
      <c r="D57" t="s">
        <v>97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0</v>
      </c>
      <c r="O57">
        <v>0</v>
      </c>
      <c r="P57">
        <v>5</v>
      </c>
    </row>
    <row r="58" ht="15" customHeight="1">
      <c r="B58"/>
      <c r="C58" t="s">
        <v>6018</v>
      </c>
      <c r="D58"/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0</v>
      </c>
      <c r="O58">
        <v>0</v>
      </c>
      <c r="P58">
        <v>5</v>
      </c>
    </row>
    <row r="59" ht="15" customHeight="1">
      <c r="B59"/>
      <c r="C59" t="s">
        <v>159</v>
      </c>
      <c r="D59"/>
      <c r="E59"/>
      <c r="F59"/>
      <c r="G59"/>
      <c r="H59"/>
      <c r="I59"/>
      <c r="J59"/>
      <c r="K59"/>
      <c r="L59"/>
      <c r="M59"/>
      <c r="N59"/>
      <c r="O59"/>
      <c r="P59"/>
    </row>
    <row r="60" ht="15" customHeight="1">
      <c r="B60"/>
      <c r="C60"/>
      <c r="D60" t="s">
        <v>158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0</v>
      </c>
      <c r="O60">
        <v>0</v>
      </c>
      <c r="P60">
        <v>3</v>
      </c>
    </row>
    <row r="61" ht="15" customHeight="1">
      <c r="B61"/>
      <c r="C61"/>
      <c r="D61" t="s">
        <v>189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0</v>
      </c>
      <c r="O61">
        <v>0</v>
      </c>
      <c r="P61">
        <v>5</v>
      </c>
    </row>
    <row r="62" ht="15" customHeight="1">
      <c r="B62"/>
      <c r="C62" t="s">
        <v>6026</v>
      </c>
      <c r="D62"/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>
        <v>0</v>
      </c>
      <c r="O62">
        <v>0</v>
      </c>
      <c r="P62">
        <v>4</v>
      </c>
    </row>
    <row r="63" ht="15" customHeight="1">
      <c r="B63" t="s">
        <v>6027</v>
      </c>
      <c r="C63"/>
      <c r="D63"/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4.6666666666667</v>
      </c>
      <c r="N63">
        <v>0</v>
      </c>
      <c r="O63">
        <v>0</v>
      </c>
      <c r="P63">
        <v>4.6666666666667</v>
      </c>
    </row>
    <row r="64" ht="15" customHeight="1">
      <c r="B64" t="s">
        <v>106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ht="15" customHeight="1">
      <c r="B65"/>
      <c r="C65" t="s">
        <v>199</v>
      </c>
      <c r="D65"/>
      <c r="E65"/>
      <c r="F65"/>
      <c r="G65"/>
      <c r="H65"/>
      <c r="I65"/>
      <c r="J65"/>
      <c r="K65"/>
      <c r="L65"/>
      <c r="M65"/>
      <c r="N65"/>
      <c r="O65"/>
      <c r="P65"/>
    </row>
    <row r="66" ht="15" customHeight="1">
      <c r="B66"/>
      <c r="C66"/>
      <c r="D66" t="s">
        <v>198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</v>
      </c>
      <c r="N66">
        <v>0</v>
      </c>
      <c r="O66">
        <v>0</v>
      </c>
      <c r="P66">
        <v>4</v>
      </c>
    </row>
    <row r="67" ht="15" customHeight="1">
      <c r="B67"/>
      <c r="C67" t="s">
        <v>6028</v>
      </c>
      <c r="D67"/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>
        <v>0</v>
      </c>
      <c r="O67">
        <v>0</v>
      </c>
      <c r="P67">
        <v>4</v>
      </c>
    </row>
    <row r="68" ht="15" customHeight="1">
      <c r="B68"/>
      <c r="C68" t="s">
        <v>46</v>
      </c>
      <c r="D68"/>
      <c r="E68"/>
      <c r="F68"/>
      <c r="G68"/>
      <c r="H68"/>
      <c r="I68"/>
      <c r="J68"/>
      <c r="K68"/>
      <c r="L68"/>
      <c r="M68"/>
      <c r="N68"/>
      <c r="O68"/>
      <c r="P68"/>
    </row>
    <row r="69" ht="15" customHeight="1">
      <c r="B69"/>
      <c r="C69"/>
      <c r="D69" t="s">
        <v>112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0</v>
      </c>
      <c r="O69">
        <v>0</v>
      </c>
      <c r="P69">
        <v>5</v>
      </c>
    </row>
    <row r="70" ht="15" customHeight="1">
      <c r="B70"/>
      <c r="C70"/>
      <c r="D70" t="s">
        <v>105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0</v>
      </c>
      <c r="O70">
        <v>0</v>
      </c>
      <c r="P70">
        <v>5</v>
      </c>
    </row>
    <row r="71" ht="15" customHeight="1">
      <c r="B71"/>
      <c r="C71"/>
      <c r="D71" t="s">
        <v>114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0</v>
      </c>
      <c r="O71">
        <v>0</v>
      </c>
      <c r="P71">
        <v>5</v>
      </c>
    </row>
    <row r="72" ht="15" customHeight="1">
      <c r="B72"/>
      <c r="C72"/>
      <c r="D72" t="s">
        <v>108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0</v>
      </c>
      <c r="O72">
        <v>0</v>
      </c>
      <c r="P72">
        <v>5</v>
      </c>
    </row>
    <row r="73" ht="15" customHeight="1">
      <c r="B73"/>
      <c r="C73" t="s">
        <v>6017</v>
      </c>
      <c r="D73"/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0</v>
      </c>
      <c r="O73">
        <v>0</v>
      </c>
      <c r="P73">
        <v>5</v>
      </c>
    </row>
    <row r="74" ht="15" customHeight="1">
      <c r="B74"/>
      <c r="C74" t="s">
        <v>66</v>
      </c>
      <c r="D74"/>
      <c r="E74"/>
      <c r="F74"/>
      <c r="G74"/>
      <c r="H74"/>
      <c r="I74"/>
      <c r="J74"/>
      <c r="K74"/>
      <c r="L74"/>
      <c r="M74"/>
      <c r="N74"/>
      <c r="O74"/>
      <c r="P74"/>
    </row>
    <row r="75" ht="15" customHeight="1">
      <c r="B75"/>
      <c r="C75"/>
      <c r="D75" t="s">
        <v>110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0</v>
      </c>
      <c r="O75">
        <v>0</v>
      </c>
      <c r="P75">
        <v>5</v>
      </c>
    </row>
    <row r="76" ht="15" customHeight="1">
      <c r="B76"/>
      <c r="C76" t="s">
        <v>6018</v>
      </c>
      <c r="D76"/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0</v>
      </c>
      <c r="O76">
        <v>0</v>
      </c>
      <c r="P76">
        <v>5</v>
      </c>
    </row>
    <row r="77" ht="15" customHeight="1">
      <c r="B77" t="s">
        <v>6029</v>
      </c>
      <c r="C77"/>
      <c r="D77"/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4.8333333333333</v>
      </c>
      <c r="N77">
        <v>0</v>
      </c>
      <c r="O77">
        <v>0</v>
      </c>
      <c r="P77">
        <v>4.8333333333333</v>
      </c>
    </row>
    <row r="78" ht="15" customHeight="1">
      <c r="B78" t="s">
        <v>48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ht="15" customHeight="1">
      <c r="B79"/>
      <c r="C79" t="s">
        <v>95</v>
      </c>
      <c r="D79"/>
      <c r="E79"/>
      <c r="F79"/>
      <c r="G79"/>
      <c r="H79"/>
      <c r="I79"/>
      <c r="J79"/>
      <c r="K79"/>
      <c r="L79"/>
      <c r="M79"/>
      <c r="N79"/>
      <c r="O79"/>
      <c r="P79"/>
    </row>
    <row r="80" ht="15" customHeight="1">
      <c r="B80"/>
      <c r="C80"/>
      <c r="D80" t="s">
        <v>161</v>
      </c>
      <c r="E80">
        <v>0</v>
      </c>
      <c r="F80">
        <v>1200000</v>
      </c>
      <c r="G80">
        <v>0</v>
      </c>
      <c r="H80">
        <v>0</v>
      </c>
      <c r="I80">
        <v>0</v>
      </c>
      <c r="J80">
        <v>0</v>
      </c>
      <c r="K80">
        <v>0</v>
      </c>
      <c r="L80">
        <v>4</v>
      </c>
      <c r="M80">
        <v>0</v>
      </c>
      <c r="N80">
        <v>1200000</v>
      </c>
      <c r="O80">
        <v>0</v>
      </c>
      <c r="P80">
        <v>4</v>
      </c>
    </row>
    <row r="81" ht="15" customHeight="1">
      <c r="B81"/>
      <c r="C81"/>
      <c r="D81" t="s">
        <v>142</v>
      </c>
      <c r="E81">
        <v>0</v>
      </c>
      <c r="F81">
        <v>500000</v>
      </c>
      <c r="G81">
        <v>0</v>
      </c>
      <c r="H81">
        <v>0</v>
      </c>
      <c r="I81">
        <v>0</v>
      </c>
      <c r="J81">
        <v>0</v>
      </c>
      <c r="K81">
        <v>0</v>
      </c>
      <c r="L81">
        <v>3</v>
      </c>
      <c r="M81">
        <v>0</v>
      </c>
      <c r="N81">
        <v>500000</v>
      </c>
      <c r="O81">
        <v>0</v>
      </c>
      <c r="P81">
        <v>3</v>
      </c>
    </row>
    <row r="82" ht="15" customHeight="1">
      <c r="B82"/>
      <c r="C82" t="s">
        <v>6023</v>
      </c>
      <c r="D82"/>
      <c r="E82">
        <v>0</v>
      </c>
      <c r="F82">
        <v>1700000</v>
      </c>
      <c r="G82">
        <v>0</v>
      </c>
      <c r="H82">
        <v>0</v>
      </c>
      <c r="I82">
        <v>0</v>
      </c>
      <c r="J82">
        <v>0</v>
      </c>
      <c r="K82">
        <v>0</v>
      </c>
      <c r="L82">
        <v>3.5</v>
      </c>
      <c r="M82">
        <v>0</v>
      </c>
      <c r="N82">
        <v>1700000</v>
      </c>
      <c r="O82">
        <v>0</v>
      </c>
      <c r="P82">
        <v>3.5</v>
      </c>
    </row>
    <row r="83" ht="15" customHeight="1">
      <c r="B83"/>
      <c r="C83" t="s">
        <v>73</v>
      </c>
      <c r="D83"/>
      <c r="E83"/>
      <c r="F83"/>
      <c r="G83"/>
      <c r="H83"/>
      <c r="I83"/>
      <c r="J83"/>
      <c r="K83"/>
      <c r="L83"/>
      <c r="M83"/>
      <c r="N83"/>
      <c r="O83"/>
      <c r="P83"/>
    </row>
    <row r="84" ht="15" customHeight="1">
      <c r="B84"/>
      <c r="C84"/>
      <c r="D84" t="s">
        <v>139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2</v>
      </c>
    </row>
    <row r="85" ht="15" customHeight="1">
      <c r="B85"/>
      <c r="C85"/>
      <c r="D85" t="s">
        <v>72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</v>
      </c>
      <c r="N85">
        <v>0</v>
      </c>
      <c r="O85">
        <v>0</v>
      </c>
      <c r="P85">
        <v>4</v>
      </c>
    </row>
    <row r="86" ht="15" customHeight="1">
      <c r="B86"/>
      <c r="C86" t="s">
        <v>6024</v>
      </c>
      <c r="D86"/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0</v>
      </c>
      <c r="O86">
        <v>0</v>
      </c>
      <c r="P86">
        <v>3</v>
      </c>
    </row>
    <row r="87" ht="15" customHeight="1">
      <c r="B87"/>
      <c r="C87" t="s">
        <v>46</v>
      </c>
      <c r="D87"/>
      <c r="E87"/>
      <c r="F87"/>
      <c r="G87"/>
      <c r="H87"/>
      <c r="I87"/>
      <c r="J87"/>
      <c r="K87"/>
      <c r="L87"/>
      <c r="M87"/>
      <c r="N87"/>
      <c r="O87"/>
      <c r="P87"/>
    </row>
    <row r="88" ht="15" customHeight="1">
      <c r="B88"/>
      <c r="C88"/>
      <c r="D88" t="s">
        <v>57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0</v>
      </c>
      <c r="O88">
        <v>0</v>
      </c>
      <c r="P88">
        <v>5</v>
      </c>
    </row>
    <row r="89" ht="15" customHeight="1">
      <c r="B89"/>
      <c r="C89"/>
      <c r="D89" t="s">
        <v>61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0</v>
      </c>
      <c r="O89">
        <v>0</v>
      </c>
      <c r="P89">
        <v>5</v>
      </c>
    </row>
    <row r="90" ht="15" customHeight="1">
      <c r="B90"/>
      <c r="C90"/>
      <c r="D90" t="s">
        <v>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0</v>
      </c>
      <c r="O90">
        <v>0</v>
      </c>
      <c r="P90">
        <v>5</v>
      </c>
    </row>
    <row r="91" ht="15" customHeight="1">
      <c r="B91"/>
      <c r="C91"/>
      <c r="D91" t="s">
        <v>70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0</v>
      </c>
      <c r="O91">
        <v>0</v>
      </c>
      <c r="P91">
        <v>5</v>
      </c>
    </row>
    <row r="92" ht="15" customHeight="1">
      <c r="B92"/>
      <c r="C92" t="s">
        <v>6017</v>
      </c>
      <c r="D92"/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0</v>
      </c>
      <c r="O92">
        <v>0</v>
      </c>
      <c r="P92">
        <v>5</v>
      </c>
    </row>
    <row r="93" ht="15" customHeight="1">
      <c r="B93"/>
      <c r="C93" t="s">
        <v>66</v>
      </c>
      <c r="D93"/>
      <c r="E93"/>
      <c r="F93"/>
      <c r="G93"/>
      <c r="H93"/>
      <c r="I93"/>
      <c r="J93"/>
      <c r="K93"/>
      <c r="L93"/>
      <c r="M93"/>
      <c r="N93"/>
      <c r="O93"/>
      <c r="P93"/>
    </row>
    <row r="94" ht="15" customHeight="1">
      <c r="B94"/>
      <c r="C94"/>
      <c r="D94" t="s">
        <v>68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0</v>
      </c>
      <c r="O94">
        <v>0</v>
      </c>
      <c r="P94">
        <v>5</v>
      </c>
    </row>
    <row r="95" ht="15" customHeight="1">
      <c r="B95"/>
      <c r="C95"/>
      <c r="D95" t="s">
        <v>65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</v>
      </c>
      <c r="N95">
        <v>0</v>
      </c>
      <c r="O95">
        <v>0</v>
      </c>
      <c r="P95">
        <v>5</v>
      </c>
    </row>
    <row r="96" ht="15" customHeight="1">
      <c r="B96"/>
      <c r="C96" t="s">
        <v>6018</v>
      </c>
      <c r="D96"/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0</v>
      </c>
      <c r="O96">
        <v>0</v>
      </c>
      <c r="P96">
        <v>5</v>
      </c>
    </row>
    <row r="97" ht="15" customHeight="1">
      <c r="B97"/>
      <c r="C97" t="s">
        <v>168</v>
      </c>
      <c r="D97"/>
      <c r="E97"/>
      <c r="F97"/>
      <c r="G97"/>
      <c r="H97"/>
      <c r="I97"/>
      <c r="J97"/>
      <c r="K97"/>
      <c r="L97"/>
      <c r="M97"/>
      <c r="N97"/>
      <c r="O97"/>
      <c r="P97"/>
    </row>
    <row r="98" ht="15" customHeight="1">
      <c r="B98"/>
      <c r="C98"/>
      <c r="D98" t="s">
        <v>167</v>
      </c>
      <c r="E98">
        <v>0</v>
      </c>
      <c r="F98">
        <v>200000</v>
      </c>
      <c r="G98">
        <v>0</v>
      </c>
      <c r="H98">
        <v>0</v>
      </c>
      <c r="I98">
        <v>6</v>
      </c>
      <c r="J98">
        <v>0</v>
      </c>
      <c r="K98">
        <v>0</v>
      </c>
      <c r="L98">
        <v>5</v>
      </c>
      <c r="M98">
        <v>0</v>
      </c>
      <c r="N98">
        <v>200000</v>
      </c>
      <c r="O98">
        <v>6</v>
      </c>
      <c r="P98">
        <v>5</v>
      </c>
    </row>
    <row r="99" ht="15" customHeight="1">
      <c r="B99"/>
      <c r="C99" t="s">
        <v>6019</v>
      </c>
      <c r="D99"/>
      <c r="E99">
        <v>0</v>
      </c>
      <c r="F99">
        <v>200000</v>
      </c>
      <c r="G99">
        <v>0</v>
      </c>
      <c r="H99">
        <v>0</v>
      </c>
      <c r="I99">
        <v>6</v>
      </c>
      <c r="J99">
        <v>0</v>
      </c>
      <c r="K99">
        <v>0</v>
      </c>
      <c r="L99">
        <v>5</v>
      </c>
      <c r="M99">
        <v>0</v>
      </c>
      <c r="N99">
        <v>200000</v>
      </c>
      <c r="O99">
        <v>6</v>
      </c>
      <c r="P99">
        <v>5</v>
      </c>
    </row>
    <row r="100" ht="15" customHeight="1">
      <c r="B100"/>
      <c r="C100" t="s">
        <v>117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ht="15" customHeight="1">
      <c r="B101"/>
      <c r="C101"/>
      <c r="D101" t="s">
        <v>147</v>
      </c>
      <c r="E101">
        <v>-500000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-500000</v>
      </c>
      <c r="O101">
        <v>1</v>
      </c>
      <c r="P101">
        <v>1</v>
      </c>
    </row>
    <row r="102" ht="15" customHeight="1">
      <c r="B102"/>
      <c r="C102"/>
      <c r="D102" t="s">
        <v>116</v>
      </c>
      <c r="E102">
        <v>0</v>
      </c>
      <c r="F102">
        <v>750000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750000</v>
      </c>
      <c r="O102">
        <v>0</v>
      </c>
      <c r="P102">
        <v>3</v>
      </c>
    </row>
    <row r="103" ht="15" customHeight="1">
      <c r="B103"/>
      <c r="C103" t="s">
        <v>6020</v>
      </c>
      <c r="D103"/>
      <c r="E103">
        <v>-500000</v>
      </c>
      <c r="F103">
        <v>750000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3</v>
      </c>
      <c r="M103">
        <v>0</v>
      </c>
      <c r="N103">
        <v>250000</v>
      </c>
      <c r="O103">
        <v>1</v>
      </c>
      <c r="P103">
        <v>2</v>
      </c>
    </row>
    <row r="104" ht="15" customHeight="1">
      <c r="B104" t="s">
        <v>6030</v>
      </c>
      <c r="C104"/>
      <c r="D104"/>
      <c r="E104">
        <v>-500000</v>
      </c>
      <c r="F104">
        <v>2650000</v>
      </c>
      <c r="G104">
        <v>0</v>
      </c>
      <c r="H104">
        <v>1</v>
      </c>
      <c r="I104">
        <v>6</v>
      </c>
      <c r="J104">
        <v>0</v>
      </c>
      <c r="K104">
        <v>1</v>
      </c>
      <c r="L104">
        <v>3.75</v>
      </c>
      <c r="M104">
        <v>4.5</v>
      </c>
      <c r="N104">
        <v>2150000</v>
      </c>
      <c r="O104">
        <v>7</v>
      </c>
      <c r="P104">
        <v>4</v>
      </c>
    </row>
    <row r="105" ht="15" customHeight="1">
      <c r="B105" t="s">
        <v>5997</v>
      </c>
      <c r="C105"/>
      <c r="D105"/>
      <c r="E105">
        <v>-500000</v>
      </c>
      <c r="F105">
        <v>3030000</v>
      </c>
      <c r="G105">
        <v>0</v>
      </c>
      <c r="H105">
        <v>1</v>
      </c>
      <c r="I105">
        <v>18</v>
      </c>
      <c r="J105">
        <v>0</v>
      </c>
      <c r="K105">
        <v>1</v>
      </c>
      <c r="L105">
        <v>3.6666666666667</v>
      </c>
      <c r="M105">
        <v>4.6</v>
      </c>
      <c r="N105">
        <v>2530000</v>
      </c>
      <c r="O105">
        <v>19</v>
      </c>
      <c r="P105">
        <v>4.4042553191489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96D41A-7829-9948-D5D8-7352E1EC55A2}" mc:Ignorable="x14ac xr xr2 xr3">
  <dimension ref="A1:GR50000"/>
  <sheetViews>
    <sheetView topLeftCell="A1" workbookViewId="0">
      <selection activeCell="A1" sqref="A1"/>
    </sheetView>
  </sheetViews>
  <sheetFormatPr defaultRowHeight="15" defaultColWidth="7.75390625" customHeight="1"/>
  <cols>
    <col min="1" max="1" width="3.75390625" customWidth="1"/>
    <col min="2" max="2" width="31.25390625" customWidth="1"/>
    <col min="3" max="3" width="18.75390625" customWidth="1"/>
    <col min="4" max="4" width="55.50390625" customWidth="1"/>
    <col min="5" max="5" width="13.00390625" customWidth="1"/>
    <col min="6" max="6" width="12.125" customWidth="1"/>
    <col min="7" max="7" width="9.00390625" customWidth="1"/>
    <col min="8" max="8" width="11.125" customWidth="1"/>
    <col min="9" max="9" width="8.625" customWidth="1"/>
    <col min="10" max="10" width="9.00390625" customWidth="1"/>
    <col min="11" max="11" width="15.00390625" customWidth="1"/>
    <col min="12" max="12" width="8.625" customWidth="1"/>
    <col min="13" max="13" width="9.00390625" customWidth="1"/>
    <col min="14" max="14" width="11.00390625" customWidth="1"/>
    <col min="15" max="15" width="8.625" customWidth="1"/>
    <col min="16" max="16" width="9.00390625" customWidth="1"/>
    <col min="17" max="17" width="17.50390625" customWidth="1"/>
    <col min="18" max="18" width="15.50390625" customWidth="1"/>
    <col min="19" max="19" width="19.375" customWidth="1"/>
    <col min="20" max="20" width="15.375" customWidth="1"/>
  </cols>
  <sheetData>
    <row r="2" ht="15.75" customHeight="1">
      <c r="B2" s="36" t="s">
        <v>6031</v>
      </c>
    </row>
    <row r="4" ht="15.75" customHeight="1">
      <c r="B4" s="59" t="s">
        <v>6032</v>
      </c>
    </row>
    <row r="6" ht="16.5" customHeight="1">
      <c r="B6" t="s">
        <v>6033</v>
      </c>
      <c r="C6" s="60">
        <f>COUNTIF(Master_Data_Features!AS:AS,"Yes")/COUNTA(Master_Data_Features!B3:B49)</f>
        <v>0.148936170212766</v>
      </c>
    </row>
    <row r="7" ht="16.5" customHeight="1">
      <c r="B7" t="s">
        <v>6034</v>
      </c>
      <c r="C7" s="61">
        <f>COUNTIF(Master_Data_Features!AT:AT,"Complete")</f>
        <v>7</v>
      </c>
    </row>
    <row r="8" ht="16.5" customHeight="1">
      <c r="B8" t="s">
        <v>6035</v>
      </c>
      <c r="C8" s="61">
        <f>COUNTIF(Master_Data_Features!AU:AU,"Yes")</f>
        <v>14</v>
      </c>
    </row>
    <row r="9" ht="16.5" customHeight="1">
      <c r="B9" t="s">
        <v>6036</v>
      </c>
      <c r="C9" s="62">
        <f>_xlfn.SUMIFS(Master_Data_Features!K:K,Master_Data_Features!AS:AS,"Yes")</f>
        <v>0</v>
      </c>
    </row>
    <row r="10" ht="17.25" customHeight="1">
      <c r="B10" t="s">
        <v>4</v>
      </c>
      <c r="C10" s="63" t="str">
        <f>_xlfn.SUMIFS(Master_Data_Features!K:K,Master_Data_Features!AS:AS,"No")</f>
        <v>All</v>
      </c>
    </row>
    <row r="11" ht="17.25" customHeight="1">
      <c r="B11" t="s">
        <v>6</v>
      </c>
      <c r="C11" t="s">
        <v>5982</v>
      </c>
    </row>
    <row r="12" ht="17.25" customHeight="1">
      <c r="B12" s="64" t="s">
        <v>14</v>
      </c>
      <c r="C12" t="s">
        <v>5982</v>
      </c>
    </row>
    <row r="14" ht="15" customHeight="1">
      <c r="B14"/>
      <c r="C14"/>
      <c r="D14"/>
      <c r="E14" t="s">
        <v>5983</v>
      </c>
      <c r="F14" t="s">
        <v>42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5" customHeight="1">
      <c r="B15"/>
      <c r="C15"/>
      <c r="D15"/>
      <c r="E15" t="s">
        <v>6037</v>
      </c>
      <c r="F15"/>
      <c r="G15"/>
      <c r="H15" t="s">
        <v>5998</v>
      </c>
      <c r="I15"/>
      <c r="J15"/>
      <c r="K15" t="s">
        <v>5999</v>
      </c>
      <c r="L15"/>
      <c r="M15"/>
      <c r="N15" t="s">
        <v>5984</v>
      </c>
      <c r="O15"/>
      <c r="P15"/>
      <c r="Q15" t="s">
        <v>6038</v>
      </c>
      <c r="R15" t="s">
        <v>6001</v>
      </c>
      <c r="S15" t="s">
        <v>6002</v>
      </c>
      <c r="T15" t="s">
        <v>5987</v>
      </c>
    </row>
    <row r="16" ht="15" customHeight="1">
      <c r="B16" t="s">
        <v>41</v>
      </c>
      <c r="C16" t="s">
        <v>30</v>
      </c>
      <c r="D16" t="s">
        <v>1</v>
      </c>
      <c r="E16" t="s">
        <v>132</v>
      </c>
      <c r="F16" t="s">
        <v>55</v>
      </c>
      <c r="G16" t="s">
        <v>59</v>
      </c>
      <c r="H16" t="s">
        <v>132</v>
      </c>
      <c r="I16" t="s">
        <v>55</v>
      </c>
      <c r="J16" t="s">
        <v>59</v>
      </c>
      <c r="K16" t="s">
        <v>132</v>
      </c>
      <c r="L16" t="s">
        <v>55</v>
      </c>
      <c r="M16" t="s">
        <v>59</v>
      </c>
      <c r="N16" t="s">
        <v>132</v>
      </c>
      <c r="O16" t="s">
        <v>55</v>
      </c>
      <c r="P16" t="s">
        <v>59</v>
      </c>
      <c r="Q16"/>
      <c r="R16"/>
      <c r="S16"/>
      <c r="T16"/>
    </row>
    <row r="17" ht="15" customHeight="1">
      <c r="B17" t="s">
        <v>58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5" customHeight="1">
      <c r="B18"/>
      <c r="C18" t="s">
        <v>150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5" customHeight="1">
      <c r="B19"/>
      <c r="C19"/>
      <c r="D19" t="s">
        <v>147</v>
      </c>
      <c r="E19">
        <v>-500000</v>
      </c>
      <c r="F19">
        <v>0</v>
      </c>
      <c r="G19">
        <v>0</v>
      </c>
      <c r="H19">
        <v>-5000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-500000</v>
      </c>
      <c r="R19">
        <v>-5000</v>
      </c>
      <c r="S19">
        <v>1</v>
      </c>
      <c r="T19">
        <v>1</v>
      </c>
    </row>
    <row r="20" ht="15" customHeight="1">
      <c r="B20"/>
      <c r="C20" t="s">
        <v>6004</v>
      </c>
      <c r="D20"/>
      <c r="E20">
        <v>-500000</v>
      </c>
      <c r="F20">
        <v>0</v>
      </c>
      <c r="G20">
        <v>0</v>
      </c>
      <c r="H20">
        <v>-5000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-500000</v>
      </c>
      <c r="R20">
        <v>-5000</v>
      </c>
      <c r="S20">
        <v>1</v>
      </c>
      <c r="T20">
        <v>1</v>
      </c>
    </row>
    <row r="21" ht="15" customHeight="1">
      <c r="B21"/>
      <c r="C21" t="s">
        <v>130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5" customHeight="1">
      <c r="B22"/>
      <c r="C22"/>
      <c r="D22" t="s">
        <v>161</v>
      </c>
      <c r="E22">
        <v>1200000</v>
      </c>
      <c r="F22">
        <v>0</v>
      </c>
      <c r="G22">
        <v>0</v>
      </c>
      <c r="H22">
        <v>12000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1200000</v>
      </c>
      <c r="R22">
        <v>12000</v>
      </c>
      <c r="S22">
        <v>0</v>
      </c>
      <c r="T22">
        <v>1</v>
      </c>
    </row>
    <row r="23" ht="15" customHeight="1">
      <c r="B23"/>
      <c r="C23"/>
      <c r="D23" t="s">
        <v>142</v>
      </c>
      <c r="E23">
        <v>500000</v>
      </c>
      <c r="F23">
        <v>0</v>
      </c>
      <c r="G23">
        <v>0</v>
      </c>
      <c r="H23">
        <v>5000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500000</v>
      </c>
      <c r="R23">
        <v>5000</v>
      </c>
      <c r="S23">
        <v>0</v>
      </c>
      <c r="T23">
        <v>1</v>
      </c>
    </row>
    <row r="24" ht="15" customHeight="1">
      <c r="B24"/>
      <c r="C24"/>
      <c r="D24" t="s">
        <v>116</v>
      </c>
      <c r="E24">
        <v>750000</v>
      </c>
      <c r="F24">
        <v>0</v>
      </c>
      <c r="G24">
        <v>0</v>
      </c>
      <c r="H24">
        <v>7500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750000</v>
      </c>
      <c r="R24">
        <v>7500</v>
      </c>
      <c r="S24">
        <v>0</v>
      </c>
      <c r="T24">
        <v>1</v>
      </c>
    </row>
    <row r="25" ht="15" customHeight="1">
      <c r="B25"/>
      <c r="C25"/>
      <c r="D25" t="s">
        <v>167</v>
      </c>
      <c r="E25">
        <v>200000</v>
      </c>
      <c r="F25">
        <v>0</v>
      </c>
      <c r="G25">
        <v>0</v>
      </c>
      <c r="H25">
        <v>2000</v>
      </c>
      <c r="I25">
        <v>0</v>
      </c>
      <c r="J25">
        <v>0</v>
      </c>
      <c r="K25">
        <v>6</v>
      </c>
      <c r="L25">
        <v>0</v>
      </c>
      <c r="M25">
        <v>0</v>
      </c>
      <c r="N25">
        <v>1</v>
      </c>
      <c r="O25">
        <v>0</v>
      </c>
      <c r="P25">
        <v>0</v>
      </c>
      <c r="Q25">
        <v>200000</v>
      </c>
      <c r="R25">
        <v>2000</v>
      </c>
      <c r="S25">
        <v>6</v>
      </c>
      <c r="T25">
        <v>1</v>
      </c>
    </row>
    <row r="26" ht="15" customHeight="1">
      <c r="B26"/>
      <c r="C26"/>
      <c r="D26" t="s">
        <v>174</v>
      </c>
      <c r="E26">
        <v>180000</v>
      </c>
      <c r="F26">
        <v>0</v>
      </c>
      <c r="G26">
        <v>0</v>
      </c>
      <c r="H26">
        <v>1440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180000</v>
      </c>
      <c r="R26">
        <v>1440</v>
      </c>
      <c r="S26">
        <v>0</v>
      </c>
      <c r="T26">
        <v>1</v>
      </c>
    </row>
    <row r="27" ht="15" customHeight="1">
      <c r="B27"/>
      <c r="C27"/>
      <c r="D27" t="s">
        <v>178</v>
      </c>
      <c r="E27">
        <v>200000</v>
      </c>
      <c r="F27">
        <v>0</v>
      </c>
      <c r="G27">
        <v>0</v>
      </c>
      <c r="H27">
        <v>1000</v>
      </c>
      <c r="I27">
        <v>0</v>
      </c>
      <c r="J27">
        <v>0</v>
      </c>
      <c r="K27">
        <v>12</v>
      </c>
      <c r="L27">
        <v>0</v>
      </c>
      <c r="M27">
        <v>0</v>
      </c>
      <c r="N27">
        <v>1</v>
      </c>
      <c r="O27">
        <v>0</v>
      </c>
      <c r="P27">
        <v>0</v>
      </c>
      <c r="Q27">
        <v>200000</v>
      </c>
      <c r="R27">
        <v>1000</v>
      </c>
      <c r="S27">
        <v>12</v>
      </c>
      <c r="T27">
        <v>1</v>
      </c>
    </row>
    <row r="28" ht="15" customHeight="1">
      <c r="B28"/>
      <c r="C28" t="s">
        <v>6005</v>
      </c>
      <c r="D28"/>
      <c r="E28">
        <v>3030000</v>
      </c>
      <c r="F28">
        <v>0</v>
      </c>
      <c r="G28">
        <v>0</v>
      </c>
      <c r="H28">
        <v>28940</v>
      </c>
      <c r="I28">
        <v>0</v>
      </c>
      <c r="J28">
        <v>0</v>
      </c>
      <c r="K28">
        <v>18</v>
      </c>
      <c r="L28">
        <v>0</v>
      </c>
      <c r="M28">
        <v>0</v>
      </c>
      <c r="N28">
        <v>6</v>
      </c>
      <c r="O28">
        <v>0</v>
      </c>
      <c r="P28">
        <v>0</v>
      </c>
      <c r="Q28">
        <v>3030000</v>
      </c>
      <c r="R28">
        <v>28940</v>
      </c>
      <c r="S28">
        <v>18</v>
      </c>
      <c r="T28">
        <v>6</v>
      </c>
    </row>
    <row r="29" ht="15" customHeight="1">
      <c r="B29"/>
      <c r="C29" t="s">
        <v>52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5" customHeight="1">
      <c r="B30"/>
      <c r="C30"/>
      <c r="D30" t="s">
        <v>164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</row>
    <row r="31" ht="15" customHeight="1">
      <c r="B31"/>
      <c r="C31"/>
      <c r="D31" t="s">
        <v>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</row>
    <row r="32" ht="15" customHeight="1">
      <c r="B32"/>
      <c r="C32"/>
      <c r="D32" t="s">
        <v>112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</row>
    <row r="33" ht="15" customHeight="1">
      <c r="B33"/>
      <c r="C33"/>
      <c r="D33" t="s">
        <v>139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</row>
    <row r="34" ht="15" customHeight="1">
      <c r="B34"/>
      <c r="C34"/>
      <c r="D34" t="s">
        <v>57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</row>
    <row r="35" ht="15" customHeight="1">
      <c r="B35"/>
      <c r="C35"/>
      <c r="D35" t="s">
        <v>201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</row>
    <row r="36" ht="15" customHeight="1">
      <c r="B36"/>
      <c r="C36"/>
      <c r="D36" t="s">
        <v>203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</row>
    <row r="37" ht="15" customHeight="1">
      <c r="B37"/>
      <c r="C37"/>
      <c r="D37" t="s">
        <v>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</row>
    <row r="38" ht="15" customHeight="1">
      <c r="B38"/>
      <c r="C38"/>
      <c r="D38" t="s">
        <v>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</row>
    <row r="39" ht="15" customHeight="1">
      <c r="B39"/>
      <c r="C39"/>
      <c r="D39" t="s">
        <v>136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</row>
    <row r="40" ht="15" customHeight="1">
      <c r="B40"/>
      <c r="C40"/>
      <c r="D40" t="s">
        <v>134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</row>
    <row r="41" ht="15" customHeight="1">
      <c r="B41"/>
      <c r="C41"/>
      <c r="D41" t="s">
        <v>185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</row>
    <row r="42" ht="15" customHeight="1">
      <c r="B42"/>
      <c r="C42"/>
      <c r="D42" t="s">
        <v>94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</row>
    <row r="43" ht="15" customHeight="1">
      <c r="B43"/>
      <c r="C43"/>
      <c r="D43" t="s">
        <v>114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</row>
    <row r="44" ht="15" customHeight="1">
      <c r="B44"/>
      <c r="C44"/>
      <c r="D44" t="s">
        <v>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</row>
    <row r="45" ht="15" customHeight="1">
      <c r="B45"/>
      <c r="C45"/>
      <c r="D45" t="s">
        <v>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</row>
    <row r="46" ht="15" customHeight="1">
      <c r="B46"/>
      <c r="C46"/>
      <c r="D46" t="s">
        <v>101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</row>
    <row r="47" ht="15" customHeight="1">
      <c r="B47"/>
      <c r="C47"/>
      <c r="D47" t="s">
        <v>155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</row>
    <row r="48" ht="15" customHeight="1">
      <c r="B48"/>
      <c r="C48"/>
      <c r="D48" t="s">
        <v>158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</row>
    <row r="49" ht="15" customHeight="1">
      <c r="B49"/>
      <c r="C49"/>
      <c r="D49" t="s">
        <v>198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</row>
    <row r="50" ht="15" customHeight="1">
      <c r="B50"/>
      <c r="C50"/>
      <c r="D50" t="s">
        <v>193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</row>
    <row r="51" ht="15" customHeight="1">
      <c r="B51"/>
      <c r="C51"/>
      <c r="D51" t="s">
        <v>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</row>
    <row r="52" ht="15" customHeight="1">
      <c r="B52"/>
      <c r="C52"/>
      <c r="D52" t="s">
        <v>90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</row>
    <row r="53" ht="15" customHeight="1">
      <c r="B53"/>
      <c r="C53"/>
      <c r="D53" t="s">
        <v>195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</row>
    <row r="54" ht="15" customHeight="1">
      <c r="B54"/>
      <c r="C54"/>
      <c r="D54" t="s">
        <v>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</row>
    <row r="55" ht="15" customHeight="1">
      <c r="B55"/>
      <c r="C55"/>
      <c r="D55" t="s">
        <v>110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</row>
    <row r="56" ht="15" customHeight="1">
      <c r="B56"/>
      <c r="C56"/>
      <c r="D56" t="s">
        <v>65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</row>
    <row r="57" ht="15" customHeight="1">
      <c r="B57"/>
      <c r="C57"/>
      <c r="D57" t="s">
        <v>189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</row>
    <row r="58" ht="15" customHeight="1">
      <c r="B58"/>
      <c r="C58"/>
      <c r="D58" t="s">
        <v>86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</row>
    <row r="59" ht="15" customHeight="1">
      <c r="B59"/>
      <c r="C59"/>
      <c r="D59" t="s">
        <v>191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</row>
    <row r="60" ht="15" customHeight="1">
      <c r="B60"/>
      <c r="C60"/>
      <c r="D60" t="s">
        <v>103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</row>
    <row r="61" ht="15" customHeight="1">
      <c r="B61"/>
      <c r="C61"/>
      <c r="D61" t="s">
        <v>187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</row>
    <row r="62" ht="15" customHeight="1">
      <c r="B62"/>
      <c r="C62"/>
      <c r="D62" t="s">
        <v>97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</row>
    <row r="63" ht="15" customHeight="1">
      <c r="B63"/>
      <c r="C63" t="s">
        <v>6006</v>
      </c>
      <c r="D63"/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33</v>
      </c>
      <c r="Q63">
        <v>0</v>
      </c>
      <c r="R63">
        <v>0</v>
      </c>
      <c r="S63">
        <v>0</v>
      </c>
      <c r="T63">
        <v>33</v>
      </c>
    </row>
    <row r="64" ht="15" customHeight="1">
      <c r="B64" t="s">
        <v>6039</v>
      </c>
      <c r="C64"/>
      <c r="D64"/>
      <c r="E64">
        <v>2530000</v>
      </c>
      <c r="F64">
        <v>0</v>
      </c>
      <c r="G64">
        <v>0</v>
      </c>
      <c r="H64">
        <v>23940</v>
      </c>
      <c r="I64">
        <v>0</v>
      </c>
      <c r="J64">
        <v>0</v>
      </c>
      <c r="K64">
        <v>19</v>
      </c>
      <c r="L64">
        <v>0</v>
      </c>
      <c r="M64">
        <v>0</v>
      </c>
      <c r="N64">
        <v>7</v>
      </c>
      <c r="O64">
        <v>0</v>
      </c>
      <c r="P64">
        <v>33</v>
      </c>
      <c r="Q64">
        <v>2530000</v>
      </c>
      <c r="R64">
        <v>23940</v>
      </c>
      <c r="S64">
        <v>19</v>
      </c>
      <c r="T64">
        <v>40</v>
      </c>
    </row>
    <row r="65" ht="15" customHeight="1">
      <c r="B65" t="s">
        <v>54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5" customHeight="1">
      <c r="B66"/>
      <c r="C66" t="s">
        <v>52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5" customHeight="1">
      <c r="B67"/>
      <c r="C67"/>
      <c r="D67" t="s">
        <v>105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</row>
    <row r="68" ht="15" customHeight="1">
      <c r="B68"/>
      <c r="C68"/>
      <c r="D68" t="s">
        <v>78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</row>
    <row r="69" ht="15" customHeight="1">
      <c r="B69"/>
      <c r="C69"/>
      <c r="D69" t="s">
        <v>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</row>
    <row r="70" ht="15" customHeight="1">
      <c r="B70"/>
      <c r="C70"/>
      <c r="D70" t="s">
        <v>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</row>
    <row r="71" ht="15" customHeight="1">
      <c r="B71"/>
      <c r="C71"/>
      <c r="D71" t="s">
        <v>108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</row>
    <row r="72" ht="15" customHeight="1">
      <c r="B72"/>
      <c r="C72"/>
      <c r="D72" t="s">
        <v>45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</row>
    <row r="73" ht="15" customHeight="1">
      <c r="B73"/>
      <c r="C73"/>
      <c r="D73" t="s">
        <v>70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</row>
    <row r="74" ht="15" customHeight="1">
      <c r="B74"/>
      <c r="C74" t="s">
        <v>6006</v>
      </c>
      <c r="D74"/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7</v>
      </c>
      <c r="P74">
        <v>0</v>
      </c>
      <c r="Q74">
        <v>0</v>
      </c>
      <c r="R74">
        <v>0</v>
      </c>
      <c r="S74">
        <v>0</v>
      </c>
      <c r="T74">
        <v>7</v>
      </c>
    </row>
    <row r="75" ht="15" customHeight="1">
      <c r="B75" t="s">
        <v>6040</v>
      </c>
      <c r="C75"/>
      <c r="D75"/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7</v>
      </c>
      <c r="P75">
        <v>0</v>
      </c>
      <c r="Q75">
        <v>0</v>
      </c>
      <c r="R75">
        <v>0</v>
      </c>
      <c r="S75">
        <v>0</v>
      </c>
      <c r="T75">
        <v>7</v>
      </c>
    </row>
    <row r="76" ht="15" customHeight="1">
      <c r="B76" t="s">
        <v>5997</v>
      </c>
      <c r="C76"/>
      <c r="D76"/>
      <c r="E76">
        <v>2530000</v>
      </c>
      <c r="F76">
        <v>0</v>
      </c>
      <c r="G76">
        <v>0</v>
      </c>
      <c r="H76">
        <v>23940</v>
      </c>
      <c r="I76">
        <v>0</v>
      </c>
      <c r="J76">
        <v>0</v>
      </c>
      <c r="K76">
        <v>19</v>
      </c>
      <c r="L76">
        <v>0</v>
      </c>
      <c r="M76">
        <v>0</v>
      </c>
      <c r="N76">
        <v>7</v>
      </c>
      <c r="O76">
        <v>7</v>
      </c>
      <c r="P76">
        <v>33</v>
      </c>
      <c r="Q76">
        <v>2530000</v>
      </c>
      <c r="R76">
        <v>23940</v>
      </c>
      <c r="S76">
        <v>19</v>
      </c>
      <c r="T76">
        <v>47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718298-3328-4C68-5D12-70219869BFE8}" mc:Ignorable="x14ac xr xr2 xr3">
  <dimension ref="A1:GR50000"/>
  <sheetViews>
    <sheetView topLeftCell="A1" workbookViewId="0">
      <selection activeCell="B2" sqref="B2"/>
    </sheetView>
  </sheetViews>
  <sheetFormatPr defaultRowHeight="15" defaultColWidth="7.75390625" customHeight="1"/>
  <cols>
    <col min="1" max="1" width="3.75390625" customWidth="1"/>
    <col min="2" max="2" width="25.00390625" customWidth="1"/>
    <col min="3" max="3" width="18.75390625" customWidth="1"/>
    <col min="4" max="4" width="9.75390625" customWidth="1"/>
    <col min="6" max="6" width="3.75390625" customWidth="1"/>
    <col min="7" max="7" width="25.00390625" customWidth="1"/>
    <col min="8" max="8" width="18.75390625" customWidth="1"/>
  </cols>
  <sheetData>
    <row r="2" ht="15" customHeight="1">
      <c r="B2" s="65" t="s">
        <v>6041</v>
      </c>
    </row>
    <row r="4" ht="15" customHeight="1">
      <c r="B4" s="66" t="s">
        <v>6042</v>
      </c>
      <c r="G4" s="66" t="s">
        <v>6043</v>
      </c>
    </row>
    <row r="6" ht="15" customHeight="1">
      <c r="B6" t="s">
        <v>209</v>
      </c>
      <c r="C6" t="s">
        <v>208</v>
      </c>
      <c r="D6" t="s">
        <v>6044</v>
      </c>
      <c r="G6" t="s">
        <v>207</v>
      </c>
      <c r="H6" t="s">
        <v>6044</v>
      </c>
    </row>
    <row r="7" ht="15" customHeight="1">
      <c r="B7" t="s">
        <v>233</v>
      </c>
      <c r="C7"/>
      <c r="D7"/>
      <c r="G7" t="s">
        <v>1338</v>
      </c>
      <c r="H7">
        <v>10</v>
      </c>
    </row>
    <row r="8" ht="15" customHeight="1">
      <c r="B8"/>
      <c r="C8" t="s">
        <v>232</v>
      </c>
      <c r="D8">
        <v>804</v>
      </c>
      <c r="G8" t="s">
        <v>1057</v>
      </c>
      <c r="H8">
        <v>240</v>
      </c>
    </row>
    <row r="9" ht="15" customHeight="1">
      <c r="B9" t="s">
        <v>6045</v>
      </c>
      <c r="C9"/>
      <c r="D9">
        <v>804</v>
      </c>
      <c r="G9" t="s">
        <v>322</v>
      </c>
      <c r="H9">
        <v>16</v>
      </c>
    </row>
    <row r="10" ht="15" customHeight="1">
      <c r="B10" t="s">
        <v>251</v>
      </c>
      <c r="C10"/>
      <c r="D10"/>
      <c r="G10" t="s">
        <v>309</v>
      </c>
      <c r="H10">
        <v>591</v>
      </c>
    </row>
    <row r="11" ht="15" customHeight="1">
      <c r="B11"/>
      <c r="C11" t="s">
        <v>250</v>
      </c>
      <c r="D11">
        <v>549</v>
      </c>
      <c r="G11" t="s">
        <v>999</v>
      </c>
      <c r="H11">
        <v>12</v>
      </c>
    </row>
    <row r="12" ht="15" customHeight="1">
      <c r="B12" t="s">
        <v>6046</v>
      </c>
      <c r="C12"/>
      <c r="D12">
        <v>549</v>
      </c>
      <c r="G12" t="s">
        <v>314</v>
      </c>
      <c r="H12">
        <v>8</v>
      </c>
    </row>
    <row r="13" ht="15" customHeight="1">
      <c r="B13" t="s">
        <v>814</v>
      </c>
      <c r="C13"/>
      <c r="D13"/>
      <c r="G13" t="s">
        <v>1627</v>
      </c>
      <c r="H13">
        <v>82</v>
      </c>
    </row>
    <row r="14" ht="15" customHeight="1">
      <c r="B14"/>
      <c r="C14" t="s">
        <v>813</v>
      </c>
      <c r="D14">
        <v>367</v>
      </c>
      <c r="G14" t="s">
        <v>4442</v>
      </c>
      <c r="H14">
        <v>1</v>
      </c>
    </row>
    <row r="15" ht="15" customHeight="1">
      <c r="B15" t="s">
        <v>6047</v>
      </c>
      <c r="C15"/>
      <c r="D15">
        <v>367</v>
      </c>
      <c r="G15" t="s">
        <v>55</v>
      </c>
      <c r="H15">
        <v>89</v>
      </c>
    </row>
    <row r="16" ht="15" customHeight="1">
      <c r="B16" t="s">
        <v>224</v>
      </c>
      <c r="C16"/>
      <c r="D16"/>
      <c r="G16" t="s">
        <v>325</v>
      </c>
      <c r="H16">
        <v>1</v>
      </c>
    </row>
    <row r="17" ht="15" customHeight="1">
      <c r="B17"/>
      <c r="C17" t="s">
        <v>223</v>
      </c>
      <c r="D17">
        <v>526</v>
      </c>
      <c r="G17" t="s">
        <v>222</v>
      </c>
      <c r="H17">
        <v>44</v>
      </c>
    </row>
    <row r="18" ht="15" customHeight="1">
      <c r="B18" t="s">
        <v>6048</v>
      </c>
      <c r="C18"/>
      <c r="D18">
        <v>526</v>
      </c>
      <c r="G18" t="s">
        <v>1685</v>
      </c>
      <c r="H18">
        <v>8</v>
      </c>
    </row>
    <row r="19" ht="15" customHeight="1">
      <c r="B19" t="s">
        <v>283</v>
      </c>
      <c r="C19"/>
      <c r="D19"/>
      <c r="G19" t="s">
        <v>259</v>
      </c>
      <c r="H19">
        <v>82</v>
      </c>
    </row>
    <row r="20" ht="15" customHeight="1">
      <c r="B20"/>
      <c r="C20" t="s">
        <v>282</v>
      </c>
      <c r="D20">
        <v>236</v>
      </c>
      <c r="G20" t="s">
        <v>227</v>
      </c>
      <c r="H20">
        <v>1180</v>
      </c>
    </row>
    <row r="21" ht="15" customHeight="1">
      <c r="B21" t="s">
        <v>6049</v>
      </c>
      <c r="C21"/>
      <c r="D21">
        <v>236</v>
      </c>
      <c r="G21" t="s">
        <v>1470</v>
      </c>
      <c r="H21">
        <v>299</v>
      </c>
    </row>
    <row r="22" ht="15" customHeight="1">
      <c r="B22" t="s">
        <v>229</v>
      </c>
      <c r="C22"/>
      <c r="D22"/>
      <c r="G22" t="s">
        <v>5997</v>
      </c>
      <c r="H22">
        <v>2663</v>
      </c>
    </row>
    <row r="23" ht="15" customHeight="1">
      <c r="B23"/>
      <c r="C23" t="s">
        <v>228</v>
      </c>
      <c r="D23">
        <v>181</v>
      </c>
    </row>
    <row r="24" ht="15" customHeight="1">
      <c r="B24" t="s">
        <v>6050</v>
      </c>
      <c r="C24"/>
      <c r="D24">
        <v>181</v>
      </c>
    </row>
    <row r="25" ht="15" customHeight="1">
      <c r="B25" t="s">
        <v>5997</v>
      </c>
      <c r="C25"/>
      <c r="D25">
        <v>2663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